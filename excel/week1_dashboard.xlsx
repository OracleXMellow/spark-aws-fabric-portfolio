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C:\data-stack-12weeks\spark-aws-fabric-portfolio\excel\"/>
    </mc:Choice>
  </mc:AlternateContent>
  <xr:revisionPtr revIDLastSave="0" documentId="13_ncr:1_{98BEFEF4-DDB5-45F1-B353-C8F9072D7821}" xr6:coauthVersionLast="47" xr6:coauthVersionMax="47" xr10:uidLastSave="{00000000-0000-0000-0000-000000000000}"/>
  <bookViews>
    <workbookView xWindow="28680" yWindow="-120" windowWidth="29040" windowHeight="15720" activeTab="2" xr2:uid="{66A0186A-68E9-4A82-A1D5-2771F636DDAA}"/>
  </bookViews>
  <sheets>
    <sheet name="Data" sheetId="2" r:id="rId1"/>
    <sheet name="Calc" sheetId="1" r:id="rId2"/>
    <sheet name="Dashboard" sheetId="5" r:id="rId3"/>
    <sheet name="Lists" sheetId="3" r:id="rId4"/>
  </sheets>
  <definedNames>
    <definedName name="BrandList">_xlfn.ANCHORARRAY(Lists!$A$1)</definedName>
    <definedName name="ExternalData_1" localSheetId="0" hidden="1">Data!$A$1:$L$1001</definedName>
    <definedName name="Slicer_Brand">#N/A</definedName>
    <definedName name="Slicer_Fuel_Type">#N/A</definedName>
    <definedName name="Slicer_Model_Year">#N/A</definedName>
    <definedName name="Slicer_Price_Band">#N/A</definedName>
    <definedName name="Slicer_Transmission">#N/A</definedName>
  </definedNames>
  <calcPr calcId="191029"/>
  <pivotCaches>
    <pivotCache cacheId="8"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 l="1"/>
  <c r="E4" i="1"/>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A1" i="3" a="1"/>
  <c r="A1" i="3" s="1"/>
  <c r="B5" i="1"/>
  <c r="B4" i="1"/>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N3" i="2"/>
  <c r="N2"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1CBE16-9DF1-45A0-8081-3C36B9CC4EF2}" keepAlive="1" name="Query - car_prices_clean" description="Connection to the 'car_prices_clean' query in the workbook." type="5" refreshedVersion="8" background="1" saveData="1">
    <dbPr connection="Provider=Microsoft.Mashup.OleDb.1;Data Source=$Workbook$;Location=car_prices_clean;Extended Properties=&quot;&quot;" command="SELECT * FROM [car_prices_clean]"/>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<sst xmlns="http://schemas.openxmlformats.org/spreadsheetml/2006/main" count="7048" uniqueCount="2800">
  <si>
    <t>Car_ID</t>
  </si>
  <si>
    <t>Brand</t>
  </si>
  <si>
    <t>Model_Year</t>
  </si>
  <si>
    <t>Kilometers_Driven</t>
  </si>
  <si>
    <t>Fuel_Type</t>
  </si>
  <si>
    <t>Transmission</t>
  </si>
  <si>
    <t>Owner_Type</t>
  </si>
  <si>
    <t>Engine_CC</t>
  </si>
  <si>
    <t>Max_Power_bhp</t>
  </si>
  <si>
    <t>Mileage_kmpl</t>
  </si>
  <si>
    <t>Seats</t>
  </si>
  <si>
    <t>Price_USD</t>
  </si>
  <si>
    <t>Audi</t>
  </si>
  <si>
    <t>Diesel</t>
  </si>
  <si>
    <t>Manual</t>
  </si>
  <si>
    <t>First</t>
  </si>
  <si>
    <t>223.6</t>
  </si>
  <si>
    <t>29.61</t>
  </si>
  <si>
    <t>119611.94</t>
  </si>
  <si>
    <t>BMW</t>
  </si>
  <si>
    <t>Hybrid</t>
  </si>
  <si>
    <t>Automatic</t>
  </si>
  <si>
    <t>248.4</t>
  </si>
  <si>
    <t>21.66</t>
  </si>
  <si>
    <t>90842.46</t>
  </si>
  <si>
    <t>Kia</t>
  </si>
  <si>
    <t>Third</t>
  </si>
  <si>
    <t>465.5</t>
  </si>
  <si>
    <t>12.14</t>
  </si>
  <si>
    <t>78432.24</t>
  </si>
  <si>
    <t>Mercedes</t>
  </si>
  <si>
    <t>Petrol</t>
  </si>
  <si>
    <t>Second</t>
  </si>
  <si>
    <t>229.7</t>
  </si>
  <si>
    <t>19.65</t>
  </si>
  <si>
    <t>44568.89</t>
  </si>
  <si>
    <t>573.2</t>
  </si>
  <si>
    <t>7.74</t>
  </si>
  <si>
    <t>8751.82</t>
  </si>
  <si>
    <t>Volkswagen</t>
  </si>
  <si>
    <t>453.2</t>
  </si>
  <si>
    <t>29.15</t>
  </si>
  <si>
    <t>6633.65</t>
  </si>
  <si>
    <t>Ford</t>
  </si>
  <si>
    <t>Electric</t>
  </si>
  <si>
    <t>374.6</t>
  </si>
  <si>
    <t>9.37</t>
  </si>
  <si>
    <t>67839.21</t>
  </si>
  <si>
    <t>533.3</t>
  </si>
  <si>
    <t>21.2</t>
  </si>
  <si>
    <t>92157.83</t>
  </si>
  <si>
    <t>67.8</t>
  </si>
  <si>
    <t>11.14</t>
  </si>
  <si>
    <t>65873.37</t>
  </si>
  <si>
    <t>184.0</t>
  </si>
  <si>
    <t>22.94</t>
  </si>
  <si>
    <t>101371.85</t>
  </si>
  <si>
    <t>300.4</t>
  </si>
  <si>
    <t>24.42</t>
  </si>
  <si>
    <t>6910.9</t>
  </si>
  <si>
    <t>167.1</t>
  </si>
  <si>
    <t>21.84</t>
  </si>
  <si>
    <t>45909.99</t>
  </si>
  <si>
    <t>456.6</t>
  </si>
  <si>
    <t>20.36</t>
  </si>
  <si>
    <t>30737.24</t>
  </si>
  <si>
    <t>554.8</t>
  </si>
  <si>
    <t>27.31</t>
  </si>
  <si>
    <t>55330.94</t>
  </si>
  <si>
    <t>Hyundai</t>
  </si>
  <si>
    <t>277.3</t>
  </si>
  <si>
    <t>6.97</t>
  </si>
  <si>
    <t>11468.04</t>
  </si>
  <si>
    <t>231.6</t>
  </si>
  <si>
    <t>13.27</t>
  </si>
  <si>
    <t>114633.4</t>
  </si>
  <si>
    <t>Honda</t>
  </si>
  <si>
    <t>578.5</t>
  </si>
  <si>
    <t>11.21</t>
  </si>
  <si>
    <t>29120.88</t>
  </si>
  <si>
    <t>289.1</t>
  </si>
  <si>
    <t>29.7</t>
  </si>
  <si>
    <t>110910.01</t>
  </si>
  <si>
    <t>313.9</t>
  </si>
  <si>
    <t>14.73</t>
  </si>
  <si>
    <t>52829.5</t>
  </si>
  <si>
    <t>236.9</t>
  </si>
  <si>
    <t>23.32</t>
  </si>
  <si>
    <t>118306.32</t>
  </si>
  <si>
    <t>549.3</t>
  </si>
  <si>
    <t>22.12</t>
  </si>
  <si>
    <t>67824.83</t>
  </si>
  <si>
    <t>Toyota</t>
  </si>
  <si>
    <t>358.6</t>
  </si>
  <si>
    <t>10.3</t>
  </si>
  <si>
    <t>111907.45</t>
  </si>
  <si>
    <t>466.8</t>
  </si>
  <si>
    <t>10.97</t>
  </si>
  <si>
    <t>3625.83</t>
  </si>
  <si>
    <t>494.6</t>
  </si>
  <si>
    <t>12.03</t>
  </si>
  <si>
    <t>90543.94</t>
  </si>
  <si>
    <t>Nissan</t>
  </si>
  <si>
    <t>231.4</t>
  </si>
  <si>
    <t>15.28</t>
  </si>
  <si>
    <t>108656.93</t>
  </si>
  <si>
    <t>282.9</t>
  </si>
  <si>
    <t>10.86</t>
  </si>
  <si>
    <t>19347.31</t>
  </si>
  <si>
    <t>515.1</t>
  </si>
  <si>
    <t>5.49</t>
  </si>
  <si>
    <t>14246.72</t>
  </si>
  <si>
    <t>243.4</t>
  </si>
  <si>
    <t>26.98</t>
  </si>
  <si>
    <t>52675.0</t>
  </si>
  <si>
    <t>484.6</t>
  </si>
  <si>
    <t>29.14</t>
  </si>
  <si>
    <t>112240.43</t>
  </si>
  <si>
    <t>567.0</t>
  </si>
  <si>
    <t>13.54</t>
  </si>
  <si>
    <t>66459.23</t>
  </si>
  <si>
    <t>389.0</t>
  </si>
  <si>
    <t>13.46</t>
  </si>
  <si>
    <t>64712.41</t>
  </si>
  <si>
    <t>455.3</t>
  </si>
  <si>
    <t>5.18</t>
  </si>
  <si>
    <t>19511.76</t>
  </si>
  <si>
    <t>490.9</t>
  </si>
  <si>
    <t>22.01</t>
  </si>
  <si>
    <t>3092.37</t>
  </si>
  <si>
    <t>513.2</t>
  </si>
  <si>
    <t>25.64</t>
  </si>
  <si>
    <t>97786.39</t>
  </si>
  <si>
    <t>261.2</t>
  </si>
  <si>
    <t>8.67</t>
  </si>
  <si>
    <t>13246.22</t>
  </si>
  <si>
    <t>68.7</t>
  </si>
  <si>
    <t>8.99</t>
  </si>
  <si>
    <t>77160.43</t>
  </si>
  <si>
    <t>265.1</t>
  </si>
  <si>
    <t>24.75</t>
  </si>
  <si>
    <t>110010.13</t>
  </si>
  <si>
    <t>417.3</t>
  </si>
  <si>
    <t>20.41</t>
  </si>
  <si>
    <t>27412.27</t>
  </si>
  <si>
    <t>292.2</t>
  </si>
  <si>
    <t>6.12</t>
  </si>
  <si>
    <t>80836.92</t>
  </si>
  <si>
    <t>459.4</t>
  </si>
  <si>
    <t>20.56</t>
  </si>
  <si>
    <t>12207.73</t>
  </si>
  <si>
    <t>239.9</t>
  </si>
  <si>
    <t>12.72</t>
  </si>
  <si>
    <t>73639.35</t>
  </si>
  <si>
    <t>395.5</t>
  </si>
  <si>
    <t>14.22</t>
  </si>
  <si>
    <t>22180.01</t>
  </si>
  <si>
    <t>144.4</t>
  </si>
  <si>
    <t>24.24</t>
  </si>
  <si>
    <t>89106.57</t>
  </si>
  <si>
    <t>459.6</t>
  </si>
  <si>
    <t>25.27</t>
  </si>
  <si>
    <t>38244.06</t>
  </si>
  <si>
    <t>345.6</t>
  </si>
  <si>
    <t>15.01</t>
  </si>
  <si>
    <t>57216.75</t>
  </si>
  <si>
    <t>154.3</t>
  </si>
  <si>
    <t>28.68</t>
  </si>
  <si>
    <t>73133.37</t>
  </si>
  <si>
    <t>203.5</t>
  </si>
  <si>
    <t>15.16</t>
  </si>
  <si>
    <t>23038.99</t>
  </si>
  <si>
    <t>459.2</t>
  </si>
  <si>
    <t>24.3</t>
  </si>
  <si>
    <t>89771.62</t>
  </si>
  <si>
    <t>310.3</t>
  </si>
  <si>
    <t>17.1</t>
  </si>
  <si>
    <t>38408.92</t>
  </si>
  <si>
    <t>161.0</t>
  </si>
  <si>
    <t>27.44</t>
  </si>
  <si>
    <t>80497.51</t>
  </si>
  <si>
    <t>581.7</t>
  </si>
  <si>
    <t>27.69</t>
  </si>
  <si>
    <t>21519.12</t>
  </si>
  <si>
    <t>440.5</t>
  </si>
  <si>
    <t>7.19</t>
  </si>
  <si>
    <t>83509.77</t>
  </si>
  <si>
    <t>576.0</t>
  </si>
  <si>
    <t>28.41</t>
  </si>
  <si>
    <t>17998.0</t>
  </si>
  <si>
    <t>279.2</t>
  </si>
  <si>
    <t>52766.71</t>
  </si>
  <si>
    <t>306.1</t>
  </si>
  <si>
    <t>24.78</t>
  </si>
  <si>
    <t>31923.11</t>
  </si>
  <si>
    <t>542.9</t>
  </si>
  <si>
    <t>10.02</t>
  </si>
  <si>
    <t>90559.9</t>
  </si>
  <si>
    <t>334.0</t>
  </si>
  <si>
    <t>25.13</t>
  </si>
  <si>
    <t>33658.1</t>
  </si>
  <si>
    <t>436.1</t>
  </si>
  <si>
    <t>26.25</t>
  </si>
  <si>
    <t>106160.92</t>
  </si>
  <si>
    <t>181.2</t>
  </si>
  <si>
    <t>12.23</t>
  </si>
  <si>
    <t>107342.96</t>
  </si>
  <si>
    <t>290.2</t>
  </si>
  <si>
    <t>28.81</t>
  </si>
  <si>
    <t>25983.63</t>
  </si>
  <si>
    <t>109.1</t>
  </si>
  <si>
    <t>6.25</t>
  </si>
  <si>
    <t>74819.98</t>
  </si>
  <si>
    <t>155.3</t>
  </si>
  <si>
    <t>8.75</t>
  </si>
  <si>
    <t>13262.96</t>
  </si>
  <si>
    <t>40.5</t>
  </si>
  <si>
    <t>18.44</t>
  </si>
  <si>
    <t>48809.84</t>
  </si>
  <si>
    <t>62.0</t>
  </si>
  <si>
    <t>19.39</t>
  </si>
  <si>
    <t>86458.64</t>
  </si>
  <si>
    <t>587.3</t>
  </si>
  <si>
    <t>21.13</t>
  </si>
  <si>
    <t>80152.52</t>
  </si>
  <si>
    <t>175.7</t>
  </si>
  <si>
    <t>5.42</t>
  </si>
  <si>
    <t>76089.98</t>
  </si>
  <si>
    <t>411.5</t>
  </si>
  <si>
    <t>29.01</t>
  </si>
  <si>
    <t>36057.28</t>
  </si>
  <si>
    <t>509.9</t>
  </si>
  <si>
    <t>6.11</t>
  </si>
  <si>
    <t>47228.92</t>
  </si>
  <si>
    <t>348.4</t>
  </si>
  <si>
    <t>8.58</t>
  </si>
  <si>
    <t>15044.7</t>
  </si>
  <si>
    <t>125.8</t>
  </si>
  <si>
    <t>5.35</t>
  </si>
  <si>
    <t>87125.67</t>
  </si>
  <si>
    <t>447.7</t>
  </si>
  <si>
    <t>19.17</t>
  </si>
  <si>
    <t>61954.99</t>
  </si>
  <si>
    <t>376.1</t>
  </si>
  <si>
    <t>28.31</t>
  </si>
  <si>
    <t>85925.58</t>
  </si>
  <si>
    <t>449.5</t>
  </si>
  <si>
    <t>21.65</t>
  </si>
  <si>
    <t>32126.39</t>
  </si>
  <si>
    <t>471.1</t>
  </si>
  <si>
    <t>25.57</t>
  </si>
  <si>
    <t>40959.27</t>
  </si>
  <si>
    <t>586.2</t>
  </si>
  <si>
    <t>5.33</t>
  </si>
  <si>
    <t>42103.19</t>
  </si>
  <si>
    <t>361.2</t>
  </si>
  <si>
    <t>18.55</t>
  </si>
  <si>
    <t>6011.86</t>
  </si>
  <si>
    <t>231.3</t>
  </si>
  <si>
    <t>16.49</t>
  </si>
  <si>
    <t>42902.6</t>
  </si>
  <si>
    <t>403.1</t>
  </si>
  <si>
    <t>17.47</t>
  </si>
  <si>
    <t>96986.64</t>
  </si>
  <si>
    <t>78.3</t>
  </si>
  <si>
    <t>6.81</t>
  </si>
  <si>
    <t>107983.92</t>
  </si>
  <si>
    <t>542.5</t>
  </si>
  <si>
    <t>22.11</t>
  </si>
  <si>
    <t>63631.54</t>
  </si>
  <si>
    <t>106.9</t>
  </si>
  <si>
    <t>17.58</t>
  </si>
  <si>
    <t>56293.7</t>
  </si>
  <si>
    <t>24.13</t>
  </si>
  <si>
    <t>6606.48</t>
  </si>
  <si>
    <t>496.8</t>
  </si>
  <si>
    <t>17.13</t>
  </si>
  <si>
    <t>105866.91</t>
  </si>
  <si>
    <t>374.5</t>
  </si>
  <si>
    <t>8.73</t>
  </si>
  <si>
    <t>4522.19</t>
  </si>
  <si>
    <t>260.4</t>
  </si>
  <si>
    <t>21.21</t>
  </si>
  <si>
    <t>113535.76</t>
  </si>
  <si>
    <t>305.1</t>
  </si>
  <si>
    <t>9.31</t>
  </si>
  <si>
    <t>60238.3</t>
  </si>
  <si>
    <t>518.5</t>
  </si>
  <si>
    <t>26.81</t>
  </si>
  <si>
    <t>43006.34</t>
  </si>
  <si>
    <t>230.4</t>
  </si>
  <si>
    <t>20.33</t>
  </si>
  <si>
    <t>111133.56</t>
  </si>
  <si>
    <t>527.0</t>
  </si>
  <si>
    <t>8.93</t>
  </si>
  <si>
    <t>5853.75</t>
  </si>
  <si>
    <t>89.4</t>
  </si>
  <si>
    <t>29.06</t>
  </si>
  <si>
    <t>71026.71</t>
  </si>
  <si>
    <t>475.0</t>
  </si>
  <si>
    <t>17.96</t>
  </si>
  <si>
    <t>67225.11</t>
  </si>
  <si>
    <t>514.6</t>
  </si>
  <si>
    <t>6.82</t>
  </si>
  <si>
    <t>28660.49</t>
  </si>
  <si>
    <t>141.8</t>
  </si>
  <si>
    <t>20.67</t>
  </si>
  <si>
    <t>53179.83</t>
  </si>
  <si>
    <t>281.0</t>
  </si>
  <si>
    <t>11.33</t>
  </si>
  <si>
    <t>79314.89</t>
  </si>
  <si>
    <t>132.7</t>
  </si>
  <si>
    <t>25.09</t>
  </si>
  <si>
    <t>88074.35</t>
  </si>
  <si>
    <t>435.7</t>
  </si>
  <si>
    <t>25.45</t>
  </si>
  <si>
    <t>3083.87</t>
  </si>
  <si>
    <t>339.8</t>
  </si>
  <si>
    <t>29.47</t>
  </si>
  <si>
    <t>112611.85</t>
  </si>
  <si>
    <t>395.8</t>
  </si>
  <si>
    <t>17.55</t>
  </si>
  <si>
    <t>22249.47</t>
  </si>
  <si>
    <t>150.0</t>
  </si>
  <si>
    <t>16.37</t>
  </si>
  <si>
    <t>30328.91</t>
  </si>
  <si>
    <t>158.6</t>
  </si>
  <si>
    <t>23.84</t>
  </si>
  <si>
    <t>33826.39</t>
  </si>
  <si>
    <t>63.2</t>
  </si>
  <si>
    <t>8.31</t>
  </si>
  <si>
    <t>7424.96</t>
  </si>
  <si>
    <t>220.4</t>
  </si>
  <si>
    <t>18.67</t>
  </si>
  <si>
    <t>17397.1</t>
  </si>
  <si>
    <t>353.5</t>
  </si>
  <si>
    <t>18.66</t>
  </si>
  <si>
    <t>118402.94</t>
  </si>
  <si>
    <t>520.4</t>
  </si>
  <si>
    <t>7.24</t>
  </si>
  <si>
    <t>39880.36</t>
  </si>
  <si>
    <t>413.5</t>
  </si>
  <si>
    <t>15.45</t>
  </si>
  <si>
    <t>16490.23</t>
  </si>
  <si>
    <t>283.8</t>
  </si>
  <si>
    <t>26.33</t>
  </si>
  <si>
    <t>15517.98</t>
  </si>
  <si>
    <t>573.7</t>
  </si>
  <si>
    <t>26.4</t>
  </si>
  <si>
    <t>87176.82</t>
  </si>
  <si>
    <t>442.8</t>
  </si>
  <si>
    <t>7.48</t>
  </si>
  <si>
    <t>102984.53</t>
  </si>
  <si>
    <t>560.9</t>
  </si>
  <si>
    <t>7.27</t>
  </si>
  <si>
    <t>33063.42</t>
  </si>
  <si>
    <t>335.4</t>
  </si>
  <si>
    <t>11.57</t>
  </si>
  <si>
    <t>5446.41</t>
  </si>
  <si>
    <t>185.0</t>
  </si>
  <si>
    <t>26.87</t>
  </si>
  <si>
    <t>29101.53</t>
  </si>
  <si>
    <t>69.6</t>
  </si>
  <si>
    <t>8.22</t>
  </si>
  <si>
    <t>9612.34</t>
  </si>
  <si>
    <t>446.6</t>
  </si>
  <si>
    <t>23.0</t>
  </si>
  <si>
    <t>15097.21</t>
  </si>
  <si>
    <t>107.9</t>
  </si>
  <si>
    <t>7.53</t>
  </si>
  <si>
    <t>53486.45</t>
  </si>
  <si>
    <t>209.6</t>
  </si>
  <si>
    <t>20.58</t>
  </si>
  <si>
    <t>29900.45</t>
  </si>
  <si>
    <t>338.2</t>
  </si>
  <si>
    <t>13.9</t>
  </si>
  <si>
    <t>63365.67</t>
  </si>
  <si>
    <t>356.1</t>
  </si>
  <si>
    <t>24.72</t>
  </si>
  <si>
    <t>32658.77</t>
  </si>
  <si>
    <t>376.3</t>
  </si>
  <si>
    <t>10.84</t>
  </si>
  <si>
    <t>113042.86</t>
  </si>
  <si>
    <t>133.1</t>
  </si>
  <si>
    <t>20.98</t>
  </si>
  <si>
    <t>108995.44</t>
  </si>
  <si>
    <t>252.7</t>
  </si>
  <si>
    <t>10.89</t>
  </si>
  <si>
    <t>69316.31</t>
  </si>
  <si>
    <t>385.6</t>
  </si>
  <si>
    <t>22.84</t>
  </si>
  <si>
    <t>44467.61</t>
  </si>
  <si>
    <t>583.1</t>
  </si>
  <si>
    <t>26.84</t>
  </si>
  <si>
    <t>47594.19</t>
  </si>
  <si>
    <t>447.5</t>
  </si>
  <si>
    <t>8.17</t>
  </si>
  <si>
    <t>51186.72</t>
  </si>
  <si>
    <t>556.7</t>
  </si>
  <si>
    <t>26.66</t>
  </si>
  <si>
    <t>88126.78</t>
  </si>
  <si>
    <t>19.84</t>
  </si>
  <si>
    <t>55841.76</t>
  </si>
  <si>
    <t>371.4</t>
  </si>
  <si>
    <t>8.18</t>
  </si>
  <si>
    <t>103237.4</t>
  </si>
  <si>
    <t>147.5</t>
  </si>
  <si>
    <t>15.69</t>
  </si>
  <si>
    <t>113459.09</t>
  </si>
  <si>
    <t>413.3</t>
  </si>
  <si>
    <t>9.02</t>
  </si>
  <si>
    <t>42305.7</t>
  </si>
  <si>
    <t>389.1</t>
  </si>
  <si>
    <t>22.51</t>
  </si>
  <si>
    <t>68601.25</t>
  </si>
  <si>
    <t>377.4</t>
  </si>
  <si>
    <t>23.97</t>
  </si>
  <si>
    <t>14121.61</t>
  </si>
  <si>
    <t>314.3</t>
  </si>
  <si>
    <t>7.64</t>
  </si>
  <si>
    <t>26454.88</t>
  </si>
  <si>
    <t>336.0</t>
  </si>
  <si>
    <t>17.65</t>
  </si>
  <si>
    <t>51375.49</t>
  </si>
  <si>
    <t>227.3</t>
  </si>
  <si>
    <t>25.37</t>
  </si>
  <si>
    <t>27125.72</t>
  </si>
  <si>
    <t>330.8</t>
  </si>
  <si>
    <t>28.4</t>
  </si>
  <si>
    <t>105557.58</t>
  </si>
  <si>
    <t>150.6</t>
  </si>
  <si>
    <t>17.84</t>
  </si>
  <si>
    <t>21519.49</t>
  </si>
  <si>
    <t>28.76</t>
  </si>
  <si>
    <t>56312.32</t>
  </si>
  <si>
    <t>144.0</t>
  </si>
  <si>
    <t>18.39</t>
  </si>
  <si>
    <t>73866.81</t>
  </si>
  <si>
    <t>87.6</t>
  </si>
  <si>
    <t>14.85</t>
  </si>
  <si>
    <t>83948.08</t>
  </si>
  <si>
    <t>284.3</t>
  </si>
  <si>
    <t>26.21</t>
  </si>
  <si>
    <t>47819.12</t>
  </si>
  <si>
    <t>408.7</t>
  </si>
  <si>
    <t>17.32</t>
  </si>
  <si>
    <t>104684.59</t>
  </si>
  <si>
    <t>285.1</t>
  </si>
  <si>
    <t>16.8</t>
  </si>
  <si>
    <t>69493.34</t>
  </si>
  <si>
    <t>195.0</t>
  </si>
  <si>
    <t>17.26</t>
  </si>
  <si>
    <t>54422.41</t>
  </si>
  <si>
    <t>352.6</t>
  </si>
  <si>
    <t>26.17</t>
  </si>
  <si>
    <t>10867.15</t>
  </si>
  <si>
    <t>234.3</t>
  </si>
  <si>
    <t>25.8</t>
  </si>
  <si>
    <t>57368.67</t>
  </si>
  <si>
    <t>562.4</t>
  </si>
  <si>
    <t>15.09</t>
  </si>
  <si>
    <t>99026.09</t>
  </si>
  <si>
    <t>13.33</t>
  </si>
  <si>
    <t>74901.3</t>
  </si>
  <si>
    <t>321.3</t>
  </si>
  <si>
    <t>17.3</t>
  </si>
  <si>
    <t>100363.01</t>
  </si>
  <si>
    <t>19.32</t>
  </si>
  <si>
    <t>60799.37</t>
  </si>
  <si>
    <t>452.8</t>
  </si>
  <si>
    <t>10.96</t>
  </si>
  <si>
    <t>16860.02</t>
  </si>
  <si>
    <t>60.6</t>
  </si>
  <si>
    <t>24.85</t>
  </si>
  <si>
    <t>4595.86</t>
  </si>
  <si>
    <t>305.9</t>
  </si>
  <si>
    <t>17.16</t>
  </si>
  <si>
    <t>38476.69</t>
  </si>
  <si>
    <t>228.3</t>
  </si>
  <si>
    <t>13.35</t>
  </si>
  <si>
    <t>84664.89</t>
  </si>
  <si>
    <t>555.5</t>
  </si>
  <si>
    <t>7.67</t>
  </si>
  <si>
    <t>95460.41</t>
  </si>
  <si>
    <t>46.7</t>
  </si>
  <si>
    <t>37603.08</t>
  </si>
  <si>
    <t>349.6</t>
  </si>
  <si>
    <t>28.73</t>
  </si>
  <si>
    <t>60991.51</t>
  </si>
  <si>
    <t>454.8</t>
  </si>
  <si>
    <t>12.63</t>
  </si>
  <si>
    <t>52270.91</t>
  </si>
  <si>
    <t>311.6</t>
  </si>
  <si>
    <t>9.22</t>
  </si>
  <si>
    <t>51031.17</t>
  </si>
  <si>
    <t>87.8</t>
  </si>
  <si>
    <t>16.52</t>
  </si>
  <si>
    <t>30067.8</t>
  </si>
  <si>
    <t>584.6</t>
  </si>
  <si>
    <t>12.68</t>
  </si>
  <si>
    <t>18955.42</t>
  </si>
  <si>
    <t>330.1</t>
  </si>
  <si>
    <t>5.88</t>
  </si>
  <si>
    <t>26012.56</t>
  </si>
  <si>
    <t>383.9</t>
  </si>
  <si>
    <t>13.08</t>
  </si>
  <si>
    <t>9473.89</t>
  </si>
  <si>
    <t>172.5</t>
  </si>
  <si>
    <t>18.6</t>
  </si>
  <si>
    <t>26181.3</t>
  </si>
  <si>
    <t>310.8</t>
  </si>
  <si>
    <t>18.79</t>
  </si>
  <si>
    <t>4076.51</t>
  </si>
  <si>
    <t>280.3</t>
  </si>
  <si>
    <t>13.91</t>
  </si>
  <si>
    <t>76389.23</t>
  </si>
  <si>
    <t>81.9</t>
  </si>
  <si>
    <t>16.18</t>
  </si>
  <si>
    <t>40015.92</t>
  </si>
  <si>
    <t>99.4</t>
  </si>
  <si>
    <t>116857.93</t>
  </si>
  <si>
    <t>509.0</t>
  </si>
  <si>
    <t>14.43</t>
  </si>
  <si>
    <t>25664.89</t>
  </si>
  <si>
    <t>174.3</t>
  </si>
  <si>
    <t>11.46</t>
  </si>
  <si>
    <t>43461.94</t>
  </si>
  <si>
    <t>149.2</t>
  </si>
  <si>
    <t>11.09</t>
  </si>
  <si>
    <t>44867.42</t>
  </si>
  <si>
    <t>322.8</t>
  </si>
  <si>
    <t>16.44</t>
  </si>
  <si>
    <t>3988.83</t>
  </si>
  <si>
    <t>470.5</t>
  </si>
  <si>
    <t>23.99</t>
  </si>
  <si>
    <t>101187.33</t>
  </si>
  <si>
    <t>74.7</t>
  </si>
  <si>
    <t>10.15</t>
  </si>
  <si>
    <t>6743.35</t>
  </si>
  <si>
    <t>363.0</t>
  </si>
  <si>
    <t>22.73</t>
  </si>
  <si>
    <t>113001.04</t>
  </si>
  <si>
    <t>106.8</t>
  </si>
  <si>
    <t>5.53</t>
  </si>
  <si>
    <t>107372.7</t>
  </si>
  <si>
    <t>60.4</t>
  </si>
  <si>
    <t>15.47</t>
  </si>
  <si>
    <t>65656.06</t>
  </si>
  <si>
    <t>69.5</t>
  </si>
  <si>
    <t>24.4</t>
  </si>
  <si>
    <t>66600.68</t>
  </si>
  <si>
    <t>507.1</t>
  </si>
  <si>
    <t>13.47</t>
  </si>
  <si>
    <t>79492.02</t>
  </si>
  <si>
    <t>106.1</t>
  </si>
  <si>
    <t>19.09</t>
  </si>
  <si>
    <t>48284.85</t>
  </si>
  <si>
    <t>65.3</t>
  </si>
  <si>
    <t>10.12</t>
  </si>
  <si>
    <t>78725.01</t>
  </si>
  <si>
    <t>285.2</t>
  </si>
  <si>
    <t>23.55</t>
  </si>
  <si>
    <t>8237.9</t>
  </si>
  <si>
    <t>512.6</t>
  </si>
  <si>
    <t>6.31</t>
  </si>
  <si>
    <t>9323.57</t>
  </si>
  <si>
    <t>186.9</t>
  </si>
  <si>
    <t>26.31</t>
  </si>
  <si>
    <t>56495.96</t>
  </si>
  <si>
    <t>276.2</t>
  </si>
  <si>
    <t>9.95</t>
  </si>
  <si>
    <t>67305.81</t>
  </si>
  <si>
    <t>62.4</t>
  </si>
  <si>
    <t>26.86</t>
  </si>
  <si>
    <t>106874.66</t>
  </si>
  <si>
    <t>291.5</t>
  </si>
  <si>
    <t>13.81</t>
  </si>
  <si>
    <t>15245.29</t>
  </si>
  <si>
    <t>363.5</t>
  </si>
  <si>
    <t>23.07</t>
  </si>
  <si>
    <t>99249.81</t>
  </si>
  <si>
    <t>359.7</t>
  </si>
  <si>
    <t>12.98</t>
  </si>
  <si>
    <t>27575.54</t>
  </si>
  <si>
    <t>226.2</t>
  </si>
  <si>
    <t>27.65</t>
  </si>
  <si>
    <t>49107.79</t>
  </si>
  <si>
    <t>216.7</t>
  </si>
  <si>
    <t>40042.48</t>
  </si>
  <si>
    <t>99.7</t>
  </si>
  <si>
    <t>9.46</t>
  </si>
  <si>
    <t>49818.17</t>
  </si>
  <si>
    <t>245.4</t>
  </si>
  <si>
    <t>17.33</t>
  </si>
  <si>
    <t>20607.97</t>
  </si>
  <si>
    <t>95.7</t>
  </si>
  <si>
    <t>7.05</t>
  </si>
  <si>
    <t>61917.7</t>
  </si>
  <si>
    <t>469.3</t>
  </si>
  <si>
    <t>9.9</t>
  </si>
  <si>
    <t>96792.18</t>
  </si>
  <si>
    <t>581.1</t>
  </si>
  <si>
    <t>28.59</t>
  </si>
  <si>
    <t>54659.48</t>
  </si>
  <si>
    <t>583.2</t>
  </si>
  <si>
    <t>29.41</t>
  </si>
  <si>
    <t>60401.79</t>
  </si>
  <si>
    <t>524.4</t>
  </si>
  <si>
    <t>14.41</t>
  </si>
  <si>
    <t>102305.81</t>
  </si>
  <si>
    <t>376.4</t>
  </si>
  <si>
    <t>28.08</t>
  </si>
  <si>
    <t>85608.8</t>
  </si>
  <si>
    <t>432.5</t>
  </si>
  <si>
    <t>18.62</t>
  </si>
  <si>
    <t>60383.17</t>
  </si>
  <si>
    <t>199.7</t>
  </si>
  <si>
    <t>11.74</t>
  </si>
  <si>
    <t>33150.39</t>
  </si>
  <si>
    <t>393.2</t>
  </si>
  <si>
    <t>22.56</t>
  </si>
  <si>
    <t>106536.43</t>
  </si>
  <si>
    <t>295.2</t>
  </si>
  <si>
    <t>21.47</t>
  </si>
  <si>
    <t>70511.39</t>
  </si>
  <si>
    <t>309.9</t>
  </si>
  <si>
    <t>29.73</t>
  </si>
  <si>
    <t>28874.27</t>
  </si>
  <si>
    <t>464.4</t>
  </si>
  <si>
    <t>11.63</t>
  </si>
  <si>
    <t>34487.01</t>
  </si>
  <si>
    <t>197.9</t>
  </si>
  <si>
    <t>21.8</t>
  </si>
  <si>
    <t>96966.57</t>
  </si>
  <si>
    <t>218.1</t>
  </si>
  <si>
    <t>6.3</t>
  </si>
  <si>
    <t>8165.03</t>
  </si>
  <si>
    <t>557.8</t>
  </si>
  <si>
    <t>7.84</t>
  </si>
  <si>
    <t>119074.79</t>
  </si>
  <si>
    <t>71.5</t>
  </si>
  <si>
    <t>5.1</t>
  </si>
  <si>
    <t>18251.15</t>
  </si>
  <si>
    <t>312.0</t>
  </si>
  <si>
    <t>29.99</t>
  </si>
  <si>
    <t>96140.02</t>
  </si>
  <si>
    <t>551.2</t>
  </si>
  <si>
    <t>25.06</t>
  </si>
  <si>
    <t>49188.71</t>
  </si>
  <si>
    <t>381.8</t>
  </si>
  <si>
    <t>24.67</t>
  </si>
  <si>
    <t>60589.29</t>
  </si>
  <si>
    <t>346.0</t>
  </si>
  <si>
    <t>17.74</t>
  </si>
  <si>
    <t>106036.12</t>
  </si>
  <si>
    <t>179.9</t>
  </si>
  <si>
    <t>12.5</t>
  </si>
  <si>
    <t>51310.61</t>
  </si>
  <si>
    <t>232.2</t>
  </si>
  <si>
    <t>8.78</t>
  </si>
  <si>
    <t>65886.77</t>
  </si>
  <si>
    <t>517.1</t>
  </si>
  <si>
    <t>12.12</t>
  </si>
  <si>
    <t>8768.06</t>
  </si>
  <si>
    <t>353.2</t>
  </si>
  <si>
    <t>14.4</t>
  </si>
  <si>
    <t>3274.65</t>
  </si>
  <si>
    <t>328.3</t>
  </si>
  <si>
    <t>23.91</t>
  </si>
  <si>
    <t>31641.59</t>
  </si>
  <si>
    <t>95.8</t>
  </si>
  <si>
    <t>18.49</t>
  </si>
  <si>
    <t>82628.22</t>
  </si>
  <si>
    <t>49.0</t>
  </si>
  <si>
    <t>6.94</t>
  </si>
  <si>
    <t>17187.99</t>
  </si>
  <si>
    <t>579.7</t>
  </si>
  <si>
    <t>5.45</t>
  </si>
  <si>
    <t>16310.15</t>
  </si>
  <si>
    <t>251.1</t>
  </si>
  <si>
    <t>7.56</t>
  </si>
  <si>
    <t>51082.39</t>
  </si>
  <si>
    <t>377.8</t>
  </si>
  <si>
    <t>15.26</t>
  </si>
  <si>
    <t>78796.93</t>
  </si>
  <si>
    <t>84.6</t>
  </si>
  <si>
    <t>28.33</t>
  </si>
  <si>
    <t>86312.42</t>
  </si>
  <si>
    <t>422.5</t>
  </si>
  <si>
    <t>20.94</t>
  </si>
  <si>
    <t>23878.73</t>
  </si>
  <si>
    <t>562.2</t>
  </si>
  <si>
    <t>25.05</t>
  </si>
  <si>
    <t>12311.81</t>
  </si>
  <si>
    <t>362.4</t>
  </si>
  <si>
    <t>16.66</t>
  </si>
  <si>
    <t>113026.45</t>
  </si>
  <si>
    <t>110.6</t>
  </si>
  <si>
    <t>14.04</t>
  </si>
  <si>
    <t>33497.97</t>
  </si>
  <si>
    <t>365.8</t>
  </si>
  <si>
    <t>7.71</t>
  </si>
  <si>
    <t>102841.54</t>
  </si>
  <si>
    <t>469.2</t>
  </si>
  <si>
    <t>26.9</t>
  </si>
  <si>
    <t>104028.5</t>
  </si>
  <si>
    <t>267.6</t>
  </si>
  <si>
    <t>24.58</t>
  </si>
  <si>
    <t>93385.14</t>
  </si>
  <si>
    <t>532.7</t>
  </si>
  <si>
    <t>9.2</t>
  </si>
  <si>
    <t>22753.53</t>
  </si>
  <si>
    <t>403.3</t>
  </si>
  <si>
    <t>17.81</t>
  </si>
  <si>
    <t>99150.77</t>
  </si>
  <si>
    <t>543.6</t>
  </si>
  <si>
    <t>17.18</t>
  </si>
  <si>
    <t>93002.32</t>
  </si>
  <si>
    <t>389.2</t>
  </si>
  <si>
    <t>20.63</t>
  </si>
  <si>
    <t>72816.59</t>
  </si>
  <si>
    <t>113.5</t>
  </si>
  <si>
    <t>28.65</t>
  </si>
  <si>
    <t>42452.64</t>
  </si>
  <si>
    <t>213.4</t>
  </si>
  <si>
    <t>19.49</t>
  </si>
  <si>
    <t>33713.51</t>
  </si>
  <si>
    <t>153.0</t>
  </si>
  <si>
    <t>18.51</t>
  </si>
  <si>
    <t>17261.04</t>
  </si>
  <si>
    <t>548.9</t>
  </si>
  <si>
    <t>6.26</t>
  </si>
  <si>
    <t>62641.58</t>
  </si>
  <si>
    <t>465.8</t>
  </si>
  <si>
    <t>6.57</t>
  </si>
  <si>
    <t>71475.52</t>
  </si>
  <si>
    <t>418.8</t>
  </si>
  <si>
    <t>9.68</t>
  </si>
  <si>
    <t>45042.66</t>
  </si>
  <si>
    <t>208.5</t>
  </si>
  <si>
    <t>5.81</t>
  </si>
  <si>
    <t>58617.01</t>
  </si>
  <si>
    <t>143.1</t>
  </si>
  <si>
    <t>23.58</t>
  </si>
  <si>
    <t>45531.19</t>
  </si>
  <si>
    <t>463.6</t>
  </si>
  <si>
    <t>23.08</t>
  </si>
  <si>
    <t>77997.71</t>
  </si>
  <si>
    <t>305.5</t>
  </si>
  <si>
    <t>8.4</t>
  </si>
  <si>
    <t>108447.33</t>
  </si>
  <si>
    <t>166.4</t>
  </si>
  <si>
    <t>25.9</t>
  </si>
  <si>
    <t>22178.67</t>
  </si>
  <si>
    <t>385.3</t>
  </si>
  <si>
    <t>8.87</t>
  </si>
  <si>
    <t>47624.83</t>
  </si>
  <si>
    <t>62.6</t>
  </si>
  <si>
    <t>12.53</t>
  </si>
  <si>
    <t>19481.63</t>
  </si>
  <si>
    <t>222.7</t>
  </si>
  <si>
    <t>11.22</t>
  </si>
  <si>
    <t>76118.42</t>
  </si>
  <si>
    <t>302.4</t>
  </si>
  <si>
    <t>14.31</t>
  </si>
  <si>
    <t>88277.85</t>
  </si>
  <si>
    <t>122.9</t>
  </si>
  <si>
    <t>11.37</t>
  </si>
  <si>
    <t>112033.79</t>
  </si>
  <si>
    <t>591.4</t>
  </si>
  <si>
    <t>17.22</t>
  </si>
  <si>
    <t>35628.02</t>
  </si>
  <si>
    <t>157.1</t>
  </si>
  <si>
    <t>15.19</t>
  </si>
  <si>
    <t>114174.71</t>
  </si>
  <si>
    <t>113.0</t>
  </si>
  <si>
    <t>29.66</t>
  </si>
  <si>
    <t>10401.73</t>
  </si>
  <si>
    <t>154.0</t>
  </si>
  <si>
    <t>6.4</t>
  </si>
  <si>
    <t>73552.62</t>
  </si>
  <si>
    <t>470.7</t>
  </si>
  <si>
    <t>8.55</t>
  </si>
  <si>
    <t>9684.53</t>
  </si>
  <si>
    <t>278.3</t>
  </si>
  <si>
    <t>6.32</t>
  </si>
  <si>
    <t>107571.58</t>
  </si>
  <si>
    <t>356.6</t>
  </si>
  <si>
    <t>20.65</t>
  </si>
  <si>
    <t>64987.66</t>
  </si>
  <si>
    <t>51.8</t>
  </si>
  <si>
    <t>6.36</t>
  </si>
  <si>
    <t>81313.76</t>
  </si>
  <si>
    <t>59.3</t>
  </si>
  <si>
    <t>25.91</t>
  </si>
  <si>
    <t>100294.15</t>
  </si>
  <si>
    <t>289.7</t>
  </si>
  <si>
    <t>17.8</t>
  </si>
  <si>
    <t>20586.34</t>
  </si>
  <si>
    <t>497.3</t>
  </si>
  <si>
    <t>18.18</t>
  </si>
  <si>
    <t>7515.21</t>
  </si>
  <si>
    <t>535.7</t>
  </si>
  <si>
    <t>19.04</t>
  </si>
  <si>
    <t>105829.09</t>
  </si>
  <si>
    <t>88.6</t>
  </si>
  <si>
    <t>9.27</t>
  </si>
  <si>
    <t>39847.19</t>
  </si>
  <si>
    <t>341.5</t>
  </si>
  <si>
    <t>9.94</t>
  </si>
  <si>
    <t>18090.53</t>
  </si>
  <si>
    <t>551.4</t>
  </si>
  <si>
    <t>12.97</t>
  </si>
  <si>
    <t>57809.96</t>
  </si>
  <si>
    <t>257.3</t>
  </si>
  <si>
    <t>73001.81</t>
  </si>
  <si>
    <t>504.6</t>
  </si>
  <si>
    <t>10.25</t>
  </si>
  <si>
    <t>6623.56</t>
  </si>
  <si>
    <t>114.9</t>
  </si>
  <si>
    <t>7.91</t>
  </si>
  <si>
    <t>35162.79</t>
  </si>
  <si>
    <t>563.8</t>
  </si>
  <si>
    <t>29.25</t>
  </si>
  <si>
    <t>6837.59</t>
  </si>
  <si>
    <t>460.8</t>
  </si>
  <si>
    <t>5.55</t>
  </si>
  <si>
    <t>52179.24</t>
  </si>
  <si>
    <t>567.1</t>
  </si>
  <si>
    <t>25.07</t>
  </si>
  <si>
    <t>107726.7</t>
  </si>
  <si>
    <t>418.9</t>
  </si>
  <si>
    <t>24.7</t>
  </si>
  <si>
    <t>117970.33</t>
  </si>
  <si>
    <t>243.5</t>
  </si>
  <si>
    <t>12.43</t>
  </si>
  <si>
    <t>77534.56</t>
  </si>
  <si>
    <t>565.4</t>
  </si>
  <si>
    <t>8.39</t>
  </si>
  <si>
    <t>21911.61</t>
  </si>
  <si>
    <t>194.3</t>
  </si>
  <si>
    <t>8.64</t>
  </si>
  <si>
    <t>108984.38</t>
  </si>
  <si>
    <t>226.0</t>
  </si>
  <si>
    <t>22.44</t>
  </si>
  <si>
    <t>63401.0</t>
  </si>
  <si>
    <t>21.07</t>
  </si>
  <si>
    <t>20988.67</t>
  </si>
  <si>
    <t>468.6</t>
  </si>
  <si>
    <t>24.57</t>
  </si>
  <si>
    <t>110842.02</t>
  </si>
  <si>
    <t>560.5</t>
  </si>
  <si>
    <t>28.44</t>
  </si>
  <si>
    <t>91623.88</t>
  </si>
  <si>
    <t>154.7</t>
  </si>
  <si>
    <t>22.3</t>
  </si>
  <si>
    <t>88609.52</t>
  </si>
  <si>
    <t>486.9</t>
  </si>
  <si>
    <t>8.9</t>
  </si>
  <si>
    <t>85974.14</t>
  </si>
  <si>
    <t>453.6</t>
  </si>
  <si>
    <t>26439.76</t>
  </si>
  <si>
    <t>75.7</t>
  </si>
  <si>
    <t>26.05</t>
  </si>
  <si>
    <t>27687.78</t>
  </si>
  <si>
    <t>256.8</t>
  </si>
  <si>
    <t>10.23</t>
  </si>
  <si>
    <t>83530.28</t>
  </si>
  <si>
    <t>198.3</t>
  </si>
  <si>
    <t>28707.56</t>
  </si>
  <si>
    <t>210.5</t>
  </si>
  <si>
    <t>22.58</t>
  </si>
  <si>
    <t>54324.59</t>
  </si>
  <si>
    <t>590.5</t>
  </si>
  <si>
    <t>15.06</t>
  </si>
  <si>
    <t>94494.21</t>
  </si>
  <si>
    <t>400.0</t>
  </si>
  <si>
    <t>28.0</t>
  </si>
  <si>
    <t>94722.44</t>
  </si>
  <si>
    <t>441.9</t>
  </si>
  <si>
    <t>21.26</t>
  </si>
  <si>
    <t>56031.63</t>
  </si>
  <si>
    <t>586.9</t>
  </si>
  <si>
    <t>7.26</t>
  </si>
  <si>
    <t>95686.22</t>
  </si>
  <si>
    <t>251.2</t>
  </si>
  <si>
    <t>28.7</t>
  </si>
  <si>
    <t>101118.75</t>
  </si>
  <si>
    <t>489.0</t>
  </si>
  <si>
    <t>79608.76</t>
  </si>
  <si>
    <t>283.3</t>
  </si>
  <si>
    <t>13.43</t>
  </si>
  <si>
    <t>29725.82</t>
  </si>
  <si>
    <t>526.9</t>
  </si>
  <si>
    <t>35059.38</t>
  </si>
  <si>
    <t>141.2</t>
  </si>
  <si>
    <t>6.28</t>
  </si>
  <si>
    <t>39836.42</t>
  </si>
  <si>
    <t>570.7</t>
  </si>
  <si>
    <t>17.41</t>
  </si>
  <si>
    <t>16666.08</t>
  </si>
  <si>
    <t>162.5</t>
  </si>
  <si>
    <t>8.08</t>
  </si>
  <si>
    <t>34959.68</t>
  </si>
  <si>
    <t>15.02</t>
  </si>
  <si>
    <t>27513.75</t>
  </si>
  <si>
    <t>463.5</t>
  </si>
  <si>
    <t>13.77</t>
  </si>
  <si>
    <t>56273.46</t>
  </si>
  <si>
    <t>260.5</t>
  </si>
  <si>
    <t>24.32</t>
  </si>
  <si>
    <t>109287.19</t>
  </si>
  <si>
    <t>380.6</t>
  </si>
  <si>
    <t>25.08</t>
  </si>
  <si>
    <t>15224.2</t>
  </si>
  <si>
    <t>289.0</t>
  </si>
  <si>
    <t>8.84</t>
  </si>
  <si>
    <t>87271.35</t>
  </si>
  <si>
    <t>455.7</t>
  </si>
  <si>
    <t>14.16</t>
  </si>
  <si>
    <t>83412.11</t>
  </si>
  <si>
    <t>167.9</t>
  </si>
  <si>
    <t>14.33</t>
  </si>
  <si>
    <t>14203.24</t>
  </si>
  <si>
    <t>72.7</t>
  </si>
  <si>
    <t>8.79</t>
  </si>
  <si>
    <t>110940.97</t>
  </si>
  <si>
    <t>208.0</t>
  </si>
  <si>
    <t>24.96</t>
  </si>
  <si>
    <t>69511.25</t>
  </si>
  <si>
    <t>305.6</t>
  </si>
  <si>
    <t>22.68</t>
  </si>
  <si>
    <t>45555.89</t>
  </si>
  <si>
    <t>134.1</t>
  </si>
  <si>
    <t>9.76</t>
  </si>
  <si>
    <t>91515.01</t>
  </si>
  <si>
    <t>238.7</t>
  </si>
  <si>
    <t>14.17</t>
  </si>
  <si>
    <t>33111.76</t>
  </si>
  <si>
    <t>264.0</t>
  </si>
  <si>
    <t>7.65</t>
  </si>
  <si>
    <t>84140.65</t>
  </si>
  <si>
    <t>72.1</t>
  </si>
  <si>
    <t>20.71</t>
  </si>
  <si>
    <t>7646.21</t>
  </si>
  <si>
    <t>366.7</t>
  </si>
  <si>
    <t>8.03</t>
  </si>
  <si>
    <t>101210.74</t>
  </si>
  <si>
    <t>535.2</t>
  </si>
  <si>
    <t>29.65</t>
  </si>
  <si>
    <t>55435.99</t>
  </si>
  <si>
    <t>125.0</t>
  </si>
  <si>
    <t>24.52</t>
  </si>
  <si>
    <t>77493.07</t>
  </si>
  <si>
    <t>374.8</t>
  </si>
  <si>
    <t>14.76</t>
  </si>
  <si>
    <t>28884.82</t>
  </si>
  <si>
    <t>412.3</t>
  </si>
  <si>
    <t>19.46</t>
  </si>
  <si>
    <t>82217.62</t>
  </si>
  <si>
    <t>274.8</t>
  </si>
  <si>
    <t>27.78</t>
  </si>
  <si>
    <t>93352.11</t>
  </si>
  <si>
    <t>432.6</t>
  </si>
  <si>
    <t>18.85</t>
  </si>
  <si>
    <t>58365.94</t>
  </si>
  <si>
    <t>270.0</t>
  </si>
  <si>
    <t>9.36</t>
  </si>
  <si>
    <t>75274.05</t>
  </si>
  <si>
    <t>322.6</t>
  </si>
  <si>
    <t>14.47</t>
  </si>
  <si>
    <t>56390.13</t>
  </si>
  <si>
    <t>44.1</t>
  </si>
  <si>
    <t>26.08</t>
  </si>
  <si>
    <t>107608.69</t>
  </si>
  <si>
    <t>427.4</t>
  </si>
  <si>
    <t>21.11</t>
  </si>
  <si>
    <t>61250.69</t>
  </si>
  <si>
    <t>410.4</t>
  </si>
  <si>
    <t>21.27</t>
  </si>
  <si>
    <t>101491.62</t>
  </si>
  <si>
    <t>61.5</t>
  </si>
  <si>
    <t>26.67</t>
  </si>
  <si>
    <t>96758.19</t>
  </si>
  <si>
    <t>246.2</t>
  </si>
  <si>
    <t>27.35</t>
  </si>
  <si>
    <t>51029.06</t>
  </si>
  <si>
    <t>588.3</t>
  </si>
  <si>
    <t>27.99</t>
  </si>
  <si>
    <t>29919.89</t>
  </si>
  <si>
    <t>275.6</t>
  </si>
  <si>
    <t>7.37</t>
  </si>
  <si>
    <t>50511.61</t>
  </si>
  <si>
    <t>321.1</t>
  </si>
  <si>
    <t>99667.43</t>
  </si>
  <si>
    <t>549.6</t>
  </si>
  <si>
    <t>23.51</t>
  </si>
  <si>
    <t>29633.01</t>
  </si>
  <si>
    <t>441.7</t>
  </si>
  <si>
    <t>23.92</t>
  </si>
  <si>
    <t>64359.05</t>
  </si>
  <si>
    <t>366.0</t>
  </si>
  <si>
    <t>20.17</t>
  </si>
  <si>
    <t>97313.32</t>
  </si>
  <si>
    <t>486.8</t>
  </si>
  <si>
    <t>9.17</t>
  </si>
  <si>
    <t>44356.86</t>
  </si>
  <si>
    <t>524.0</t>
  </si>
  <si>
    <t>24.94</t>
  </si>
  <si>
    <t>78138.53</t>
  </si>
  <si>
    <t>295.9</t>
  </si>
  <si>
    <t>31738.89</t>
  </si>
  <si>
    <t>7.15</t>
  </si>
  <si>
    <t>15785.7</t>
  </si>
  <si>
    <t>256.2</t>
  </si>
  <si>
    <t>16.6</t>
  </si>
  <si>
    <t>95942.95</t>
  </si>
  <si>
    <t>581.4</t>
  </si>
  <si>
    <t>9.35</t>
  </si>
  <si>
    <t>14579.33</t>
  </si>
  <si>
    <t>430.4</t>
  </si>
  <si>
    <t>13.44</t>
  </si>
  <si>
    <t>34751.62</t>
  </si>
  <si>
    <t>86.6</t>
  </si>
  <si>
    <t>103047.8</t>
  </si>
  <si>
    <t>523.3</t>
  </si>
  <si>
    <t>43536.91</t>
  </si>
  <si>
    <t>309.1</t>
  </si>
  <si>
    <t>18.75</t>
  </si>
  <si>
    <t>116846.31</t>
  </si>
  <si>
    <t>78.5</t>
  </si>
  <si>
    <t>20.49</t>
  </si>
  <si>
    <t>117628.92</t>
  </si>
  <si>
    <t>347.8</t>
  </si>
  <si>
    <t>21.59</t>
  </si>
  <si>
    <t>34388.29</t>
  </si>
  <si>
    <t>273.6</t>
  </si>
  <si>
    <t>7794.45</t>
  </si>
  <si>
    <t>531.5</t>
  </si>
  <si>
    <t>10.39</t>
  </si>
  <si>
    <t>85492.4</t>
  </si>
  <si>
    <t>154.2</t>
  </si>
  <si>
    <t>8.01</t>
  </si>
  <si>
    <t>55765.42</t>
  </si>
  <si>
    <t>502.8</t>
  </si>
  <si>
    <t>26.29</t>
  </si>
  <si>
    <t>14788.08</t>
  </si>
  <si>
    <t>352.3</t>
  </si>
  <si>
    <t>8.92</t>
  </si>
  <si>
    <t>85780.17</t>
  </si>
  <si>
    <t>70.6</t>
  </si>
  <si>
    <t>29.37</t>
  </si>
  <si>
    <t>6647.46</t>
  </si>
  <si>
    <t>584.2</t>
  </si>
  <si>
    <t>26.06</t>
  </si>
  <si>
    <t>104813.01</t>
  </si>
  <si>
    <t>327.1</t>
  </si>
  <si>
    <t>17.52</t>
  </si>
  <si>
    <t>19222.35</t>
  </si>
  <si>
    <t>202.9</t>
  </si>
  <si>
    <t>29.54</t>
  </si>
  <si>
    <t>17895.49</t>
  </si>
  <si>
    <t>302.9</t>
  </si>
  <si>
    <t>7.43</t>
  </si>
  <si>
    <t>23553.66</t>
  </si>
  <si>
    <t>12.58</t>
  </si>
  <si>
    <t>115351.16</t>
  </si>
  <si>
    <t>210.7</t>
  </si>
  <si>
    <t>20.96</t>
  </si>
  <si>
    <t>84100.82</t>
  </si>
  <si>
    <t>147.9</t>
  </si>
  <si>
    <t>13.75</t>
  </si>
  <si>
    <t>96760.47</t>
  </si>
  <si>
    <t>112.3</t>
  </si>
  <si>
    <t>28.21</t>
  </si>
  <si>
    <t>49523.29</t>
  </si>
  <si>
    <t>206.8</t>
  </si>
  <si>
    <t>6.64</t>
  </si>
  <si>
    <t>42348.59</t>
  </si>
  <si>
    <t>476.8</t>
  </si>
  <si>
    <t>18.74</t>
  </si>
  <si>
    <t>30434.63</t>
  </si>
  <si>
    <t>304.1</t>
  </si>
  <si>
    <t>19.77</t>
  </si>
  <si>
    <t>59235.82</t>
  </si>
  <si>
    <t>167.4</t>
  </si>
  <si>
    <t>21.32</t>
  </si>
  <si>
    <t>67563.96</t>
  </si>
  <si>
    <t>11.39</t>
  </si>
  <si>
    <t>76917.66</t>
  </si>
  <si>
    <t>226.3</t>
  </si>
  <si>
    <t>14.11</t>
  </si>
  <si>
    <t>33082.86</t>
  </si>
  <si>
    <t>566.4</t>
  </si>
  <si>
    <t>26.09</t>
  </si>
  <si>
    <t>113992.53</t>
  </si>
  <si>
    <t>232.1</t>
  </si>
  <si>
    <t>9.87</t>
  </si>
  <si>
    <t>22861.74</t>
  </si>
  <si>
    <t>593.3</t>
  </si>
  <si>
    <t>25.67</t>
  </si>
  <si>
    <t>115981.42</t>
  </si>
  <si>
    <t>311.7</t>
  </si>
  <si>
    <t>19.07</t>
  </si>
  <si>
    <t>4738.17</t>
  </si>
  <si>
    <t>140.3</t>
  </si>
  <si>
    <t>24.05</t>
  </si>
  <si>
    <t>59291.71</t>
  </si>
  <si>
    <t>539.0</t>
  </si>
  <si>
    <t>42004.04</t>
  </si>
  <si>
    <t>297.8</t>
  </si>
  <si>
    <t>10.19</t>
  </si>
  <si>
    <t>55547.44</t>
  </si>
  <si>
    <t>437.4</t>
  </si>
  <si>
    <t>19.22</t>
  </si>
  <si>
    <t>69767.76</t>
  </si>
  <si>
    <t>590.9</t>
  </si>
  <si>
    <t>26.69</t>
  </si>
  <si>
    <t>53963.93</t>
  </si>
  <si>
    <t>68.1</t>
  </si>
  <si>
    <t>15.8</t>
  </si>
  <si>
    <t>51537.08</t>
  </si>
  <si>
    <t>94.1</t>
  </si>
  <si>
    <t>29.16</t>
  </si>
  <si>
    <t>88728.64</t>
  </si>
  <si>
    <t>443.5</t>
  </si>
  <si>
    <t>16.31</t>
  </si>
  <si>
    <t>83247.52</t>
  </si>
  <si>
    <t>197.8</t>
  </si>
  <si>
    <t>8.57</t>
  </si>
  <si>
    <t>100492.74</t>
  </si>
  <si>
    <t>143.2</t>
  </si>
  <si>
    <t>14.74</t>
  </si>
  <si>
    <t>32245.2</t>
  </si>
  <si>
    <t>28.79</t>
  </si>
  <si>
    <t>74314.84</t>
  </si>
  <si>
    <t>52.2</t>
  </si>
  <si>
    <t>12.99</t>
  </si>
  <si>
    <t>71467.79</t>
  </si>
  <si>
    <t>473.7</t>
  </si>
  <si>
    <t>26.7</t>
  </si>
  <si>
    <t>46259.32</t>
  </si>
  <si>
    <t>115.3</t>
  </si>
  <si>
    <t>27.03</t>
  </si>
  <si>
    <t>59868.73</t>
  </si>
  <si>
    <t>301.9</t>
  </si>
  <si>
    <t>39712.51</t>
  </si>
  <si>
    <t>379.3</t>
  </si>
  <si>
    <t>7.08</t>
  </si>
  <si>
    <t>19595.79</t>
  </si>
  <si>
    <t>279.9</t>
  </si>
  <si>
    <t>23.11</t>
  </si>
  <si>
    <t>28014.74</t>
  </si>
  <si>
    <t>55.2</t>
  </si>
  <si>
    <t>12.79</t>
  </si>
  <si>
    <t>15345.1</t>
  </si>
  <si>
    <t>478.8</t>
  </si>
  <si>
    <t>82919.14</t>
  </si>
  <si>
    <t>45.9</t>
  </si>
  <si>
    <t>16.07</t>
  </si>
  <si>
    <t>80305.1</t>
  </si>
  <si>
    <t>466.7</t>
  </si>
  <si>
    <t>114220.95</t>
  </si>
  <si>
    <t>540.3</t>
  </si>
  <si>
    <t>24.45</t>
  </si>
  <si>
    <t>88372.37</t>
  </si>
  <si>
    <t>282.4</t>
  </si>
  <si>
    <t>14.56</t>
  </si>
  <si>
    <t>9089.36</t>
  </si>
  <si>
    <t>339.9</t>
  </si>
  <si>
    <t>16.08</t>
  </si>
  <si>
    <t>106456.69</t>
  </si>
  <si>
    <t>307.1</t>
  </si>
  <si>
    <t>103932.99</t>
  </si>
  <si>
    <t>258.0</t>
  </si>
  <si>
    <t>14.18</t>
  </si>
  <si>
    <t>54868.48</t>
  </si>
  <si>
    <t>537.0</t>
  </si>
  <si>
    <t>18.15</t>
  </si>
  <si>
    <t>71545.98</t>
  </si>
  <si>
    <t>540.6</t>
  </si>
  <si>
    <t>25.22</t>
  </si>
  <si>
    <t>117201.16</t>
  </si>
  <si>
    <t>228.1</t>
  </si>
  <si>
    <t>65279.61</t>
  </si>
  <si>
    <t>384.4</t>
  </si>
  <si>
    <t>18.11</t>
  </si>
  <si>
    <t>108922.65</t>
  </si>
  <si>
    <t>559.1</t>
  </si>
  <si>
    <t>21.77</t>
  </si>
  <si>
    <t>12715.53</t>
  </si>
  <si>
    <t>578.8</t>
  </si>
  <si>
    <t>25353.07</t>
  </si>
  <si>
    <t>325.0</t>
  </si>
  <si>
    <t>11.94</t>
  </si>
  <si>
    <t>54568.33</t>
  </si>
  <si>
    <t>293.6</t>
  </si>
  <si>
    <t>28.34</t>
  </si>
  <si>
    <t>71416.55</t>
  </si>
  <si>
    <t>196.1</t>
  </si>
  <si>
    <t>23.09</t>
  </si>
  <si>
    <t>98498.66</t>
  </si>
  <si>
    <t>577.0</t>
  </si>
  <si>
    <t>19.43</t>
  </si>
  <si>
    <t>118626.67</t>
  </si>
  <si>
    <t>120.0</t>
  </si>
  <si>
    <t>21.19</t>
  </si>
  <si>
    <t>48495.63</t>
  </si>
  <si>
    <t>364.7</t>
  </si>
  <si>
    <t>5.73</t>
  </si>
  <si>
    <t>8547.63</t>
  </si>
  <si>
    <t>198.2</t>
  </si>
  <si>
    <t>20.45</t>
  </si>
  <si>
    <t>96737.07</t>
  </si>
  <si>
    <t>196.2</t>
  </si>
  <si>
    <t>73712.54</t>
  </si>
  <si>
    <t>266.8</t>
  </si>
  <si>
    <t>18.64</t>
  </si>
  <si>
    <t>26229.51</t>
  </si>
  <si>
    <t>599.3</t>
  </si>
  <si>
    <t>13.99</t>
  </si>
  <si>
    <t>60894.93</t>
  </si>
  <si>
    <t>70.8</t>
  </si>
  <si>
    <t>7.04</t>
  </si>
  <si>
    <t>89850.3</t>
  </si>
  <si>
    <t>364.0</t>
  </si>
  <si>
    <t>9.83</t>
  </si>
  <si>
    <t>93138.18</t>
  </si>
  <si>
    <t>86.2</t>
  </si>
  <si>
    <t>28.77</t>
  </si>
  <si>
    <t>61455.35</t>
  </si>
  <si>
    <t>126.5</t>
  </si>
  <si>
    <t>15.22</t>
  </si>
  <si>
    <t>38710.1</t>
  </si>
  <si>
    <t>286.2</t>
  </si>
  <si>
    <t>16.67</t>
  </si>
  <si>
    <t>116927.88</t>
  </si>
  <si>
    <t>325.9</t>
  </si>
  <si>
    <t>80613.43</t>
  </si>
  <si>
    <t>184.9</t>
  </si>
  <si>
    <t>5.94</t>
  </si>
  <si>
    <t>50763.79</t>
  </si>
  <si>
    <t>217.2</t>
  </si>
  <si>
    <t>22.93</t>
  </si>
  <si>
    <t>35814.2</t>
  </si>
  <si>
    <t>88.7</t>
  </si>
  <si>
    <t>18.45</t>
  </si>
  <si>
    <t>88539.05</t>
  </si>
  <si>
    <t>209.8</t>
  </si>
  <si>
    <t>17.72</t>
  </si>
  <si>
    <t>31335.46</t>
  </si>
  <si>
    <t>581.3</t>
  </si>
  <si>
    <t>11.08</t>
  </si>
  <si>
    <t>23090.07</t>
  </si>
  <si>
    <t>569.0</t>
  </si>
  <si>
    <t>23.62</t>
  </si>
  <si>
    <t>64990.57</t>
  </si>
  <si>
    <t>227.5</t>
  </si>
  <si>
    <t>9.21</t>
  </si>
  <si>
    <t>36928.52</t>
  </si>
  <si>
    <t>9.75</t>
  </si>
  <si>
    <t>76581.9</t>
  </si>
  <si>
    <t>549.4</t>
  </si>
  <si>
    <t>16798.82</t>
  </si>
  <si>
    <t>43.5</t>
  </si>
  <si>
    <t>12.16</t>
  </si>
  <si>
    <t>79628.11</t>
  </si>
  <si>
    <t>494.0</t>
  </si>
  <si>
    <t>11.19</t>
  </si>
  <si>
    <t>36145.69</t>
  </si>
  <si>
    <t>571.1</t>
  </si>
  <si>
    <t>3028.42</t>
  </si>
  <si>
    <t>91.1</t>
  </si>
  <si>
    <t>17851.52</t>
  </si>
  <si>
    <t>130.4</t>
  </si>
  <si>
    <t>25.61</t>
  </si>
  <si>
    <t>112233.0</t>
  </si>
  <si>
    <t>578.0</t>
  </si>
  <si>
    <t>15.44</t>
  </si>
  <si>
    <t>104480.49</t>
  </si>
  <si>
    <t>341.0</t>
  </si>
  <si>
    <t>6.83</t>
  </si>
  <si>
    <t>30332.26</t>
  </si>
  <si>
    <t>48.0</t>
  </si>
  <si>
    <t>11.84</t>
  </si>
  <si>
    <t>94069.51</t>
  </si>
  <si>
    <t>184.3</t>
  </si>
  <si>
    <t>29.5</t>
  </si>
  <si>
    <t>74202.88</t>
  </si>
  <si>
    <t>292.0</t>
  </si>
  <si>
    <t>19.91</t>
  </si>
  <si>
    <t>116595.85</t>
  </si>
  <si>
    <t>428.0</t>
  </si>
  <si>
    <t>22.74</t>
  </si>
  <si>
    <t>46711.86</t>
  </si>
  <si>
    <t>450.6</t>
  </si>
  <si>
    <t>82730.89</t>
  </si>
  <si>
    <t>597.4</t>
  </si>
  <si>
    <t>10433.68</t>
  </si>
  <si>
    <t>201.0</t>
  </si>
  <si>
    <t>49360.94</t>
  </si>
  <si>
    <t>341.4</t>
  </si>
  <si>
    <t>19.23</t>
  </si>
  <si>
    <t>115766.67</t>
  </si>
  <si>
    <t>338.7</t>
  </si>
  <si>
    <t>28.02</t>
  </si>
  <si>
    <t>66060.76</t>
  </si>
  <si>
    <t>267.2</t>
  </si>
  <si>
    <t>29.21</t>
  </si>
  <si>
    <t>36681.9</t>
  </si>
  <si>
    <t>134.7</t>
  </si>
  <si>
    <t>17071.7</t>
  </si>
  <si>
    <t>587.4</t>
  </si>
  <si>
    <t>16.46</t>
  </si>
  <si>
    <t>85312.82</t>
  </si>
  <si>
    <t>517.9</t>
  </si>
  <si>
    <t>28.63</t>
  </si>
  <si>
    <t>78448.16</t>
  </si>
  <si>
    <t>319.1</t>
  </si>
  <si>
    <t>46750.83</t>
  </si>
  <si>
    <t>6.62</t>
  </si>
  <si>
    <t>114260.14</t>
  </si>
  <si>
    <t>167.3</t>
  </si>
  <si>
    <t>16.64</t>
  </si>
  <si>
    <t>5597.73</t>
  </si>
  <si>
    <t>344.5</t>
  </si>
  <si>
    <t>11.01</t>
  </si>
  <si>
    <t>38535.69</t>
  </si>
  <si>
    <t>429.2</t>
  </si>
  <si>
    <t>16.75</t>
  </si>
  <si>
    <t>110765.13</t>
  </si>
  <si>
    <t>328.5</t>
  </si>
  <si>
    <t>16.39</t>
  </si>
  <si>
    <t>40549.45</t>
  </si>
  <si>
    <t>594.6</t>
  </si>
  <si>
    <t>19.55</t>
  </si>
  <si>
    <t>32513.58</t>
  </si>
  <si>
    <t>382.4</t>
  </si>
  <si>
    <t>13.92</t>
  </si>
  <si>
    <t>65503.79</t>
  </si>
  <si>
    <t>247.7</t>
  </si>
  <si>
    <t>9.11</t>
  </si>
  <si>
    <t>99384.8</t>
  </si>
  <si>
    <t>472.4</t>
  </si>
  <si>
    <t>17.59</t>
  </si>
  <si>
    <t>15068.17</t>
  </si>
  <si>
    <t>135.5</t>
  </si>
  <si>
    <t>25.76</t>
  </si>
  <si>
    <t>113333.42</t>
  </si>
  <si>
    <t>255.3</t>
  </si>
  <si>
    <t>21.6</t>
  </si>
  <si>
    <t>96023.53</t>
  </si>
  <si>
    <t>24206.28</t>
  </si>
  <si>
    <t>281.8</t>
  </si>
  <si>
    <t>28.39</t>
  </si>
  <si>
    <t>86304.93</t>
  </si>
  <si>
    <t>477.8</t>
  </si>
  <si>
    <t>27.81</t>
  </si>
  <si>
    <t>48040.17</t>
  </si>
  <si>
    <t>311.1</t>
  </si>
  <si>
    <t>50068.48</t>
  </si>
  <si>
    <t>5.99</t>
  </si>
  <si>
    <t>94644.94</t>
  </si>
  <si>
    <t>362.8</t>
  </si>
  <si>
    <t>23.53</t>
  </si>
  <si>
    <t>115645.82</t>
  </si>
  <si>
    <t>25.69</t>
  </si>
  <si>
    <t>17818.74</t>
  </si>
  <si>
    <t>493.6</t>
  </si>
  <si>
    <t>29.2</t>
  </si>
  <si>
    <t>52213.74</t>
  </si>
  <si>
    <t>173.4</t>
  </si>
  <si>
    <t>27.25</t>
  </si>
  <si>
    <t>59270.17</t>
  </si>
  <si>
    <t>165.7</t>
  </si>
  <si>
    <t>20.01</t>
  </si>
  <si>
    <t>47028.48</t>
  </si>
  <si>
    <t>322.5</t>
  </si>
  <si>
    <t>18.25</t>
  </si>
  <si>
    <t>45493.13</t>
  </si>
  <si>
    <t>186.1</t>
  </si>
  <si>
    <t>5.7</t>
  </si>
  <si>
    <t>9115.43</t>
  </si>
  <si>
    <t>45.1</t>
  </si>
  <si>
    <t>11.17</t>
  </si>
  <si>
    <t>83208.02</t>
  </si>
  <si>
    <t>403.0</t>
  </si>
  <si>
    <t>54037.09</t>
  </si>
  <si>
    <t>326.2</t>
  </si>
  <si>
    <t>25790.87</t>
  </si>
  <si>
    <t>289.5</t>
  </si>
  <si>
    <t>18.93</t>
  </si>
  <si>
    <t>98475.92</t>
  </si>
  <si>
    <t>581.5</t>
  </si>
  <si>
    <t>23.57</t>
  </si>
  <si>
    <t>96899.61</t>
  </si>
  <si>
    <t>359.9</t>
  </si>
  <si>
    <t>11.99</t>
  </si>
  <si>
    <t>59907.82</t>
  </si>
  <si>
    <t>523.5</t>
  </si>
  <si>
    <t>19.12</t>
  </si>
  <si>
    <t>37918.73</t>
  </si>
  <si>
    <t>118.1</t>
  </si>
  <si>
    <t>7.2</t>
  </si>
  <si>
    <t>77656.85</t>
  </si>
  <si>
    <t>358.8</t>
  </si>
  <si>
    <t>15.34</t>
  </si>
  <si>
    <t>36713.8</t>
  </si>
  <si>
    <t>526.1</t>
  </si>
  <si>
    <t>23.75</t>
  </si>
  <si>
    <t>30612.93</t>
  </si>
  <si>
    <t>366.5</t>
  </si>
  <si>
    <t>22.34</t>
  </si>
  <si>
    <t>88470.21</t>
  </si>
  <si>
    <t>442.1</t>
  </si>
  <si>
    <t>29.77</t>
  </si>
  <si>
    <t>7718.05</t>
  </si>
  <si>
    <t>248.3</t>
  </si>
  <si>
    <t>11.95</t>
  </si>
  <si>
    <t>14087.91</t>
  </si>
  <si>
    <t>91.8</t>
  </si>
  <si>
    <t>17.45</t>
  </si>
  <si>
    <t>3794.22</t>
  </si>
  <si>
    <t>296.4</t>
  </si>
  <si>
    <t>13.24</t>
  </si>
  <si>
    <t>20894.35</t>
  </si>
  <si>
    <t>260.9</t>
  </si>
  <si>
    <t>16.02</t>
  </si>
  <si>
    <t>11071.83</t>
  </si>
  <si>
    <t>525.6</t>
  </si>
  <si>
    <t>26.42</t>
  </si>
  <si>
    <t>119508.88</t>
  </si>
  <si>
    <t>176.6</t>
  </si>
  <si>
    <t>36790.77</t>
  </si>
  <si>
    <t>27.06</t>
  </si>
  <si>
    <t>20464.36</t>
  </si>
  <si>
    <t>576.6</t>
  </si>
  <si>
    <t>10.09</t>
  </si>
  <si>
    <t>31196.56</t>
  </si>
  <si>
    <t>178.7</t>
  </si>
  <si>
    <t>26.83</t>
  </si>
  <si>
    <t>112526.69</t>
  </si>
  <si>
    <t>234.9</t>
  </si>
  <si>
    <t>6.49</t>
  </si>
  <si>
    <t>63858.75</t>
  </si>
  <si>
    <t>541.5</t>
  </si>
  <si>
    <t>27.21</t>
  </si>
  <si>
    <t>45683.72</t>
  </si>
  <si>
    <t>13.23</t>
  </si>
  <si>
    <t>105186.8</t>
  </si>
  <si>
    <t>288.3</t>
  </si>
  <si>
    <t>12.86</t>
  </si>
  <si>
    <t>49213.86</t>
  </si>
  <si>
    <t>219.8</t>
  </si>
  <si>
    <t>42196.0</t>
  </si>
  <si>
    <t>334.6</t>
  </si>
  <si>
    <t>28.52</t>
  </si>
  <si>
    <t>27252.06</t>
  </si>
  <si>
    <t>425.2</t>
  </si>
  <si>
    <t>6.19</t>
  </si>
  <si>
    <t>47202.23</t>
  </si>
  <si>
    <t>193.1</t>
  </si>
  <si>
    <t>40052.07</t>
  </si>
  <si>
    <t>452.4</t>
  </si>
  <si>
    <t>26.41</t>
  </si>
  <si>
    <t>82244.56</t>
  </si>
  <si>
    <t>68.9</t>
  </si>
  <si>
    <t>14.9</t>
  </si>
  <si>
    <t>36881.18</t>
  </si>
  <si>
    <t>67.6</t>
  </si>
  <si>
    <t>9.98</t>
  </si>
  <si>
    <t>70532.37</t>
  </si>
  <si>
    <t>256.3</t>
  </si>
  <si>
    <t>15.62</t>
  </si>
  <si>
    <t>10709.38</t>
  </si>
  <si>
    <t>237.9</t>
  </si>
  <si>
    <t>14.64</t>
  </si>
  <si>
    <t>25380.83</t>
  </si>
  <si>
    <t>216.8</t>
  </si>
  <si>
    <t>27.89</t>
  </si>
  <si>
    <t>50666.42</t>
  </si>
  <si>
    <t>315.0</t>
  </si>
  <si>
    <t>112623.06</t>
  </si>
  <si>
    <t>219.6</t>
  </si>
  <si>
    <t>17.63</t>
  </si>
  <si>
    <t>47138.48</t>
  </si>
  <si>
    <t>147.7</t>
  </si>
  <si>
    <t>29.71</t>
  </si>
  <si>
    <t>80696.67</t>
  </si>
  <si>
    <t>213.3</t>
  </si>
  <si>
    <t>16.63</t>
  </si>
  <si>
    <t>32845.21</t>
  </si>
  <si>
    <t>585.9</t>
  </si>
  <si>
    <t>6.46</t>
  </si>
  <si>
    <t>17862.93</t>
  </si>
  <si>
    <t>270.2</t>
  </si>
  <si>
    <t>11.56</t>
  </si>
  <si>
    <t>9848.78</t>
  </si>
  <si>
    <t>15.9</t>
  </si>
  <si>
    <t>38733.38</t>
  </si>
  <si>
    <t>362.9</t>
  </si>
  <si>
    <t>21446.34</t>
  </si>
  <si>
    <t>590.7</t>
  </si>
  <si>
    <t>28.69</t>
  </si>
  <si>
    <t>23359.22</t>
  </si>
  <si>
    <t>175.3</t>
  </si>
  <si>
    <t>24.17</t>
  </si>
  <si>
    <t>92008.84</t>
  </si>
  <si>
    <t>421.5</t>
  </si>
  <si>
    <t>11.71</t>
  </si>
  <si>
    <t>4853.05</t>
  </si>
  <si>
    <t>441.0</t>
  </si>
  <si>
    <t>68263.78</t>
  </si>
  <si>
    <t>380.1</t>
  </si>
  <si>
    <t>23.04</t>
  </si>
  <si>
    <t>47396.98</t>
  </si>
  <si>
    <t>89.6</t>
  </si>
  <si>
    <t>28.53</t>
  </si>
  <si>
    <t>62266.35</t>
  </si>
  <si>
    <t>419.0</t>
  </si>
  <si>
    <t>27.04</t>
  </si>
  <si>
    <t>68851.14</t>
  </si>
  <si>
    <t>75.9</t>
  </si>
  <si>
    <t>17.88</t>
  </si>
  <si>
    <t>39664.02</t>
  </si>
  <si>
    <t>373.8</t>
  </si>
  <si>
    <t>24.37</t>
  </si>
  <si>
    <t>37527.74</t>
  </si>
  <si>
    <t>454.2</t>
  </si>
  <si>
    <t>19.05</t>
  </si>
  <si>
    <t>88808.02</t>
  </si>
  <si>
    <t>158.1</t>
  </si>
  <si>
    <t>18.82</t>
  </si>
  <si>
    <t>104939.41</t>
  </si>
  <si>
    <t>511.3</t>
  </si>
  <si>
    <t>7.87</t>
  </si>
  <si>
    <t>25532.05</t>
  </si>
  <si>
    <t>57.0</t>
  </si>
  <si>
    <t>8.15</t>
  </si>
  <si>
    <t>14421.39</t>
  </si>
  <si>
    <t>512.5</t>
  </si>
  <si>
    <t>18.24</t>
  </si>
  <si>
    <t>108042.11</t>
  </si>
  <si>
    <t>11.72</t>
  </si>
  <si>
    <t>43937.77</t>
  </si>
  <si>
    <t>161.8</t>
  </si>
  <si>
    <t>67504.13</t>
  </si>
  <si>
    <t>45066.55</t>
  </si>
  <si>
    <t>573.9</t>
  </si>
  <si>
    <t>17718.87</t>
  </si>
  <si>
    <t>80.7</t>
  </si>
  <si>
    <t>19.88</t>
  </si>
  <si>
    <t>71951.8</t>
  </si>
  <si>
    <t>151.5</t>
  </si>
  <si>
    <t>18.48</t>
  </si>
  <si>
    <t>64441.48</t>
  </si>
  <si>
    <t>234.8</t>
  </si>
  <si>
    <t>29.22</t>
  </si>
  <si>
    <t>26750.25</t>
  </si>
  <si>
    <t>387.3</t>
  </si>
  <si>
    <t>17.11</t>
  </si>
  <si>
    <t>55868.68</t>
  </si>
  <si>
    <t>345.1</t>
  </si>
  <si>
    <t>6.59</t>
  </si>
  <si>
    <t>96242.86</t>
  </si>
  <si>
    <t>110.4</t>
  </si>
  <si>
    <t>72079.85</t>
  </si>
  <si>
    <t>202.2</t>
  </si>
  <si>
    <t>26.03</t>
  </si>
  <si>
    <t>14339.33</t>
  </si>
  <si>
    <t>173.7</t>
  </si>
  <si>
    <t>29.92</t>
  </si>
  <si>
    <t>67118.52</t>
  </si>
  <si>
    <t>159.6</t>
  </si>
  <si>
    <t>15.76</t>
  </si>
  <si>
    <t>85220.38</t>
  </si>
  <si>
    <t>13.01</t>
  </si>
  <si>
    <t>95746.3</t>
  </si>
  <si>
    <t>434.3</t>
  </si>
  <si>
    <t>27.67</t>
  </si>
  <si>
    <t>76606.76</t>
  </si>
  <si>
    <t>9.78</t>
  </si>
  <si>
    <t>20861.01</t>
  </si>
  <si>
    <t>245.3</t>
  </si>
  <si>
    <t>20.39</t>
  </si>
  <si>
    <t>86090.27</t>
  </si>
  <si>
    <t>258.9</t>
  </si>
  <si>
    <t>15.14</t>
  </si>
  <si>
    <t>82249.0</t>
  </si>
  <si>
    <t>586.8</t>
  </si>
  <si>
    <t>6.03</t>
  </si>
  <si>
    <t>5857.95</t>
  </si>
  <si>
    <t>574.6</t>
  </si>
  <si>
    <t>13.68</t>
  </si>
  <si>
    <t>51174.48</t>
  </si>
  <si>
    <t>488.1</t>
  </si>
  <si>
    <t>41955.18</t>
  </si>
  <si>
    <t>22.15</t>
  </si>
  <si>
    <t>81321.21</t>
  </si>
  <si>
    <t>78.1</t>
  </si>
  <si>
    <t>28.72</t>
  </si>
  <si>
    <t>28287.89</t>
  </si>
  <si>
    <t>217.5</t>
  </si>
  <si>
    <t>11.7</t>
  </si>
  <si>
    <t>72132.01</t>
  </si>
  <si>
    <t>189.4</t>
  </si>
  <si>
    <t>25.29</t>
  </si>
  <si>
    <t>109845.1</t>
  </si>
  <si>
    <t>323.3</t>
  </si>
  <si>
    <t>6.38</t>
  </si>
  <si>
    <t>96342.88</t>
  </si>
  <si>
    <t>475.5</t>
  </si>
  <si>
    <t>110810.56</t>
  </si>
  <si>
    <t>520.7</t>
  </si>
  <si>
    <t>6.76</t>
  </si>
  <si>
    <t>117485.2</t>
  </si>
  <si>
    <t>513.1</t>
  </si>
  <si>
    <t>28.35</t>
  </si>
  <si>
    <t>4248.4</t>
  </si>
  <si>
    <t>241.4</t>
  </si>
  <si>
    <t>24.16</t>
  </si>
  <si>
    <t>75860.73</t>
  </si>
  <si>
    <t>424.9</t>
  </si>
  <si>
    <t>21.45</t>
  </si>
  <si>
    <t>51302.21</t>
  </si>
  <si>
    <t>215.2</t>
  </si>
  <si>
    <t>25.6</t>
  </si>
  <si>
    <t>103602.98</t>
  </si>
  <si>
    <t>74.1</t>
  </si>
  <si>
    <t>32462.32</t>
  </si>
  <si>
    <t>432.9</t>
  </si>
  <si>
    <t>117780.45</t>
  </si>
  <si>
    <t>45.5</t>
  </si>
  <si>
    <t>22.85</t>
  </si>
  <si>
    <t>74803.83</t>
  </si>
  <si>
    <t>269.1</t>
  </si>
  <si>
    <t>28.12</t>
  </si>
  <si>
    <t>95843.88</t>
  </si>
  <si>
    <t>224.5</t>
  </si>
  <si>
    <t>17.93</t>
  </si>
  <si>
    <t>13015.15</t>
  </si>
  <si>
    <t>428.3</t>
  </si>
  <si>
    <t>7.93</t>
  </si>
  <si>
    <t>24464.57</t>
  </si>
  <si>
    <t>469.1</t>
  </si>
  <si>
    <t>18.2</t>
  </si>
  <si>
    <t>91733.23</t>
  </si>
  <si>
    <t>210.3</t>
  </si>
  <si>
    <t>5572.42</t>
  </si>
  <si>
    <t>494.5</t>
  </si>
  <si>
    <t>19.81</t>
  </si>
  <si>
    <t>98574.72</t>
  </si>
  <si>
    <t>204.6</t>
  </si>
  <si>
    <t>17.06</t>
  </si>
  <si>
    <t>4632.04</t>
  </si>
  <si>
    <t>289.9</t>
  </si>
  <si>
    <t>79882.9</t>
  </si>
  <si>
    <t>447.1</t>
  </si>
  <si>
    <t>5.25</t>
  </si>
  <si>
    <t>45715.99</t>
  </si>
  <si>
    <t>74544.9</t>
  </si>
  <si>
    <t>592.9</t>
  </si>
  <si>
    <t>17.28</t>
  </si>
  <si>
    <t>84435.67</t>
  </si>
  <si>
    <t>166.1</t>
  </si>
  <si>
    <t>43069.6</t>
  </si>
  <si>
    <t>410.9</t>
  </si>
  <si>
    <t>14.59</t>
  </si>
  <si>
    <t>15631.61</t>
  </si>
  <si>
    <t>381.4</t>
  </si>
  <si>
    <t>15.61</t>
  </si>
  <si>
    <t>11148.57</t>
  </si>
  <si>
    <t>552.5</t>
  </si>
  <si>
    <t>22.87</t>
  </si>
  <si>
    <t>71905.51</t>
  </si>
  <si>
    <t>127.6</t>
  </si>
  <si>
    <t>20.09</t>
  </si>
  <si>
    <t>63916.68</t>
  </si>
  <si>
    <t>461.0</t>
  </si>
  <si>
    <t>12.47</t>
  </si>
  <si>
    <t>89837.52</t>
  </si>
  <si>
    <t>358.2</t>
  </si>
  <si>
    <t>15.27</t>
  </si>
  <si>
    <t>62639.05</t>
  </si>
  <si>
    <t>193.8</t>
  </si>
  <si>
    <t>10.44</t>
  </si>
  <si>
    <t>52426.16</t>
  </si>
  <si>
    <t>305.7</t>
  </si>
  <si>
    <t>49576.2</t>
  </si>
  <si>
    <t>226.9</t>
  </si>
  <si>
    <t>8.27</t>
  </si>
  <si>
    <t>6094.29</t>
  </si>
  <si>
    <t>364.4</t>
  </si>
  <si>
    <t>14.3</t>
  </si>
  <si>
    <t>42260.19</t>
  </si>
  <si>
    <t>537.8</t>
  </si>
  <si>
    <t>5.65</t>
  </si>
  <si>
    <t>117194.36</t>
  </si>
  <si>
    <t>10.54</t>
  </si>
  <si>
    <t>105206.0</t>
  </si>
  <si>
    <t>393.8</t>
  </si>
  <si>
    <t>24.51</t>
  </si>
  <si>
    <t>41537.23</t>
  </si>
  <si>
    <t>330.5</t>
  </si>
  <si>
    <t>10.03</t>
  </si>
  <si>
    <t>71772.06</t>
  </si>
  <si>
    <t>7.0</t>
  </si>
  <si>
    <t>102133.72</t>
  </si>
  <si>
    <t>170.4</t>
  </si>
  <si>
    <t>16.86</t>
  </si>
  <si>
    <t>54629.1</t>
  </si>
  <si>
    <t>315.5</t>
  </si>
  <si>
    <t>5101.07</t>
  </si>
  <si>
    <t>213.7</t>
  </si>
  <si>
    <t>7.12</t>
  </si>
  <si>
    <t>11717.72</t>
  </si>
  <si>
    <t>25.19</t>
  </si>
  <si>
    <t>62715.95</t>
  </si>
  <si>
    <t>322.3</t>
  </si>
  <si>
    <t>24.29</t>
  </si>
  <si>
    <t>116424.41</t>
  </si>
  <si>
    <t>220.8</t>
  </si>
  <si>
    <t>27.88</t>
  </si>
  <si>
    <t>84105.52</t>
  </si>
  <si>
    <t>184.5</t>
  </si>
  <si>
    <t>26.36</t>
  </si>
  <si>
    <t>11297.19</t>
  </si>
  <si>
    <t>299.8</t>
  </si>
  <si>
    <t>22.08</t>
  </si>
  <si>
    <t>25155.22</t>
  </si>
  <si>
    <t>114.6</t>
  </si>
  <si>
    <t>93244.81</t>
  </si>
  <si>
    <t>559.5</t>
  </si>
  <si>
    <t>101448.45</t>
  </si>
  <si>
    <t>525.9</t>
  </si>
  <si>
    <t>26.14</t>
  </si>
  <si>
    <t>75270.27</t>
  </si>
  <si>
    <t>436.3</t>
  </si>
  <si>
    <t>24.98</t>
  </si>
  <si>
    <t>78397.51</t>
  </si>
  <si>
    <t>99.5</t>
  </si>
  <si>
    <t>17.71</t>
  </si>
  <si>
    <t>6315.48</t>
  </si>
  <si>
    <t>474.5</t>
  </si>
  <si>
    <t>10.82</t>
  </si>
  <si>
    <t>99938.04</t>
  </si>
  <si>
    <t>492.5</t>
  </si>
  <si>
    <t>26.13</t>
  </si>
  <si>
    <t>95228.2</t>
  </si>
  <si>
    <t>469.9</t>
  </si>
  <si>
    <t>23.18</t>
  </si>
  <si>
    <t>33307.11</t>
  </si>
  <si>
    <t>103.8</t>
  </si>
  <si>
    <t>29.52</t>
  </si>
  <si>
    <t>85915.18</t>
  </si>
  <si>
    <t>400.6</t>
  </si>
  <si>
    <t>8.89</t>
  </si>
  <si>
    <t>28137.99</t>
  </si>
  <si>
    <t>507.2</t>
  </si>
  <si>
    <t>10.64</t>
  </si>
  <si>
    <t>7718.63</t>
  </si>
  <si>
    <t>363.3</t>
  </si>
  <si>
    <t>10.29</t>
  </si>
  <si>
    <t>26532.98</t>
  </si>
  <si>
    <t>402.0</t>
  </si>
  <si>
    <t>24.81</t>
  </si>
  <si>
    <t>23899.58</t>
  </si>
  <si>
    <t>296.7</t>
  </si>
  <si>
    <t>9.67</t>
  </si>
  <si>
    <t>42516.52</t>
  </si>
  <si>
    <t>336.1</t>
  </si>
  <si>
    <t>6.67</t>
  </si>
  <si>
    <t>51958.59</t>
  </si>
  <si>
    <t>29.96</t>
  </si>
  <si>
    <t>62499.05</t>
  </si>
  <si>
    <t>397.8</t>
  </si>
  <si>
    <t>5.62</t>
  </si>
  <si>
    <t>58780.2</t>
  </si>
  <si>
    <t>85.6</t>
  </si>
  <si>
    <t>25.88</t>
  </si>
  <si>
    <t>34668.93</t>
  </si>
  <si>
    <t>283.6</t>
  </si>
  <si>
    <t>14.13</t>
  </si>
  <si>
    <t>6412.97</t>
  </si>
  <si>
    <t>203.9</t>
  </si>
  <si>
    <t>26.04</t>
  </si>
  <si>
    <t>73796.89</t>
  </si>
  <si>
    <t>345.4</t>
  </si>
  <si>
    <t>18.87</t>
  </si>
  <si>
    <t>49302.15</t>
  </si>
  <si>
    <t>114.7</t>
  </si>
  <si>
    <t>27.54</t>
  </si>
  <si>
    <t>37944.64</t>
  </si>
  <si>
    <t>427.3</t>
  </si>
  <si>
    <t>28.15</t>
  </si>
  <si>
    <t>104432.1</t>
  </si>
  <si>
    <t>485.2</t>
  </si>
  <si>
    <t>5.23</t>
  </si>
  <si>
    <t>90368.97</t>
  </si>
  <si>
    <t>131.5</t>
  </si>
  <si>
    <t>6.89</t>
  </si>
  <si>
    <t>103358.57</t>
  </si>
  <si>
    <t>98.4</t>
  </si>
  <si>
    <t>11.26</t>
  </si>
  <si>
    <t>60912.99</t>
  </si>
  <si>
    <t>121.5</t>
  </si>
  <si>
    <t>21.73</t>
  </si>
  <si>
    <t>18318.96</t>
  </si>
  <si>
    <t>531.2</t>
  </si>
  <si>
    <t>84457.91</t>
  </si>
  <si>
    <t>335.8</t>
  </si>
  <si>
    <t>16.5</t>
  </si>
  <si>
    <t>27110.63</t>
  </si>
  <si>
    <t>301.7</t>
  </si>
  <si>
    <t>54623.87</t>
  </si>
  <si>
    <t>99.8</t>
  </si>
  <si>
    <t>9.71</t>
  </si>
  <si>
    <t>10605.09</t>
  </si>
  <si>
    <t>403.8</t>
  </si>
  <si>
    <t>25.12</t>
  </si>
  <si>
    <t>99561.08</t>
  </si>
  <si>
    <t>29.18</t>
  </si>
  <si>
    <t>17735.06</t>
  </si>
  <si>
    <t>503.8</t>
  </si>
  <si>
    <t>108662.41</t>
  </si>
  <si>
    <t>390.6</t>
  </si>
  <si>
    <t>17.37</t>
  </si>
  <si>
    <t>104114.98</t>
  </si>
  <si>
    <t>82.2</t>
  </si>
  <si>
    <t>57356.18</t>
  </si>
  <si>
    <t>102.9</t>
  </si>
  <si>
    <t>18.98</t>
  </si>
  <si>
    <t>90091.08</t>
  </si>
  <si>
    <t>17.57</t>
  </si>
  <si>
    <t>75475.07</t>
  </si>
  <si>
    <t>184.2</t>
  </si>
  <si>
    <t>8.61</t>
  </si>
  <si>
    <t>96959.85</t>
  </si>
  <si>
    <t>116.0</t>
  </si>
  <si>
    <t>16.05</t>
  </si>
  <si>
    <t>53521.2</t>
  </si>
  <si>
    <t>185.6</t>
  </si>
  <si>
    <t>94939.59</t>
  </si>
  <si>
    <t>255.6</t>
  </si>
  <si>
    <t>18.05</t>
  </si>
  <si>
    <t>57107.45</t>
  </si>
  <si>
    <t>568.1</t>
  </si>
  <si>
    <t>19.64</t>
  </si>
  <si>
    <t>113093.0</t>
  </si>
  <si>
    <t>5.21</t>
  </si>
  <si>
    <t>59905.54</t>
  </si>
  <si>
    <t>507.6</t>
  </si>
  <si>
    <t>24.03</t>
  </si>
  <si>
    <t>57126.45</t>
  </si>
  <si>
    <t>437.8</t>
  </si>
  <si>
    <t>22.83</t>
  </si>
  <si>
    <t>94853.41</t>
  </si>
  <si>
    <t>103.0</t>
  </si>
  <si>
    <t>99124.59</t>
  </si>
  <si>
    <t>452.1</t>
  </si>
  <si>
    <t>67875.23</t>
  </si>
  <si>
    <t>194.1</t>
  </si>
  <si>
    <t>23.87</t>
  </si>
  <si>
    <t>24036.34</t>
  </si>
  <si>
    <t>397.9</t>
  </si>
  <si>
    <t>28.88</t>
  </si>
  <si>
    <t>57727.71</t>
  </si>
  <si>
    <t>230.9</t>
  </si>
  <si>
    <t>11.0</t>
  </si>
  <si>
    <t>116264.48</t>
  </si>
  <si>
    <t>598.7</t>
  </si>
  <si>
    <t>13.09</t>
  </si>
  <si>
    <t>91099.38</t>
  </si>
  <si>
    <t>187.6</t>
  </si>
  <si>
    <t>9.6</t>
  </si>
  <si>
    <t>97906.02</t>
  </si>
  <si>
    <t>196.3</t>
  </si>
  <si>
    <t>19.42</t>
  </si>
  <si>
    <t>6840.58</t>
  </si>
  <si>
    <t>561.2</t>
  </si>
  <si>
    <t>57739.56</t>
  </si>
  <si>
    <t>53.8</t>
  </si>
  <si>
    <t>78654.67</t>
  </si>
  <si>
    <t>430.1</t>
  </si>
  <si>
    <t>22.43</t>
  </si>
  <si>
    <t>100113.82</t>
  </si>
  <si>
    <t>446.2</t>
  </si>
  <si>
    <t>19.0</t>
  </si>
  <si>
    <t>8765.02</t>
  </si>
  <si>
    <t>508.4</t>
  </si>
  <si>
    <t>14.66</t>
  </si>
  <si>
    <t>102735.35</t>
  </si>
  <si>
    <t>585.7</t>
  </si>
  <si>
    <t>15.51</t>
  </si>
  <si>
    <t>67162.91</t>
  </si>
  <si>
    <t>586.3</t>
  </si>
  <si>
    <t>26085.73</t>
  </si>
  <si>
    <t>76.6</t>
  </si>
  <si>
    <t>5.15</t>
  </si>
  <si>
    <t>40118.86</t>
  </si>
  <si>
    <t>500.2</t>
  </si>
  <si>
    <t>6.96</t>
  </si>
  <si>
    <t>35985.76</t>
  </si>
  <si>
    <t>401.9</t>
  </si>
  <si>
    <t>65110.51</t>
  </si>
  <si>
    <t>402.5</t>
  </si>
  <si>
    <t>6.95</t>
  </si>
  <si>
    <t>9047.22</t>
  </si>
  <si>
    <t>111.9</t>
  </si>
  <si>
    <t>22.67</t>
  </si>
  <si>
    <t>21548.73</t>
  </si>
  <si>
    <t>404.1</t>
  </si>
  <si>
    <t>98085.09</t>
  </si>
  <si>
    <t>590.2</t>
  </si>
  <si>
    <t>11.77</t>
  </si>
  <si>
    <t>18514.67</t>
  </si>
  <si>
    <t>550.6</t>
  </si>
  <si>
    <t>14.26</t>
  </si>
  <si>
    <t>30307.36</t>
  </si>
  <si>
    <t>285.9</t>
  </si>
  <si>
    <t>56044.36</t>
  </si>
  <si>
    <t>63503.14</t>
  </si>
  <si>
    <t>242.9</t>
  </si>
  <si>
    <t>28.55</t>
  </si>
  <si>
    <t>92342.43</t>
  </si>
  <si>
    <t>23.49</t>
  </si>
  <si>
    <t>55337.89</t>
  </si>
  <si>
    <t>432.8</t>
  </si>
  <si>
    <t>7.17</t>
  </si>
  <si>
    <t>95414.16</t>
  </si>
  <si>
    <t>297.2</t>
  </si>
  <si>
    <t>75346.52</t>
  </si>
  <si>
    <t>70.9</t>
  </si>
  <si>
    <t>16232.67</t>
  </si>
  <si>
    <t>279.1</t>
  </si>
  <si>
    <t>16.77</t>
  </si>
  <si>
    <t>21290.78</t>
  </si>
  <si>
    <t>302.7</t>
  </si>
  <si>
    <t>6.23</t>
  </si>
  <si>
    <t>54132.95</t>
  </si>
  <si>
    <t>560.0</t>
  </si>
  <si>
    <t>49436.06</t>
  </si>
  <si>
    <t>399.0</t>
  </si>
  <si>
    <t>24.76</t>
  </si>
  <si>
    <t>89994.68</t>
  </si>
  <si>
    <t>214.5</t>
  </si>
  <si>
    <t>16.35</t>
  </si>
  <si>
    <t>70946.25</t>
  </si>
  <si>
    <t>334.2</t>
  </si>
  <si>
    <t>12.54</t>
  </si>
  <si>
    <t>48411.57</t>
  </si>
  <si>
    <t>77.0</t>
  </si>
  <si>
    <t>14.6</t>
  </si>
  <si>
    <t>22978.95</t>
  </si>
  <si>
    <t>29539.94</t>
  </si>
  <si>
    <t>241.6</t>
  </si>
  <si>
    <t>23.72</t>
  </si>
  <si>
    <t>70333.62</t>
  </si>
  <si>
    <t>307.6</t>
  </si>
  <si>
    <t>11.81</t>
  </si>
  <si>
    <t>52542.34</t>
  </si>
  <si>
    <t>239.0</t>
  </si>
  <si>
    <t>7.94</t>
  </si>
  <si>
    <t>63246.52</t>
  </si>
  <si>
    <t>422.2</t>
  </si>
  <si>
    <t>11.3</t>
  </si>
  <si>
    <t>22969.26</t>
  </si>
  <si>
    <t>80560.03</t>
  </si>
  <si>
    <t>440.6</t>
  </si>
  <si>
    <t>19.54</t>
  </si>
  <si>
    <t>102747.03</t>
  </si>
  <si>
    <t>190.2</t>
  </si>
  <si>
    <t>18.34</t>
  </si>
  <si>
    <t>33178.92</t>
  </si>
  <si>
    <t>60507.16</t>
  </si>
  <si>
    <t>110.1</t>
  </si>
  <si>
    <t>14.15</t>
  </si>
  <si>
    <t>117136.7</t>
  </si>
  <si>
    <t>407.1</t>
  </si>
  <si>
    <t>25.18</t>
  </si>
  <si>
    <t>41989.28</t>
  </si>
  <si>
    <t>62.3</t>
  </si>
  <si>
    <t>18.08</t>
  </si>
  <si>
    <t>72620.42</t>
  </si>
  <si>
    <t>374.7</t>
  </si>
  <si>
    <t>7.92</t>
  </si>
  <si>
    <t>13552.9</t>
  </si>
  <si>
    <t>8.23</t>
  </si>
  <si>
    <t>73903.76</t>
  </si>
  <si>
    <t>538.9</t>
  </si>
  <si>
    <t>18.42</t>
  </si>
  <si>
    <t>13486.92</t>
  </si>
  <si>
    <t>115230.55</t>
  </si>
  <si>
    <t>12.71</t>
  </si>
  <si>
    <t>86732.53</t>
  </si>
  <si>
    <t>83.1</t>
  </si>
  <si>
    <t>26.74</t>
  </si>
  <si>
    <t>95214.7</t>
  </si>
  <si>
    <t>415.6</t>
  </si>
  <si>
    <t>24.1</t>
  </si>
  <si>
    <t>85380.21</t>
  </si>
  <si>
    <t>499.9</t>
  </si>
  <si>
    <t>11.2</t>
  </si>
  <si>
    <t>71998.3</t>
  </si>
  <si>
    <t>177.0</t>
  </si>
  <si>
    <t>5.91</t>
  </si>
  <si>
    <t>55639.8</t>
  </si>
  <si>
    <t>275.9</t>
  </si>
  <si>
    <t>7.55</t>
  </si>
  <si>
    <t>103429.69</t>
  </si>
  <si>
    <t>509.8</t>
  </si>
  <si>
    <t>23.21</t>
  </si>
  <si>
    <t>114949.77</t>
  </si>
  <si>
    <t>9.99</t>
  </si>
  <si>
    <t>61387.23</t>
  </si>
  <si>
    <t>176.2</t>
  </si>
  <si>
    <t>14.28</t>
  </si>
  <si>
    <t>111989.6</t>
  </si>
  <si>
    <t>348.3</t>
  </si>
  <si>
    <t>17.54</t>
  </si>
  <si>
    <t>71249.95</t>
  </si>
  <si>
    <t>147.8</t>
  </si>
  <si>
    <t>23.14</t>
  </si>
  <si>
    <t>65990.95</t>
  </si>
  <si>
    <t>97.1</t>
  </si>
  <si>
    <t>7.83</t>
  </si>
  <si>
    <t>56174.48</t>
  </si>
  <si>
    <t>550.2</t>
  </si>
  <si>
    <t>27486.67</t>
  </si>
  <si>
    <t>499.5</t>
  </si>
  <si>
    <t>3435.2</t>
  </si>
  <si>
    <t>465.6</t>
  </si>
  <si>
    <t>18.52</t>
  </si>
  <si>
    <t>31256.23</t>
  </si>
  <si>
    <t>67.3</t>
  </si>
  <si>
    <t>25.46</t>
  </si>
  <si>
    <t>62637.61</t>
  </si>
  <si>
    <t>9.29</t>
  </si>
  <si>
    <t>47455.31</t>
  </si>
  <si>
    <t>285.3</t>
  </si>
  <si>
    <t>25.2</t>
  </si>
  <si>
    <t>55472.77</t>
  </si>
  <si>
    <t>231.7</t>
  </si>
  <si>
    <t>22.32</t>
  </si>
  <si>
    <t>117735.84</t>
  </si>
  <si>
    <t>18.9</t>
  </si>
  <si>
    <t>43981.87</t>
  </si>
  <si>
    <t>91.2</t>
  </si>
  <si>
    <t>22.49</t>
  </si>
  <si>
    <t>55905.4</t>
  </si>
  <si>
    <t>463.7</t>
  </si>
  <si>
    <t>15.3</t>
  </si>
  <si>
    <t>18621.32</t>
  </si>
  <si>
    <t>366.2</t>
  </si>
  <si>
    <t>8.46</t>
  </si>
  <si>
    <t>8611.05</t>
  </si>
  <si>
    <t>144.5</t>
  </si>
  <si>
    <t>21.64</t>
  </si>
  <si>
    <t>93722.91</t>
  </si>
  <si>
    <t>145.4</t>
  </si>
  <si>
    <t>18.12</t>
  </si>
  <si>
    <t>69769.93</t>
  </si>
  <si>
    <t>92002.46</t>
  </si>
  <si>
    <t>71.9</t>
  </si>
  <si>
    <t>13.45</t>
  </si>
  <si>
    <t>20533.95</t>
  </si>
  <si>
    <t>369.2</t>
  </si>
  <si>
    <t>69903.97</t>
  </si>
  <si>
    <t>510.6</t>
  </si>
  <si>
    <t>19.68</t>
  </si>
  <si>
    <t>32676.17</t>
  </si>
  <si>
    <t>49.8</t>
  </si>
  <si>
    <t>7.14</t>
  </si>
  <si>
    <t>29683.23</t>
  </si>
  <si>
    <t>67.4</t>
  </si>
  <si>
    <t>16.25</t>
  </si>
  <si>
    <t>4348.54</t>
  </si>
  <si>
    <t>360.8</t>
  </si>
  <si>
    <t>18249.86</t>
  </si>
  <si>
    <t>498.9</t>
  </si>
  <si>
    <t>39184.37</t>
  </si>
  <si>
    <t>223.0</t>
  </si>
  <si>
    <t>17.36</t>
  </si>
  <si>
    <t>16674.81</t>
  </si>
  <si>
    <t>235.8</t>
  </si>
  <si>
    <t>27.37</t>
  </si>
  <si>
    <t>118345.44</t>
  </si>
  <si>
    <t>374.0</t>
  </si>
  <si>
    <t>11.69</t>
  </si>
  <si>
    <t>39110.02</t>
  </si>
  <si>
    <t>193.6</t>
  </si>
  <si>
    <t>18247.9</t>
  </si>
  <si>
    <t>54.9</t>
  </si>
  <si>
    <t>27.46</t>
  </si>
  <si>
    <t>26292.63</t>
  </si>
  <si>
    <t>451.7</t>
  </si>
  <si>
    <t>27.41</t>
  </si>
  <si>
    <t>71761.28</t>
  </si>
  <si>
    <t>390.4</t>
  </si>
  <si>
    <t>22.14</t>
  </si>
  <si>
    <t>10493.09</t>
  </si>
  <si>
    <t>365.2</t>
  </si>
  <si>
    <t>26.47</t>
  </si>
  <si>
    <t>103904.79</t>
  </si>
  <si>
    <t>7.22</t>
  </si>
  <si>
    <t>115495.46</t>
  </si>
  <si>
    <t>418.1</t>
  </si>
  <si>
    <t>26.62</t>
  </si>
  <si>
    <t>31869.45</t>
  </si>
  <si>
    <t>13.02</t>
  </si>
  <si>
    <t>55661.15</t>
  </si>
  <si>
    <t>237.4</t>
  </si>
  <si>
    <t>5589.73</t>
  </si>
  <si>
    <t>10.98</t>
  </si>
  <si>
    <t>77963.1</t>
  </si>
  <si>
    <t>112.7</t>
  </si>
  <si>
    <t>51429.35</t>
  </si>
  <si>
    <t>418.7</t>
  </si>
  <si>
    <t>11.28</t>
  </si>
  <si>
    <t>34596.84</t>
  </si>
  <si>
    <t>520.8</t>
  </si>
  <si>
    <t>27199.94</t>
  </si>
  <si>
    <t>579.1</t>
  </si>
  <si>
    <t>8.37</t>
  </si>
  <si>
    <t>79520.7</t>
  </si>
  <si>
    <t>391.9</t>
  </si>
  <si>
    <t>12.4</t>
  </si>
  <si>
    <t>51697.39</t>
  </si>
  <si>
    <t>19.31</t>
  </si>
  <si>
    <t>24020.14</t>
  </si>
  <si>
    <t>99.2</t>
  </si>
  <si>
    <t>83625.76</t>
  </si>
  <si>
    <t>495.2</t>
  </si>
  <si>
    <t>13.67</t>
  </si>
  <si>
    <t>69113.46</t>
  </si>
  <si>
    <t>364.1</t>
  </si>
  <si>
    <t>23.66</t>
  </si>
  <si>
    <t>103464.63</t>
  </si>
  <si>
    <t>386.2</t>
  </si>
  <si>
    <t>27.34</t>
  </si>
  <si>
    <t>16744.68</t>
  </si>
  <si>
    <t>477.6</t>
  </si>
  <si>
    <t>94922.99</t>
  </si>
  <si>
    <t>433.8</t>
  </si>
  <si>
    <t>13.3</t>
  </si>
  <si>
    <t>81801.46</t>
  </si>
  <si>
    <t>507.3</t>
  </si>
  <si>
    <t>23.61</t>
  </si>
  <si>
    <t>16456.28</t>
  </si>
  <si>
    <t>8.8</t>
  </si>
  <si>
    <t>84294.03</t>
  </si>
  <si>
    <t>458.6</t>
  </si>
  <si>
    <t>8.26</t>
  </si>
  <si>
    <t>54661.03</t>
  </si>
  <si>
    <t>516.5</t>
  </si>
  <si>
    <t>13.64</t>
  </si>
  <si>
    <t>113563.22</t>
  </si>
  <si>
    <t>200.2</t>
  </si>
  <si>
    <t>19568.53</t>
  </si>
  <si>
    <t>398.7</t>
  </si>
  <si>
    <t>11.16</t>
  </si>
  <si>
    <t>78211.51</t>
  </si>
  <si>
    <t>215.9</t>
  </si>
  <si>
    <t>6.58</t>
  </si>
  <si>
    <t>47691.67</t>
  </si>
  <si>
    <t>576.5</t>
  </si>
  <si>
    <t>8.29</t>
  </si>
  <si>
    <t>114947.32</t>
  </si>
  <si>
    <t>58.7</t>
  </si>
  <si>
    <t>41607.06</t>
  </si>
  <si>
    <t>20.84</t>
  </si>
  <si>
    <t>115575.75</t>
  </si>
  <si>
    <t>133.2</t>
  </si>
  <si>
    <t>108473.84</t>
  </si>
  <si>
    <t>438.8</t>
  </si>
  <si>
    <t>18.88</t>
  </si>
  <si>
    <t>34634.84</t>
  </si>
  <si>
    <t>138.5</t>
  </si>
  <si>
    <t>18.19</t>
  </si>
  <si>
    <t>97014.39</t>
  </si>
  <si>
    <t>171.8</t>
  </si>
  <si>
    <t>21.39</t>
  </si>
  <si>
    <t>119485.69</t>
  </si>
  <si>
    <t>316.8</t>
  </si>
  <si>
    <t>10.83</t>
  </si>
  <si>
    <t>32561.57</t>
  </si>
  <si>
    <t>552.3</t>
  </si>
  <si>
    <t>26.61</t>
  </si>
  <si>
    <t>54102.93</t>
  </si>
  <si>
    <t>12.73</t>
  </si>
  <si>
    <t>63861.15</t>
  </si>
  <si>
    <t>120.8</t>
  </si>
  <si>
    <t>22.35</t>
  </si>
  <si>
    <t>37506.94</t>
  </si>
  <si>
    <t>465.0</t>
  </si>
  <si>
    <t>5.4</t>
  </si>
  <si>
    <t>4785.99</t>
  </si>
  <si>
    <t>320.3</t>
  </si>
  <si>
    <t>14.32</t>
  </si>
  <si>
    <t>28755.12</t>
  </si>
  <si>
    <t>13.79</t>
  </si>
  <si>
    <t>35986.62</t>
  </si>
  <si>
    <t>122.1</t>
  </si>
  <si>
    <t>18.59</t>
  </si>
  <si>
    <t>54901.17</t>
  </si>
  <si>
    <t>401.7</t>
  </si>
  <si>
    <t>23018.99</t>
  </si>
  <si>
    <t>105170.76</t>
  </si>
  <si>
    <t>127.8</t>
  </si>
  <si>
    <t>85474.6</t>
  </si>
  <si>
    <t>422.7</t>
  </si>
  <si>
    <t>21.93</t>
  </si>
  <si>
    <t>12968.46</t>
  </si>
  <si>
    <t>372.5</t>
  </si>
  <si>
    <t>79060.82</t>
  </si>
  <si>
    <t>462.7</t>
  </si>
  <si>
    <t>79477.81</t>
  </si>
  <si>
    <t>23.52</t>
  </si>
  <si>
    <t>114877.88</t>
  </si>
  <si>
    <t>290.9</t>
  </si>
  <si>
    <t>21.55</t>
  </si>
  <si>
    <t>3353.44</t>
  </si>
  <si>
    <t>267.1</t>
  </si>
  <si>
    <t>13.89</t>
  </si>
  <si>
    <t>32008.1</t>
  </si>
  <si>
    <t>591.1</t>
  </si>
  <si>
    <t>111551.6</t>
  </si>
  <si>
    <t>203.7</t>
  </si>
  <si>
    <t>12.37</t>
  </si>
  <si>
    <t>112059.67</t>
  </si>
  <si>
    <t>205.1</t>
  </si>
  <si>
    <t>19.28</t>
  </si>
  <si>
    <t>87308.61</t>
  </si>
  <si>
    <t>238.5</t>
  </si>
  <si>
    <t>23.63</t>
  </si>
  <si>
    <t>92594.31</t>
  </si>
  <si>
    <t>356.2</t>
  </si>
  <si>
    <t>13703.51</t>
  </si>
  <si>
    <t>181.3</t>
  </si>
  <si>
    <t>12.57</t>
  </si>
  <si>
    <t>63123.47</t>
  </si>
  <si>
    <t>552.6</t>
  </si>
  <si>
    <t>16.48</t>
  </si>
  <si>
    <t>30095.21</t>
  </si>
  <si>
    <t>188.8</t>
  </si>
  <si>
    <t>24202.51</t>
  </si>
  <si>
    <t>541.7</t>
  </si>
  <si>
    <t>28.25</t>
  </si>
  <si>
    <t>97805.49</t>
  </si>
  <si>
    <t>97.9</t>
  </si>
  <si>
    <t>18.63</t>
  </si>
  <si>
    <t>18799.46</t>
  </si>
  <si>
    <t>407.7</t>
  </si>
  <si>
    <t>21.54</t>
  </si>
  <si>
    <t>57832.24</t>
  </si>
  <si>
    <t>547.9</t>
  </si>
  <si>
    <t>27.58</t>
  </si>
  <si>
    <t>112813.65</t>
  </si>
  <si>
    <t>134.5</t>
  </si>
  <si>
    <t>7.46</t>
  </si>
  <si>
    <t>24742.35</t>
  </si>
  <si>
    <t>582.3</t>
  </si>
  <si>
    <t>10.8</t>
  </si>
  <si>
    <t>117425.23</t>
  </si>
  <si>
    <t>22.72</t>
  </si>
  <si>
    <t>119331.69</t>
  </si>
  <si>
    <t>569.6</t>
  </si>
  <si>
    <t>25.59</t>
  </si>
  <si>
    <t>68007.21</t>
  </si>
  <si>
    <t>26.43</t>
  </si>
  <si>
    <t>22906.7</t>
  </si>
  <si>
    <t>208.9</t>
  </si>
  <si>
    <t>15.38</t>
  </si>
  <si>
    <t>39984.27</t>
  </si>
  <si>
    <t>7.23</t>
  </si>
  <si>
    <t>52665.66</t>
  </si>
  <si>
    <t>210.1</t>
  </si>
  <si>
    <t>15.94</t>
  </si>
  <si>
    <t>39190.93</t>
  </si>
  <si>
    <t>92.1</t>
  </si>
  <si>
    <t>10.77</t>
  </si>
  <si>
    <t>35834.36</t>
  </si>
  <si>
    <t>120.6</t>
  </si>
  <si>
    <t>12.28</t>
  </si>
  <si>
    <t>116750.88</t>
  </si>
  <si>
    <t>98.6</t>
  </si>
  <si>
    <t>24.31</t>
  </si>
  <si>
    <t>20943.68</t>
  </si>
  <si>
    <t>276.8</t>
  </si>
  <si>
    <t>88799.37</t>
  </si>
  <si>
    <t>485.5</t>
  </si>
  <si>
    <t>3048.0</t>
  </si>
  <si>
    <t>119.2</t>
  </si>
  <si>
    <t>72753.37</t>
  </si>
  <si>
    <t>19.9</t>
  </si>
  <si>
    <t>110165.33</t>
  </si>
  <si>
    <t>400.3</t>
  </si>
  <si>
    <t>36688.29</t>
  </si>
  <si>
    <t>150.4</t>
  </si>
  <si>
    <t>24706.54</t>
  </si>
  <si>
    <t>94.7</t>
  </si>
  <si>
    <t>79246.54</t>
  </si>
  <si>
    <t>133.4</t>
  </si>
  <si>
    <t>29.04</t>
  </si>
  <si>
    <t>86374.36</t>
  </si>
  <si>
    <t>557.3</t>
  </si>
  <si>
    <t>83499.57</t>
  </si>
  <si>
    <t>500.0</t>
  </si>
  <si>
    <t>40360.07</t>
  </si>
  <si>
    <t>238.3</t>
  </si>
  <si>
    <t>10.59</t>
  </si>
  <si>
    <t>32507.68</t>
  </si>
  <si>
    <t>407.3</t>
  </si>
  <si>
    <t>114842.5</t>
  </si>
  <si>
    <t>340.9</t>
  </si>
  <si>
    <t>13.61</t>
  </si>
  <si>
    <t>111026.04</t>
  </si>
  <si>
    <t>419.2</t>
  </si>
  <si>
    <t>56506.04</t>
  </si>
  <si>
    <t>422.3</t>
  </si>
  <si>
    <t>19.08</t>
  </si>
  <si>
    <t>102004.68</t>
  </si>
  <si>
    <t>392.1</t>
  </si>
  <si>
    <t>55921.85</t>
  </si>
  <si>
    <t>189.0</t>
  </si>
  <si>
    <t>52653.52</t>
  </si>
  <si>
    <t>61.8</t>
  </si>
  <si>
    <t>10.95</t>
  </si>
  <si>
    <t>21341.26</t>
  </si>
  <si>
    <t>295.1</t>
  </si>
  <si>
    <t>28.46</t>
  </si>
  <si>
    <t>52889.51</t>
  </si>
  <si>
    <t>9.28</t>
  </si>
  <si>
    <t>65877.78</t>
  </si>
  <si>
    <t>358.9</t>
  </si>
  <si>
    <t>5633.01</t>
  </si>
  <si>
    <t>506.1</t>
  </si>
  <si>
    <t>19.25</t>
  </si>
  <si>
    <t>54961.22</t>
  </si>
  <si>
    <t>595.3</t>
  </si>
  <si>
    <t>26.55</t>
  </si>
  <si>
    <t>94418.68</t>
  </si>
  <si>
    <t>131.6</t>
  </si>
  <si>
    <t>16.93</t>
  </si>
  <si>
    <t>82565.39</t>
  </si>
  <si>
    <t>29.86</t>
  </si>
  <si>
    <t>77313.37</t>
  </si>
  <si>
    <t>417.6</t>
  </si>
  <si>
    <t>21.98</t>
  </si>
  <si>
    <t>109417.99</t>
  </si>
  <si>
    <t>588.8</t>
  </si>
  <si>
    <t>6.85</t>
  </si>
  <si>
    <t>5109.75</t>
  </si>
  <si>
    <t>591.9</t>
  </si>
  <si>
    <t>29.82</t>
  </si>
  <si>
    <t>68174.57</t>
  </si>
  <si>
    <t>424.5</t>
  </si>
  <si>
    <t>15.2</t>
  </si>
  <si>
    <t>95119.82</t>
  </si>
  <si>
    <t>176.4</t>
  </si>
  <si>
    <t>12.19</t>
  </si>
  <si>
    <t>66336.24</t>
  </si>
  <si>
    <t>487.2</t>
  </si>
  <si>
    <t>18.95</t>
  </si>
  <si>
    <t>40895.78</t>
  </si>
  <si>
    <t>99.9</t>
  </si>
  <si>
    <t>12.61</t>
  </si>
  <si>
    <t>18941.32</t>
  </si>
  <si>
    <t>477.2</t>
  </si>
  <si>
    <t>7.16</t>
  </si>
  <si>
    <t>106844.88</t>
  </si>
  <si>
    <t>549.7</t>
  </si>
  <si>
    <t>5.04</t>
  </si>
  <si>
    <t>58079.2</t>
  </si>
  <si>
    <t>254.4</t>
  </si>
  <si>
    <t>16.24</t>
  </si>
  <si>
    <t>105739.48</t>
  </si>
  <si>
    <t>25.92</t>
  </si>
  <si>
    <t>71544.7</t>
  </si>
  <si>
    <t>280.9</t>
  </si>
  <si>
    <t>81880.48</t>
  </si>
  <si>
    <t>29.98</t>
  </si>
  <si>
    <t>97098.56</t>
  </si>
  <si>
    <t>213.8</t>
  </si>
  <si>
    <t>12.17</t>
  </si>
  <si>
    <t>80121.2</t>
  </si>
  <si>
    <t>12.01</t>
  </si>
  <si>
    <t>49572.42</t>
  </si>
  <si>
    <t>564.3</t>
  </si>
  <si>
    <t>63095.11</t>
  </si>
  <si>
    <t>566.8</t>
  </si>
  <si>
    <t>9.1</t>
  </si>
  <si>
    <t>96956.33</t>
  </si>
  <si>
    <t>137.9</t>
  </si>
  <si>
    <t>12.13</t>
  </si>
  <si>
    <t>46717.08</t>
  </si>
  <si>
    <t>529.9</t>
  </si>
  <si>
    <t>24.82</t>
  </si>
  <si>
    <t>48410.21</t>
  </si>
  <si>
    <t>453.0</t>
  </si>
  <si>
    <t>27.64</t>
  </si>
  <si>
    <t>14195.74</t>
  </si>
  <si>
    <t>181.6</t>
  </si>
  <si>
    <t>29.38</t>
  </si>
  <si>
    <t>110006.38</t>
  </si>
  <si>
    <t>77.7</t>
  </si>
  <si>
    <t>10.81</t>
  </si>
  <si>
    <t>13651.25</t>
  </si>
  <si>
    <t>190.1</t>
  </si>
  <si>
    <t>78840.47</t>
  </si>
  <si>
    <t>550.8</t>
  </si>
  <si>
    <t>13.21</t>
  </si>
  <si>
    <t>51343.75</t>
  </si>
  <si>
    <t>394.6</t>
  </si>
  <si>
    <t>7.82</t>
  </si>
  <si>
    <t>50457.47</t>
  </si>
  <si>
    <t>443.8</t>
  </si>
  <si>
    <t>26.75</t>
  </si>
  <si>
    <t>82507.56</t>
  </si>
  <si>
    <t>20.9</t>
  </si>
  <si>
    <t>10849.97</t>
  </si>
  <si>
    <t>442.9</t>
  </si>
  <si>
    <t>9.12</t>
  </si>
  <si>
    <t>72463.58</t>
  </si>
  <si>
    <t>55.7</t>
  </si>
  <si>
    <t>15.75</t>
  </si>
  <si>
    <t>93327.72</t>
  </si>
  <si>
    <t>250.2</t>
  </si>
  <si>
    <t>12.18</t>
  </si>
  <si>
    <t>99900.89</t>
  </si>
  <si>
    <t>391.0</t>
  </si>
  <si>
    <t>23.42</t>
  </si>
  <si>
    <t>22952.06</t>
  </si>
  <si>
    <t>121.8</t>
  </si>
  <si>
    <t>16.34</t>
  </si>
  <si>
    <t>107998.03</t>
  </si>
  <si>
    <t>500.9</t>
  </si>
  <si>
    <t>79769.09</t>
  </si>
  <si>
    <t>171.6</t>
  </si>
  <si>
    <t>6.37</t>
  </si>
  <si>
    <t>106177.01</t>
  </si>
  <si>
    <t>405.3</t>
  </si>
  <si>
    <t>13.88</t>
  </si>
  <si>
    <t>59777.84</t>
  </si>
  <si>
    <t>266.9</t>
  </si>
  <si>
    <t>17.05</t>
  </si>
  <si>
    <t>66417.9</t>
  </si>
  <si>
    <t>110527.48</t>
  </si>
  <si>
    <t>100.2</t>
  </si>
  <si>
    <t>12.9</t>
  </si>
  <si>
    <t>108289.42</t>
  </si>
  <si>
    <t>49.5</t>
  </si>
  <si>
    <t>23.23</t>
  </si>
  <si>
    <t>55434.82</t>
  </si>
  <si>
    <t>35106.28</t>
  </si>
  <si>
    <t>191.0</t>
  </si>
  <si>
    <t>28.47</t>
  </si>
  <si>
    <t>49000.94</t>
  </si>
  <si>
    <t>499.0</t>
  </si>
  <si>
    <t>48368.43</t>
  </si>
  <si>
    <t>599.6</t>
  </si>
  <si>
    <t>26.26</t>
  </si>
  <si>
    <t>36563.42</t>
  </si>
  <si>
    <t>158.4</t>
  </si>
  <si>
    <t>18.76</t>
  </si>
  <si>
    <t>34423.81</t>
  </si>
  <si>
    <t>188.5</t>
  </si>
  <si>
    <t>25.65</t>
  </si>
  <si>
    <t>103744.36</t>
  </si>
  <si>
    <t>411.2</t>
  </si>
  <si>
    <t>12.59</t>
  </si>
  <si>
    <t>11173.84</t>
  </si>
  <si>
    <t>580.7</t>
  </si>
  <si>
    <t>14.96</t>
  </si>
  <si>
    <t>82280.51</t>
  </si>
  <si>
    <t>552.9</t>
  </si>
  <si>
    <t>12.92</t>
  </si>
  <si>
    <t>23219.95</t>
  </si>
  <si>
    <t>321.6</t>
  </si>
  <si>
    <t>16.68</t>
  </si>
  <si>
    <t>43307.19</t>
  </si>
  <si>
    <t>485.3</t>
  </si>
  <si>
    <t>10200.53</t>
  </si>
  <si>
    <t>34586.92</t>
  </si>
  <si>
    <t>12.82</t>
  </si>
  <si>
    <t>92905.27</t>
  </si>
  <si>
    <t>580.0</t>
  </si>
  <si>
    <t>7.45</t>
  </si>
  <si>
    <t>106546.79</t>
  </si>
  <si>
    <t>131.7</t>
  </si>
  <si>
    <t>18.17</t>
  </si>
  <si>
    <t>28918.68</t>
  </si>
  <si>
    <t>207.7</t>
  </si>
  <si>
    <t>6.43</t>
  </si>
  <si>
    <t>57235.1</t>
  </si>
  <si>
    <t>96.1</t>
  </si>
  <si>
    <t>7.76</t>
  </si>
  <si>
    <t>58027.91</t>
  </si>
  <si>
    <t>192.2</t>
  </si>
  <si>
    <t>10.48</t>
  </si>
  <si>
    <t>105208.31</t>
  </si>
  <si>
    <t>496.9</t>
  </si>
  <si>
    <t>16.61</t>
  </si>
  <si>
    <t>92247.49</t>
  </si>
  <si>
    <t>251.9</t>
  </si>
  <si>
    <t>15.83</t>
  </si>
  <si>
    <t>63030.03</t>
  </si>
  <si>
    <t>89.5</t>
  </si>
  <si>
    <t>24.99</t>
  </si>
  <si>
    <t>81477.42</t>
  </si>
  <si>
    <t>102140.54</t>
  </si>
  <si>
    <t>589.6</t>
  </si>
  <si>
    <t>15.66</t>
  </si>
  <si>
    <t>4116.06</t>
  </si>
  <si>
    <t>392.6</t>
  </si>
  <si>
    <t>13.34</t>
  </si>
  <si>
    <t>50138.13</t>
  </si>
  <si>
    <t>273.1</t>
  </si>
  <si>
    <t>12.91</t>
  </si>
  <si>
    <t>109147.45</t>
  </si>
  <si>
    <t>133.3</t>
  </si>
  <si>
    <t>24.35</t>
  </si>
  <si>
    <t>89616.62</t>
  </si>
  <si>
    <t>592.3</t>
  </si>
  <si>
    <t>66512.44</t>
  </si>
  <si>
    <t>499.7</t>
  </si>
  <si>
    <t>5.32</t>
  </si>
  <si>
    <t>64968.41</t>
  </si>
  <si>
    <t>197.6</t>
  </si>
  <si>
    <t>24.89</t>
  </si>
  <si>
    <t>43689.1</t>
  </si>
  <si>
    <t>79.2</t>
  </si>
  <si>
    <t>63900.9</t>
  </si>
  <si>
    <t>71.7</t>
  </si>
  <si>
    <t>79679.83</t>
  </si>
  <si>
    <t>107.4</t>
  </si>
  <si>
    <t>51948.48</t>
  </si>
  <si>
    <t>86555.92</t>
  </si>
  <si>
    <t>560.1</t>
  </si>
  <si>
    <t>26.49</t>
  </si>
  <si>
    <t>103764.17</t>
  </si>
  <si>
    <t>318.2</t>
  </si>
  <si>
    <t>21098.13</t>
  </si>
  <si>
    <t>512.0</t>
  </si>
  <si>
    <t>55831.0</t>
  </si>
  <si>
    <t>18.01</t>
  </si>
  <si>
    <t>50738.35</t>
  </si>
  <si>
    <t>436.8</t>
  </si>
  <si>
    <t>83433.38</t>
  </si>
  <si>
    <t>449.8</t>
  </si>
  <si>
    <t>32234.49</t>
  </si>
  <si>
    <t>137.4</t>
  </si>
  <si>
    <t>10.38</t>
  </si>
  <si>
    <t>77909.36</t>
  </si>
  <si>
    <t>242.3</t>
  </si>
  <si>
    <t>25.28</t>
  </si>
  <si>
    <t>105666.24</t>
  </si>
  <si>
    <t>396.9</t>
  </si>
  <si>
    <t>9.93</t>
  </si>
  <si>
    <t>51921.4</t>
  </si>
  <si>
    <t>79.6</t>
  </si>
  <si>
    <t>10.34</t>
  </si>
  <si>
    <t>109588.84</t>
  </si>
  <si>
    <t>242.5</t>
  </si>
  <si>
    <t>21.9</t>
  </si>
  <si>
    <t>119200.16</t>
  </si>
  <si>
    <t>339.5</t>
  </si>
  <si>
    <t>15.13</t>
  </si>
  <si>
    <t>15412.77</t>
  </si>
  <si>
    <t>597.9</t>
  </si>
  <si>
    <t>28.29</t>
  </si>
  <si>
    <t>30267.22</t>
  </si>
  <si>
    <t>114194.43</t>
  </si>
  <si>
    <t>497.0</t>
  </si>
  <si>
    <t>17.79</t>
  </si>
  <si>
    <t>115124.34</t>
  </si>
  <si>
    <t>282.0</t>
  </si>
  <si>
    <t>27.96</t>
  </si>
  <si>
    <t>14431.75</t>
  </si>
  <si>
    <t>486.0</t>
  </si>
  <si>
    <t>27.6</t>
  </si>
  <si>
    <t>4754.82</t>
  </si>
  <si>
    <t>373.4</t>
  </si>
  <si>
    <t>8.91</t>
  </si>
  <si>
    <t>21848.7</t>
  </si>
  <si>
    <t>536.5</t>
  </si>
  <si>
    <t>119533.5</t>
  </si>
  <si>
    <t>270.1</t>
  </si>
  <si>
    <t>20.48</t>
  </si>
  <si>
    <t>24059.96</t>
  </si>
  <si>
    <t>378.4</t>
  </si>
  <si>
    <t>8.98</t>
  </si>
  <si>
    <t>61798.07</t>
  </si>
  <si>
    <t>392.8</t>
  </si>
  <si>
    <t>102264.87</t>
  </si>
  <si>
    <t>273.7</t>
  </si>
  <si>
    <t>27.87</t>
  </si>
  <si>
    <t>5386.99</t>
  </si>
  <si>
    <t>73725.21</t>
  </si>
  <si>
    <t>92.4</t>
  </si>
  <si>
    <t>35411.98</t>
  </si>
  <si>
    <t>49.3</t>
  </si>
  <si>
    <t>103893.19</t>
  </si>
  <si>
    <t>529.2</t>
  </si>
  <si>
    <t>27.74</t>
  </si>
  <si>
    <t>36164.95</t>
  </si>
  <si>
    <t>172.4</t>
  </si>
  <si>
    <t>9.84</t>
  </si>
  <si>
    <t>83350.42</t>
  </si>
  <si>
    <t>15.41</t>
  </si>
  <si>
    <t>81883.7</t>
  </si>
  <si>
    <t>452.2</t>
  </si>
  <si>
    <t>16.22</t>
  </si>
  <si>
    <t>28914.75</t>
  </si>
  <si>
    <t>219.2</t>
  </si>
  <si>
    <t>19.98</t>
  </si>
  <si>
    <t>7071.51</t>
  </si>
  <si>
    <t>323.4</t>
  </si>
  <si>
    <t>6.79</t>
  </si>
  <si>
    <t>50882.2</t>
  </si>
  <si>
    <t>131.0</t>
  </si>
  <si>
    <t>10.67</t>
  </si>
  <si>
    <t>36835.6</t>
  </si>
  <si>
    <t>577.5</t>
  </si>
  <si>
    <t>97650.4</t>
  </si>
  <si>
    <t>516.9</t>
  </si>
  <si>
    <t>27.71</t>
  </si>
  <si>
    <t>96642.61</t>
  </si>
  <si>
    <t>523.7</t>
  </si>
  <si>
    <t>24.53</t>
  </si>
  <si>
    <t>56471.8</t>
  </si>
  <si>
    <t>267.8</t>
  </si>
  <si>
    <t>73961.93</t>
  </si>
  <si>
    <t>466.9</t>
  </si>
  <si>
    <t>13.18</t>
  </si>
  <si>
    <t>73698.36</t>
  </si>
  <si>
    <t>20.7</t>
  </si>
  <si>
    <t>99777.5</t>
  </si>
  <si>
    <t>44.8</t>
  </si>
  <si>
    <t>11.88</t>
  </si>
  <si>
    <t>52725.28</t>
  </si>
  <si>
    <t>51.2</t>
  </si>
  <si>
    <t>35227.26</t>
  </si>
  <si>
    <t>368.5</t>
  </si>
  <si>
    <t>20.85</t>
  </si>
  <si>
    <t>34009.09</t>
  </si>
  <si>
    <t>295.0</t>
  </si>
  <si>
    <t>6.8</t>
  </si>
  <si>
    <t>65734.5</t>
  </si>
  <si>
    <t>27.73</t>
  </si>
  <si>
    <t>55550.34</t>
  </si>
  <si>
    <t>44.2</t>
  </si>
  <si>
    <t>28.94</t>
  </si>
  <si>
    <t>54494.13</t>
  </si>
  <si>
    <t>276.7</t>
  </si>
  <si>
    <t>13663.07</t>
  </si>
  <si>
    <t>18.31</t>
  </si>
  <si>
    <t>87076.64</t>
  </si>
  <si>
    <t>287.9</t>
  </si>
  <si>
    <t>28007.19</t>
  </si>
  <si>
    <t>450.0</t>
  </si>
  <si>
    <t>14.82</t>
  </si>
  <si>
    <t>26043.57</t>
  </si>
  <si>
    <t>170.5</t>
  </si>
  <si>
    <t>9.49</t>
  </si>
  <si>
    <t>51292.72</t>
  </si>
  <si>
    <t>495.4</t>
  </si>
  <si>
    <t>19.45</t>
  </si>
  <si>
    <t>29650.07</t>
  </si>
  <si>
    <t>369.5</t>
  </si>
  <si>
    <t>28.95</t>
  </si>
  <si>
    <t>71311.42</t>
  </si>
  <si>
    <t>158.0</t>
  </si>
  <si>
    <t>46461.21</t>
  </si>
  <si>
    <t>172.6</t>
  </si>
  <si>
    <t>7.07</t>
  </si>
  <si>
    <t>55522.67</t>
  </si>
  <si>
    <t>391.7</t>
  </si>
  <si>
    <t>20.5</t>
  </si>
  <si>
    <t>65848.81</t>
  </si>
  <si>
    <t>504.8</t>
  </si>
  <si>
    <t>13.51</t>
  </si>
  <si>
    <t>26813.66</t>
  </si>
  <si>
    <t>272.8</t>
  </si>
  <si>
    <t>21222.94</t>
  </si>
  <si>
    <t>184.6</t>
  </si>
  <si>
    <t>15.87</t>
  </si>
  <si>
    <t>106009.36</t>
  </si>
  <si>
    <t>525.5</t>
  </si>
  <si>
    <t>9.82</t>
  </si>
  <si>
    <t>53745.67</t>
  </si>
  <si>
    <t>414.8</t>
  </si>
  <si>
    <t>51214.95</t>
  </si>
  <si>
    <t>24.22</t>
  </si>
  <si>
    <t>7166.62</t>
  </si>
  <si>
    <t>313.2</t>
  </si>
  <si>
    <t>11.64</t>
  </si>
  <si>
    <t>61263.23</t>
  </si>
  <si>
    <t>154.4</t>
  </si>
  <si>
    <t>24.18</t>
  </si>
  <si>
    <t>67837.86</t>
  </si>
  <si>
    <t>68384.38</t>
  </si>
  <si>
    <t>240.9</t>
  </si>
  <si>
    <t>13.04</t>
  </si>
  <si>
    <t>85722.65</t>
  </si>
  <si>
    <t>597.6</t>
  </si>
  <si>
    <t>23765.37</t>
  </si>
  <si>
    <t>308.9</t>
  </si>
  <si>
    <t>28.58</t>
  </si>
  <si>
    <t>32510.11</t>
  </si>
  <si>
    <t>312.1</t>
  </si>
  <si>
    <t>97855.46</t>
  </si>
  <si>
    <t>356.9</t>
  </si>
  <si>
    <t>10.17</t>
  </si>
  <si>
    <t>113818.96</t>
  </si>
  <si>
    <t>553.4</t>
  </si>
  <si>
    <t>13.96</t>
  </si>
  <si>
    <t>18904.13</t>
  </si>
  <si>
    <t>488.5</t>
  </si>
  <si>
    <t>61225.0</t>
  </si>
  <si>
    <t>292.6</t>
  </si>
  <si>
    <t>17.75</t>
  </si>
  <si>
    <t>28058.62</t>
  </si>
  <si>
    <t>442.5</t>
  </si>
  <si>
    <t>16.51</t>
  </si>
  <si>
    <t>10028.56</t>
  </si>
  <si>
    <t>368.3</t>
  </si>
  <si>
    <t>27.52</t>
  </si>
  <si>
    <t>41083.89</t>
  </si>
  <si>
    <t>315.7</t>
  </si>
  <si>
    <t>19811.45</t>
  </si>
  <si>
    <t>86062.17</t>
  </si>
  <si>
    <t>17.29</t>
  </si>
  <si>
    <t>65445.87</t>
  </si>
  <si>
    <t>177.7</t>
  </si>
  <si>
    <t>19828.63</t>
  </si>
  <si>
    <t>25.17</t>
  </si>
  <si>
    <t>4081.27</t>
  </si>
  <si>
    <t>227.8</t>
  </si>
  <si>
    <t>5.09</t>
  </si>
  <si>
    <t>97554.37</t>
  </si>
  <si>
    <t>573.3</t>
  </si>
  <si>
    <t>13.0</t>
  </si>
  <si>
    <t>23614.75</t>
  </si>
  <si>
    <t>338.5</t>
  </si>
  <si>
    <t>15.54</t>
  </si>
  <si>
    <t>73927.35</t>
  </si>
  <si>
    <t>393.7</t>
  </si>
  <si>
    <t>10.74</t>
  </si>
  <si>
    <t>42419.86</t>
  </si>
  <si>
    <t>344.0</t>
  </si>
  <si>
    <t>71501.85</t>
  </si>
  <si>
    <t>112.5</t>
  </si>
  <si>
    <t>39931.47</t>
  </si>
  <si>
    <t>250.5</t>
  </si>
  <si>
    <t>21.08</t>
  </si>
  <si>
    <t>13171.93</t>
  </si>
  <si>
    <t>95.5</t>
  </si>
  <si>
    <t>29085.15</t>
  </si>
  <si>
    <t>388.9</t>
  </si>
  <si>
    <t>25002.85</t>
  </si>
  <si>
    <t>53078.26</t>
  </si>
  <si>
    <t>475.7</t>
  </si>
  <si>
    <t>80019.2</t>
  </si>
  <si>
    <t>163.5</t>
  </si>
  <si>
    <t>33865.31</t>
  </si>
  <si>
    <t>132.2</t>
  </si>
  <si>
    <t>17.08</t>
  </si>
  <si>
    <t>4412.18</t>
  </si>
  <si>
    <t>267.5</t>
  </si>
  <si>
    <t>15.4</t>
  </si>
  <si>
    <t>63715.67</t>
  </si>
  <si>
    <t>558.9</t>
  </si>
  <si>
    <t>29.45</t>
  </si>
  <si>
    <t>73873.86</t>
  </si>
  <si>
    <t>10.01</t>
  </si>
  <si>
    <t>115655.85</t>
  </si>
  <si>
    <t>274.6</t>
  </si>
  <si>
    <t>71968.08</t>
  </si>
  <si>
    <t>329.7</t>
  </si>
  <si>
    <t>12.3</t>
  </si>
  <si>
    <t>58127.19</t>
  </si>
  <si>
    <t>87.2</t>
  </si>
  <si>
    <t>9.32</t>
  </si>
  <si>
    <t>70087.99</t>
  </si>
  <si>
    <t>YearMonth</t>
  </si>
  <si>
    <t>KM_Band</t>
  </si>
  <si>
    <t>Price_Band</t>
  </si>
  <si>
    <t>Auto_Flag</t>
  </si>
  <si>
    <t>Price_per_CC</t>
  </si>
  <si>
    <t>Enter Car_ID</t>
  </si>
  <si>
    <t>Total Price for Brand</t>
  </si>
  <si>
    <t xml:space="preserve"> Brand</t>
  </si>
  <si>
    <t>Brand_Clean</t>
  </si>
  <si>
    <t>Price_USD_Num</t>
  </si>
  <si>
    <t>Row Labels</t>
  </si>
  <si>
    <t>Grand Total</t>
  </si>
  <si>
    <t>Average of Price_USD_Num</t>
  </si>
  <si>
    <t>Column Labels</t>
  </si>
  <si>
    <t>Count of Car_ID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</si>
</sst>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microsoft.com/office/2007/relationships/slicerCache" Target="slicerCaches/slicerCache2.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5.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[week1_dashboard.xlsx]Dashboard!Pivot_Brand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Car Price Insights — Week 1 Dashboard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cat>
            <c:strRef>
              <c:f>Dashboard!$A$4:$A$14</c:f>
              <c:strCache>
                <c:ptCount val="10"/>
                <c:pt idx="0">
                  <c:v>Audi</c:v>
                </c:pt>
                <c:pt idx="1">
                  <c:v>BMW</c:v>
                </c:pt>
                <c:pt idx="2">
                  <c:v>Ford</c:v>
                </c:pt>
                <c:pt idx="3">
                  <c:v>Honda</c:v>
                </c:pt>
                <c:pt idx="4">
                  <c:v>Hyundai</c:v>
                </c:pt>
                <c:pt idx="5">
                  <c:v>Kia</c:v>
                </c:pt>
                <c:pt idx="6">
                  <c:v>Mercedes</c:v>
                </c:pt>
                <c:pt idx="7">
                  <c:v>Nissan</c:v>
                </c:pt>
                <c:pt idx="8">
                  <c:v>Toyota</c:v>
                </c:pt>
                <c:pt idx="9">
                  <c:v>Volkswagen</c:v>
                </c:pt>
              </c:strCache>
            </c:strRef>
          </c:cat>
          <c:val>
            <c:numRef>
              <c:f>Dashboard!$B$4:$B$14</c:f>
              <c:numCache>
                <c:formatCode>"R"#\ ##0.00</c:formatCode>
                <c:ptCount val="10"/>
                <c:pt idx="0">
                  <c:v>62351.394042553198</c:v>
                </c:pt>
                <c:pt idx="1">
                  <c:v>54154.605531914909</c:v>
                </c:pt>
                <c:pt idx="2">
                  <c:v>59953.021363636362</c:v>
                </c:pt>
                <c:pt idx="3">
                  <c:v>57226.331686747006</c:v>
                </c:pt>
                <c:pt idx="4">
                  <c:v>58818.596354166664</c:v>
                </c:pt>
                <c:pt idx="5">
                  <c:v>56090.171699999977</c:v>
                </c:pt>
                <c:pt idx="6">
                  <c:v>64344.239906542061</c:v>
                </c:pt>
                <c:pt idx="7">
                  <c:v>64089.937472527476</c:v>
                </c:pt>
                <c:pt idx="8">
                  <c:v>58964.422288135604</c:v>
                </c:pt>
                <c:pt idx="9">
                  <c:v>55987.339719626165</c:v>
                </c:pt>
              </c:numCache>
            </c:numRef>
          </c:val>
          <c:extLst>
            <c:ext xmlns:c16="http://schemas.microsoft.com/office/drawing/2014/chart" uri="{C3380CC4-5D6E-409C-BE32-E72D297353CC}">
              <c16:uniqueId val="{00000000-2B79-4310-80EA-A5DE90B3D98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13</xdr:col>
      <xdr:colOff>312420</xdr:colOff>
      <xdr:row>0</xdr:row>
      <xdr:rowOff>53341</xdr:rowOff>
    </xdr:from>
    <xdr:to>
      <xdr:col>16</xdr:col>
      <xdr:colOff>365760</xdr:colOff>
      <xdr:row>8</xdr:row>
      <xdr:rowOff>45720</xdr:rowOff>
    </xdr:to>
    <mc:AlternateContent xmlns:mc="http://schemas.openxmlformats.org/markup-compatibility/2006">
      <mc:Choice xmlns:a14="http://schemas.microsoft.com/office/drawing/2010/main" Requires="a14">
        <xdr:graphicFrame macro="">
          <xdr:nvGraphicFramePr>
            <xdr:cNvPr id="2" name="Brand">
              <a:extLst>
                <a:ext uri="{FF2B5EF4-FFF2-40B4-BE49-F238E27FC236}">
                  <a16:creationId xmlns:a16="http://schemas.microsoft.com/office/drawing/2014/main" id="{176D3889-677E-0F8B-32AE-C002A31CB6C3}"/>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0372725" y="57151"/>
              <a:ext cx="1876425" cy="143827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297180</xdr:colOff>
      <xdr:row>0</xdr:row>
      <xdr:rowOff>53341</xdr:rowOff>
    </xdr:from>
    <xdr:to>
      <xdr:col>13</xdr:col>
      <xdr:colOff>281940</xdr:colOff>
      <xdr:row>8</xdr:row>
      <xdr:rowOff>38101</xdr:rowOff>
    </xdr:to>
    <mc:AlternateContent xmlns:mc="http://schemas.openxmlformats.org/markup-compatibility/2006">
      <mc:Choice xmlns:a14="http://schemas.microsoft.com/office/drawing/2010/main" Requires="a14">
        <xdr:graphicFrame macro="">
          <xdr:nvGraphicFramePr>
            <xdr:cNvPr id="3" name="Model_Year">
              <a:extLst>
                <a:ext uri="{FF2B5EF4-FFF2-40B4-BE49-F238E27FC236}">
                  <a16:creationId xmlns:a16="http://schemas.microsoft.com/office/drawing/2014/main" id="{F32C8D30-C5E0-B8C5-40AC-BB21F3680C08}"/>
                </a:ext>
              </a:extLst>
            </xdr:cNvPr>
            <xdr:cNvGraphicFramePr/>
          </xdr:nvGraphicFramePr>
          <xdr:xfrm>
            <a:off x="0" y="0"/>
            <a:ext cx="0" cy="0"/>
          </xdr:xfrm>
          <a:graphic>
            <a:graphicData uri="http://schemas.microsoft.com/office/drawing/2010/slicer">
              <sle:slicer xmlns:sle="http://schemas.microsoft.com/office/drawing/2010/slicer" name="Model_Year"/>
            </a:graphicData>
          </a:graphic>
        </xdr:graphicFrame>
      </mc:Choice>
      <mc:Fallback>
        <xdr:sp macro="" textlink="">
          <xdr:nvSpPr>
            <xdr:cNvPr id="0" name=""/>
            <xdr:cNvSpPr>
              <a:spLocks noTextEdit="1"/>
            </xdr:cNvSpPr>
          </xdr:nvSpPr>
          <xdr:spPr>
            <a:xfrm>
              <a:off x="8524875" y="57151"/>
              <a:ext cx="1819275" cy="14287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533400</xdr:colOff>
      <xdr:row>0</xdr:row>
      <xdr:rowOff>60960</xdr:rowOff>
    </xdr:from>
    <xdr:to>
      <xdr:col>10</xdr:col>
      <xdr:colOff>281940</xdr:colOff>
      <xdr:row>8</xdr:row>
      <xdr:rowOff>114299</xdr:rowOff>
    </xdr:to>
    <mc:AlternateContent xmlns:mc="http://schemas.openxmlformats.org/markup-compatibility/2006">
      <mc:Choice xmlns:a14="http://schemas.microsoft.com/office/drawing/2010/main" Requires="a14">
        <xdr:graphicFrame macro="">
          <xdr:nvGraphicFramePr>
            <xdr:cNvPr id="4" name="Fuel_Type">
              <a:extLst>
                <a:ext uri="{FF2B5EF4-FFF2-40B4-BE49-F238E27FC236}">
                  <a16:creationId xmlns:a16="http://schemas.microsoft.com/office/drawing/2014/main" id="{C8484802-98F8-8E12-0822-69E2744C57C9}"/>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dr:sp macro="" textlink="">
          <xdr:nvSpPr>
            <xdr:cNvPr id="0" name=""/>
            <xdr:cNvSpPr>
              <a:spLocks noTextEdit="1"/>
            </xdr:cNvSpPr>
          </xdr:nvSpPr>
          <xdr:spPr>
            <a:xfrm>
              <a:off x="6819900" y="57150"/>
              <a:ext cx="1695450" cy="150494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396240</xdr:colOff>
      <xdr:row>4</xdr:row>
      <xdr:rowOff>152401</xdr:rowOff>
    </xdr:from>
    <xdr:to>
      <xdr:col>19</xdr:col>
      <xdr:colOff>441960</xdr:colOff>
      <xdr:row>11</xdr:row>
      <xdr:rowOff>68580</xdr:rowOff>
    </xdr:to>
    <mc:AlternateContent xmlns:mc="http://schemas.openxmlformats.org/markup-compatibility/2006">
      <mc:Choice xmlns:a14="http://schemas.microsoft.com/office/drawing/2010/main" Requires="a14">
        <xdr:graphicFrame macro="">
          <xdr:nvGraphicFramePr>
            <xdr:cNvPr id="5" name="Transmission">
              <a:extLst>
                <a:ext uri="{FF2B5EF4-FFF2-40B4-BE49-F238E27FC236}">
                  <a16:creationId xmlns:a16="http://schemas.microsoft.com/office/drawing/2014/main" id="{3207BAF5-6CDC-EB5C-B682-096C6B947D3F}"/>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dr:sp macro="" textlink="">
          <xdr:nvSpPr>
            <xdr:cNvPr id="0" name=""/>
            <xdr:cNvSpPr>
              <a:spLocks noTextEdit="1"/>
            </xdr:cNvSpPr>
          </xdr:nvSpPr>
          <xdr:spPr>
            <a:xfrm>
              <a:off x="12287250" y="876301"/>
              <a:ext cx="1866900" cy="118109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396240</xdr:colOff>
      <xdr:row>0</xdr:row>
      <xdr:rowOff>68581</xdr:rowOff>
    </xdr:from>
    <xdr:to>
      <xdr:col>19</xdr:col>
      <xdr:colOff>464820</xdr:colOff>
      <xdr:row>4</xdr:row>
      <xdr:rowOff>137161</xdr:rowOff>
    </xdr:to>
    <mc:AlternateContent xmlns:mc="http://schemas.openxmlformats.org/markup-compatibility/2006">
      <mc:Choice xmlns:a14="http://schemas.microsoft.com/office/drawing/2010/main" Requires="a14">
        <xdr:graphicFrame macro="">
          <xdr:nvGraphicFramePr>
            <xdr:cNvPr id="6" name="Price_Band">
              <a:extLst>
                <a:ext uri="{FF2B5EF4-FFF2-40B4-BE49-F238E27FC236}">
                  <a16:creationId xmlns:a16="http://schemas.microsoft.com/office/drawing/2014/main" id="{EBE75490-416A-7585-7FAC-EFB728F61DB3}"/>
                </a:ext>
              </a:extLst>
            </xdr:cNvPr>
            <xdr:cNvGraphicFramePr/>
          </xdr:nvGraphicFramePr>
          <xdr:xfrm>
            <a:off x="0" y="0"/>
            <a:ext cx="0" cy="0"/>
          </xdr:xfrm>
          <a:graphic>
            <a:graphicData uri="http://schemas.microsoft.com/office/drawing/2010/slicer">
              <sle:slicer xmlns:sle="http://schemas.microsoft.com/office/drawing/2010/slicer" name="Price_Band"/>
            </a:graphicData>
          </a:graphic>
        </xdr:graphicFrame>
      </mc:Choice>
      <mc:Fallback>
        <xdr:sp macro="" textlink="">
          <xdr:nvSpPr>
            <xdr:cNvPr id="0" name=""/>
            <xdr:cNvSpPr>
              <a:spLocks noTextEdit="1"/>
            </xdr:cNvSpPr>
          </xdr:nvSpPr>
          <xdr:spPr>
            <a:xfrm>
              <a:off x="12287250" y="66676"/>
              <a:ext cx="1895475" cy="790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443865</xdr:colOff>
      <xdr:row>10</xdr:row>
      <xdr:rowOff>68579</xdr:rowOff>
    </xdr:from>
    <xdr:to>
      <xdr:col>14</xdr:col>
      <xdr:colOff>238125</xdr:colOff>
      <xdr:row>28</xdr:row>
      <xdr:rowOff>161925</xdr:rowOff>
    </xdr:to>
    <xdr:graphicFrame macro="">
      <xdr:nvGraphicFramePr>
        <xdr:cNvPr id="8" name="Chart 7">
          <a:extLst>
            <a:ext uri="{FF2B5EF4-FFF2-40B4-BE49-F238E27FC236}">
              <a16:creationId xmlns:a16="http://schemas.microsoft.com/office/drawing/2014/main" id="{7E5892C5-6424-EDB8-F000-D44739206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mel" refreshedDate="46032.68942037037" createdVersion="8" refreshedVersion="8" minRefreshableVersion="3" recordCount="1000" xr:uid="{8D488EE6-4051-46FB-83CF-B8A36980D3EE}">
  <cacheSource type="worksheet">
    <worksheetSource name="tbl_data"/>
  </cacheSource>
  <cacheFields count="19">
    <cacheField name="Car_ID" numFmtId="0">
      <sharedItems containsSemiMixedTypes="0" containsString="0" containsNumber="1" containsInteger="1" minValue="1" maxValue="1000"/>
    </cacheField>
    <cacheField name="Brand" numFmtId="0">
      <sharedItems count="10">
        <s v="Audi"/>
        <s v="BMW"/>
        <s v="Kia"/>
        <s v="Mercedes"/>
        <s v="Volkswagen"/>
        <s v="Ford"/>
        <s v="Hyundai"/>
        <s v="Honda"/>
        <s v="Toyota"/>
        <s v="Nissan"/>
      </sharedItems>
    </cacheField>
    <cacheField name="Model_Year" numFmtId="0">
      <sharedItems containsSemiMixedTypes="0" containsString="0" containsNumber="1" containsInteger="1" minValue="2005" maxValue="2024" count="20">
        <n v="2005"/>
        <n v="2019"/>
        <n v="2012"/>
        <n v="2015"/>
        <n v="2016"/>
        <n v="2008"/>
        <n v="2020"/>
        <n v="2009"/>
        <n v="2014"/>
        <n v="2021"/>
        <n v="2013"/>
        <n v="2023"/>
        <n v="2018"/>
        <n v="2024"/>
        <n v="2007"/>
        <n v="2010"/>
        <n v="2006"/>
        <n v="2011"/>
        <n v="2022"/>
        <n v="2017"/>
      </sharedItems>
    </cacheField>
    <cacheField name="Kilometers_Driven" numFmtId="0">
      <sharedItems containsSemiMixedTypes="0" containsString="0" containsNumber="1" containsInteger="1" minValue="5155" maxValue="199812"/>
    </cacheField>
    <cacheField name="Fuel_Type" numFmtId="0">
      <sharedItems count="4">
        <s v="Diesel"/>
        <s v="Hybrid"/>
        <s v="Petrol"/>
        <s v="Electric"/>
      </sharedItems>
    </cacheField>
    <cacheField name="Transmission" numFmtId="0">
      <sharedItems count="2">
        <s v="Manual"/>
        <s v="Automatic"/>
      </sharedItems>
    </cacheField>
    <cacheField name="Owner_Type" numFmtId="0">
      <sharedItems/>
    </cacheField>
    <cacheField name="Engine_CC" numFmtId="0">
      <sharedItems containsSemiMixedTypes="0" containsString="0" containsNumber="1" containsInteger="1" minValue="801" maxValue="4996"/>
    </cacheField>
    <cacheField name="Max_Power_bhp" numFmtId="0">
      <sharedItems/>
    </cacheField>
    <cacheField name="Mileage_kmpl" numFmtId="0">
      <sharedItems/>
    </cacheField>
    <cacheField name="Seats" numFmtId="0">
      <sharedItems containsSemiMixedTypes="0" containsString="0" containsNumber="1" containsInteger="1" minValue="2" maxValue="7"/>
    </cacheField>
    <cacheField name="Price_USD" numFmtId="0">
      <sharedItems/>
    </cacheField>
    <cacheField name="YearMonth" numFmtId="0">
      <sharedItems/>
    </cacheField>
    <cacheField name="KM_Band" numFmtId="0">
      <sharedItems/>
    </cacheField>
    <cacheField name="Price_Band" numFmtId="0">
      <sharedItems count="1">
        <s v="High"/>
      </sharedItems>
    </cacheField>
    <cacheField name="Auto_Flag" numFmtId="0">
      <sharedItems/>
    </cacheField>
    <cacheField name="Price_per_CC" numFmtId="0">
      <sharedItems/>
    </cacheField>
    <cacheField name="Brand_Clean" numFmtId="0">
      <sharedItems/>
    </cacheField>
    <cacheField name="Price_USD_Num" numFmtId="0">
      <sharedItems containsSemiMixedTypes="0" containsString="0" containsNumber="1" minValue="3028.42" maxValue="119611.94"/>
    </cacheField>
  </cacheFields>
  <extLst>
    <ext xmlns:x14="http://schemas.microsoft.com/office/spreadsheetml/2009/9/main" uri="{725AE2AE-9491-48be-B2B4-4EB974FC3084}">
      <x14:pivotCacheDefinition pivotCacheId="12115879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n v="197018"/>
    <x v="0"/>
    <x v="0"/>
    <s v="First"/>
    <n v="4046"/>
    <s v="223.6"/>
    <s v="29.61"/>
    <n v="6"/>
    <s v="119611.94"/>
    <s v="2005"/>
    <s v="150k+"/>
    <x v="0"/>
    <s v="Manual"/>
    <s v=""/>
    <s v="Audi"/>
    <n v="119611.94"/>
  </r>
  <r>
    <n v="2"/>
    <x v="1"/>
    <x v="1"/>
    <n v="43467"/>
    <x v="1"/>
    <x v="1"/>
    <s v="First"/>
    <n v="3731"/>
    <s v="248.4"/>
    <s v="21.66"/>
    <n v="5"/>
    <s v="90842.46"/>
    <s v="2019"/>
    <s v="&lt;50k"/>
    <x v="0"/>
    <s v="Auto"/>
    <s v=""/>
    <s v="BMW"/>
    <n v="90842.46"/>
  </r>
  <r>
    <n v="3"/>
    <x v="2"/>
    <x v="2"/>
    <n v="153697"/>
    <x v="1"/>
    <x v="1"/>
    <s v="Third"/>
    <n v="4925"/>
    <s v="465.5"/>
    <s v="12.14"/>
    <n v="6"/>
    <s v="78432.24"/>
    <s v="2012"/>
    <s v="150k+"/>
    <x v="0"/>
    <s v="Auto"/>
    <s v=""/>
    <s v="Kia"/>
    <n v="78432.240000000005"/>
  </r>
  <r>
    <n v="4"/>
    <x v="3"/>
    <x v="3"/>
    <n v="38893"/>
    <x v="2"/>
    <x v="1"/>
    <s v="Second"/>
    <n v="3771"/>
    <s v="229.7"/>
    <s v="19.65"/>
    <n v="6"/>
    <s v="44568.89"/>
    <s v="2015"/>
    <s v="&lt;50k"/>
    <x v="0"/>
    <s v="Auto"/>
    <s v=""/>
    <s v="Mercedes"/>
    <n v="44568.89"/>
  </r>
  <r>
    <n v="5"/>
    <x v="0"/>
    <x v="4"/>
    <n v="81329"/>
    <x v="1"/>
    <x v="1"/>
    <s v="First"/>
    <n v="2817"/>
    <s v="573.2"/>
    <s v="7.74"/>
    <n v="5"/>
    <s v="8751.82"/>
    <s v="2016"/>
    <s v="50k-100k"/>
    <x v="0"/>
    <s v="Auto"/>
    <s v=""/>
    <s v="Audi"/>
    <n v="8751.82"/>
  </r>
  <r>
    <n v="6"/>
    <x v="4"/>
    <x v="4"/>
    <n v="36007"/>
    <x v="2"/>
    <x v="1"/>
    <s v="Third"/>
    <n v="3215"/>
    <s v="453.2"/>
    <s v="29.15"/>
    <n v="7"/>
    <s v="6633.65"/>
    <s v="2016"/>
    <s v="&lt;50k"/>
    <x v="0"/>
    <s v="Auto"/>
    <s v=""/>
    <s v="Volkswagen"/>
    <n v="6633.65"/>
  </r>
  <r>
    <n v="7"/>
    <x v="5"/>
    <x v="5"/>
    <n v="175604"/>
    <x v="3"/>
    <x v="0"/>
    <s v="First"/>
    <n v="3896"/>
    <s v="374.6"/>
    <s v="9.37"/>
    <n v="6"/>
    <s v="67839.21"/>
    <s v="2008"/>
    <s v="150k+"/>
    <x v="0"/>
    <s v="Manual"/>
    <s v=""/>
    <s v="Ford"/>
    <n v="67839.210000000006"/>
  </r>
  <r>
    <n v="8"/>
    <x v="0"/>
    <x v="6"/>
    <n v="59253"/>
    <x v="3"/>
    <x v="0"/>
    <s v="First"/>
    <n v="2409"/>
    <s v="533.3"/>
    <s v="21.2"/>
    <n v="6"/>
    <s v="92157.83"/>
    <s v="2020"/>
    <s v="50k-100k"/>
    <x v="0"/>
    <s v="Manual"/>
    <s v=""/>
    <s v="Audi"/>
    <n v="92157.83"/>
  </r>
  <r>
    <n v="9"/>
    <x v="2"/>
    <x v="5"/>
    <n v="17323"/>
    <x v="1"/>
    <x v="0"/>
    <s v="Second"/>
    <n v="1517"/>
    <s v="67.8"/>
    <s v="11.14"/>
    <n v="6"/>
    <s v="65873.37"/>
    <s v="2008"/>
    <s v="&lt;50k"/>
    <x v="0"/>
    <s v="Manual"/>
    <s v=""/>
    <s v="Kia"/>
    <n v="65873.37"/>
  </r>
  <r>
    <n v="10"/>
    <x v="3"/>
    <x v="7"/>
    <n v="116335"/>
    <x v="1"/>
    <x v="0"/>
    <s v="First"/>
    <n v="4361"/>
    <s v="184.0"/>
    <s v="22.94"/>
    <n v="6"/>
    <s v="101371.85"/>
    <s v="2009"/>
    <s v="100k-150k"/>
    <x v="0"/>
    <s v="Manual"/>
    <s v=""/>
    <s v="Mercedes"/>
    <n v="101371.85"/>
  </r>
  <r>
    <n v="11"/>
    <x v="1"/>
    <x v="7"/>
    <n v="117356"/>
    <x v="0"/>
    <x v="1"/>
    <s v="Third"/>
    <n v="1816"/>
    <s v="300.4"/>
    <s v="24.42"/>
    <n v="5"/>
    <s v="6910.9"/>
    <s v="2009"/>
    <s v="100k-150k"/>
    <x v="0"/>
    <s v="Auto"/>
    <s v=""/>
    <s v="BMW"/>
    <n v="6910.9"/>
  </r>
  <r>
    <n v="12"/>
    <x v="2"/>
    <x v="2"/>
    <n v="115944"/>
    <x v="1"/>
    <x v="1"/>
    <s v="Third"/>
    <n v="4365"/>
    <s v="167.1"/>
    <s v="21.84"/>
    <n v="7"/>
    <s v="45909.99"/>
    <s v="2012"/>
    <s v="100k-150k"/>
    <x v="0"/>
    <s v="Auto"/>
    <s v=""/>
    <s v="Kia"/>
    <n v="45909.99"/>
  </r>
  <r>
    <n v="13"/>
    <x v="2"/>
    <x v="8"/>
    <n v="150282"/>
    <x v="0"/>
    <x v="1"/>
    <s v="Second"/>
    <n v="2760"/>
    <s v="456.6"/>
    <s v="20.36"/>
    <n v="7"/>
    <s v="30737.24"/>
    <s v="2014"/>
    <s v="150k+"/>
    <x v="0"/>
    <s v="Auto"/>
    <s v=""/>
    <s v="Kia"/>
    <n v="30737.24"/>
  </r>
  <r>
    <n v="14"/>
    <x v="5"/>
    <x v="9"/>
    <n v="21456"/>
    <x v="3"/>
    <x v="0"/>
    <s v="First"/>
    <n v="1848"/>
    <s v="554.8"/>
    <s v="27.31"/>
    <n v="2"/>
    <s v="55330.94"/>
    <s v="2021"/>
    <s v="&lt;50k"/>
    <x v="0"/>
    <s v="Manual"/>
    <s v=""/>
    <s v="Ford"/>
    <n v="55330.94"/>
  </r>
  <r>
    <n v="15"/>
    <x v="6"/>
    <x v="10"/>
    <n v="36367"/>
    <x v="3"/>
    <x v="1"/>
    <s v="Third"/>
    <n v="2157"/>
    <s v="277.3"/>
    <s v="6.97"/>
    <n v="6"/>
    <s v="11468.04"/>
    <s v="2013"/>
    <s v="&lt;50k"/>
    <x v="0"/>
    <s v="Auto"/>
    <s v=""/>
    <s v="Hyundai"/>
    <n v="11468.04"/>
  </r>
  <r>
    <n v="16"/>
    <x v="3"/>
    <x v="11"/>
    <n v="59624"/>
    <x v="2"/>
    <x v="0"/>
    <s v="First"/>
    <n v="4226"/>
    <s v="231.6"/>
    <s v="13.27"/>
    <n v="6"/>
    <s v="114633.4"/>
    <s v="2023"/>
    <s v="50k-100k"/>
    <x v="0"/>
    <s v="Manual"/>
    <s v=""/>
    <s v="Mercedes"/>
    <n v="114633.4"/>
  </r>
  <r>
    <n v="17"/>
    <x v="7"/>
    <x v="12"/>
    <n v="146178"/>
    <x v="3"/>
    <x v="1"/>
    <s v="First"/>
    <n v="915"/>
    <s v="578.5"/>
    <s v="11.21"/>
    <n v="2"/>
    <s v="29120.88"/>
    <s v="2018"/>
    <s v="100k-150k"/>
    <x v="0"/>
    <s v="Auto"/>
    <s v=""/>
    <s v="Honda"/>
    <n v="29120.880000000001"/>
  </r>
  <r>
    <n v="18"/>
    <x v="2"/>
    <x v="2"/>
    <n v="73008"/>
    <x v="0"/>
    <x v="1"/>
    <s v="First"/>
    <n v="2895"/>
    <s v="289.1"/>
    <s v="29.7"/>
    <n v="7"/>
    <s v="110910.01"/>
    <s v="2012"/>
    <s v="50k-100k"/>
    <x v="0"/>
    <s v="Auto"/>
    <s v=""/>
    <s v="Kia"/>
    <n v="110910.01"/>
  </r>
  <r>
    <n v="19"/>
    <x v="6"/>
    <x v="10"/>
    <n v="130926"/>
    <x v="1"/>
    <x v="0"/>
    <s v="Second"/>
    <n v="2601"/>
    <s v="313.9"/>
    <s v="14.73"/>
    <n v="4"/>
    <s v="52829.5"/>
    <s v="2013"/>
    <s v="100k-150k"/>
    <x v="0"/>
    <s v="Manual"/>
    <s v=""/>
    <s v="Hyundai"/>
    <n v="52829.5"/>
  </r>
  <r>
    <n v="20"/>
    <x v="7"/>
    <x v="3"/>
    <n v="120395"/>
    <x v="2"/>
    <x v="0"/>
    <s v="First"/>
    <n v="2946"/>
    <s v="236.9"/>
    <s v="23.32"/>
    <n v="4"/>
    <s v="118306.32"/>
    <s v="2015"/>
    <s v="100k-150k"/>
    <x v="0"/>
    <s v="Manual"/>
    <s v=""/>
    <s v="Honda"/>
    <n v="118306.32"/>
  </r>
  <r>
    <n v="21"/>
    <x v="3"/>
    <x v="0"/>
    <n v="121492"/>
    <x v="0"/>
    <x v="1"/>
    <s v="Third"/>
    <n v="2420"/>
    <s v="549.3"/>
    <s v="22.12"/>
    <n v="7"/>
    <s v="67824.83"/>
    <s v="2005"/>
    <s v="100k-150k"/>
    <x v="0"/>
    <s v="Auto"/>
    <s v=""/>
    <s v="Mercedes"/>
    <n v="67824.83"/>
  </r>
  <r>
    <n v="22"/>
    <x v="8"/>
    <x v="12"/>
    <n v="77240"/>
    <x v="1"/>
    <x v="1"/>
    <s v="First"/>
    <n v="3750"/>
    <s v="358.6"/>
    <s v="10.3"/>
    <n v="6"/>
    <s v="111907.45"/>
    <s v="2018"/>
    <s v="50k-100k"/>
    <x v="0"/>
    <s v="Auto"/>
    <s v=""/>
    <s v="Toyota"/>
    <n v="111907.45"/>
  </r>
  <r>
    <n v="23"/>
    <x v="4"/>
    <x v="7"/>
    <n v="69315"/>
    <x v="2"/>
    <x v="0"/>
    <s v="Third"/>
    <n v="4592"/>
    <s v="466.8"/>
    <s v="10.97"/>
    <n v="4"/>
    <s v="3625.83"/>
    <s v="2009"/>
    <s v="50k-100k"/>
    <x v="0"/>
    <s v="Manual"/>
    <s v=""/>
    <s v="Volkswagen"/>
    <n v="3625.83"/>
  </r>
  <r>
    <n v="24"/>
    <x v="6"/>
    <x v="12"/>
    <n v="15756"/>
    <x v="3"/>
    <x v="1"/>
    <s v="First"/>
    <n v="3741"/>
    <s v="494.6"/>
    <s v="12.03"/>
    <n v="5"/>
    <s v="90543.94"/>
    <s v="2018"/>
    <s v="&lt;50k"/>
    <x v="0"/>
    <s v="Auto"/>
    <s v=""/>
    <s v="Hyundai"/>
    <n v="90543.94"/>
  </r>
  <r>
    <n v="25"/>
    <x v="9"/>
    <x v="5"/>
    <n v="41378"/>
    <x v="0"/>
    <x v="1"/>
    <s v="Third"/>
    <n v="1777"/>
    <s v="231.4"/>
    <s v="15.28"/>
    <n v="5"/>
    <s v="108656.93"/>
    <s v="2008"/>
    <s v="&lt;50k"/>
    <x v="0"/>
    <s v="Auto"/>
    <s v=""/>
    <s v="Nissan"/>
    <n v="108656.93"/>
  </r>
  <r>
    <n v="26"/>
    <x v="8"/>
    <x v="0"/>
    <n v="140327"/>
    <x v="1"/>
    <x v="0"/>
    <s v="Third"/>
    <n v="3866"/>
    <s v="282.9"/>
    <s v="10.86"/>
    <n v="2"/>
    <s v="19347.31"/>
    <s v="2005"/>
    <s v="100k-150k"/>
    <x v="0"/>
    <s v="Manual"/>
    <s v=""/>
    <s v="Toyota"/>
    <n v="19347.310000000001"/>
  </r>
  <r>
    <n v="27"/>
    <x v="4"/>
    <x v="11"/>
    <n v="150556"/>
    <x v="2"/>
    <x v="1"/>
    <s v="First"/>
    <n v="1583"/>
    <s v="515.1"/>
    <s v="5.49"/>
    <n v="7"/>
    <s v="14246.72"/>
    <s v="2023"/>
    <s v="150k+"/>
    <x v="0"/>
    <s v="Auto"/>
    <s v=""/>
    <s v="Volkswagen"/>
    <n v="14246.72"/>
  </r>
  <r>
    <n v="28"/>
    <x v="5"/>
    <x v="2"/>
    <n v="130703"/>
    <x v="2"/>
    <x v="0"/>
    <s v="First"/>
    <n v="1040"/>
    <s v="243.4"/>
    <s v="26.98"/>
    <n v="7"/>
    <s v="52675.0"/>
    <s v="2012"/>
    <s v="100k-150k"/>
    <x v="0"/>
    <s v="Manual"/>
    <s v=""/>
    <s v="Ford"/>
    <n v="52675"/>
  </r>
  <r>
    <n v="29"/>
    <x v="0"/>
    <x v="1"/>
    <n v="61549"/>
    <x v="3"/>
    <x v="1"/>
    <s v="Third"/>
    <n v="2353"/>
    <s v="484.6"/>
    <s v="29.14"/>
    <n v="4"/>
    <s v="112240.43"/>
    <s v="2019"/>
    <s v="50k-100k"/>
    <x v="0"/>
    <s v="Auto"/>
    <s v=""/>
    <s v="Audi"/>
    <n v="112240.43"/>
  </r>
  <r>
    <n v="30"/>
    <x v="1"/>
    <x v="1"/>
    <n v="170575"/>
    <x v="1"/>
    <x v="0"/>
    <s v="Second"/>
    <n v="1812"/>
    <s v="567.0"/>
    <s v="13.54"/>
    <n v="6"/>
    <s v="66459.23"/>
    <s v="2019"/>
    <s v="150k+"/>
    <x v="0"/>
    <s v="Manual"/>
    <s v=""/>
    <s v="BMW"/>
    <n v="66459.23"/>
  </r>
  <r>
    <n v="31"/>
    <x v="9"/>
    <x v="10"/>
    <n v="78794"/>
    <x v="3"/>
    <x v="1"/>
    <s v="First"/>
    <n v="986"/>
    <s v="389.0"/>
    <s v="13.46"/>
    <n v="7"/>
    <s v="64712.41"/>
    <s v="2013"/>
    <s v="50k-100k"/>
    <x v="0"/>
    <s v="Auto"/>
    <s v=""/>
    <s v="Nissan"/>
    <n v="64712.41"/>
  </r>
  <r>
    <n v="32"/>
    <x v="5"/>
    <x v="10"/>
    <n v="50113"/>
    <x v="3"/>
    <x v="0"/>
    <s v="Second"/>
    <n v="2681"/>
    <s v="455.3"/>
    <s v="5.18"/>
    <n v="4"/>
    <s v="19511.76"/>
    <s v="2013"/>
    <s v="50k-100k"/>
    <x v="0"/>
    <s v="Manual"/>
    <s v=""/>
    <s v="Ford"/>
    <n v="19511.759999999998"/>
  </r>
  <r>
    <n v="33"/>
    <x v="3"/>
    <x v="8"/>
    <n v="79069"/>
    <x v="1"/>
    <x v="1"/>
    <s v="First"/>
    <n v="1230"/>
    <s v="490.9"/>
    <s v="22.01"/>
    <n v="4"/>
    <s v="3092.37"/>
    <s v="2014"/>
    <s v="50k-100k"/>
    <x v="0"/>
    <s v="Auto"/>
    <s v=""/>
    <s v="Mercedes"/>
    <n v="3092.37"/>
  </r>
  <r>
    <n v="34"/>
    <x v="5"/>
    <x v="13"/>
    <n v="141321"/>
    <x v="1"/>
    <x v="0"/>
    <s v="First"/>
    <n v="1038"/>
    <s v="513.2"/>
    <s v="25.64"/>
    <n v="7"/>
    <s v="97786.39"/>
    <s v="2024"/>
    <s v="100k-150k"/>
    <x v="0"/>
    <s v="Manual"/>
    <s v=""/>
    <s v="Ford"/>
    <n v="97786.39"/>
  </r>
  <r>
    <n v="35"/>
    <x v="0"/>
    <x v="10"/>
    <n v="155273"/>
    <x v="1"/>
    <x v="1"/>
    <s v="First"/>
    <n v="3145"/>
    <s v="261.2"/>
    <s v="8.67"/>
    <n v="4"/>
    <s v="13246.22"/>
    <s v="2013"/>
    <s v="150k+"/>
    <x v="0"/>
    <s v="Auto"/>
    <s v=""/>
    <s v="Audi"/>
    <n v="13246.22"/>
  </r>
  <r>
    <n v="36"/>
    <x v="3"/>
    <x v="14"/>
    <n v="130541"/>
    <x v="0"/>
    <x v="1"/>
    <s v="First"/>
    <n v="875"/>
    <s v="68.7"/>
    <s v="8.99"/>
    <n v="2"/>
    <s v="77160.43"/>
    <s v="2007"/>
    <s v="100k-150k"/>
    <x v="0"/>
    <s v="Auto"/>
    <s v=""/>
    <s v="Mercedes"/>
    <n v="77160.429999999993"/>
  </r>
  <r>
    <n v="37"/>
    <x v="9"/>
    <x v="13"/>
    <n v="194648"/>
    <x v="1"/>
    <x v="1"/>
    <s v="Second"/>
    <n v="2156"/>
    <s v="265.1"/>
    <s v="24.75"/>
    <n v="2"/>
    <s v="110010.13"/>
    <s v="2024"/>
    <s v="150k+"/>
    <x v="0"/>
    <s v="Auto"/>
    <s v=""/>
    <s v="Nissan"/>
    <n v="110010.13"/>
  </r>
  <r>
    <n v="38"/>
    <x v="0"/>
    <x v="3"/>
    <n v="14686"/>
    <x v="2"/>
    <x v="1"/>
    <s v="First"/>
    <n v="3130"/>
    <s v="417.3"/>
    <s v="20.41"/>
    <n v="7"/>
    <s v="27412.27"/>
    <s v="2015"/>
    <s v="&lt;50k"/>
    <x v="0"/>
    <s v="Auto"/>
    <s v=""/>
    <s v="Audi"/>
    <n v="27412.27"/>
  </r>
  <r>
    <n v="39"/>
    <x v="7"/>
    <x v="15"/>
    <n v="58363"/>
    <x v="3"/>
    <x v="1"/>
    <s v="Third"/>
    <n v="2702"/>
    <s v="292.2"/>
    <s v="6.12"/>
    <n v="6"/>
    <s v="80836.92"/>
    <s v="2010"/>
    <s v="50k-100k"/>
    <x v="0"/>
    <s v="Auto"/>
    <s v=""/>
    <s v="Honda"/>
    <n v="80836.92"/>
  </r>
  <r>
    <n v="40"/>
    <x v="1"/>
    <x v="16"/>
    <n v="102543"/>
    <x v="0"/>
    <x v="1"/>
    <s v="Third"/>
    <n v="4813"/>
    <s v="459.4"/>
    <s v="20.56"/>
    <n v="2"/>
    <s v="12207.73"/>
    <s v="2006"/>
    <s v="100k-150k"/>
    <x v="0"/>
    <s v="Auto"/>
    <s v=""/>
    <s v="BMW"/>
    <n v="12207.73"/>
  </r>
  <r>
    <n v="41"/>
    <x v="9"/>
    <x v="17"/>
    <n v="136733"/>
    <x v="1"/>
    <x v="1"/>
    <s v="Second"/>
    <n v="2859"/>
    <s v="239.9"/>
    <s v="12.72"/>
    <n v="2"/>
    <s v="73639.35"/>
    <s v="2011"/>
    <s v="100k-150k"/>
    <x v="0"/>
    <s v="Auto"/>
    <s v=""/>
    <s v="Nissan"/>
    <n v="73639.350000000006"/>
  </r>
  <r>
    <n v="42"/>
    <x v="7"/>
    <x v="18"/>
    <n v="180915"/>
    <x v="0"/>
    <x v="1"/>
    <s v="First"/>
    <n v="940"/>
    <s v="395.5"/>
    <s v="14.22"/>
    <n v="7"/>
    <s v="22180.01"/>
    <s v="2022"/>
    <s v="150k+"/>
    <x v="0"/>
    <s v="Auto"/>
    <s v=""/>
    <s v="Honda"/>
    <n v="22180.01"/>
  </r>
  <r>
    <n v="43"/>
    <x v="4"/>
    <x v="16"/>
    <n v="100673"/>
    <x v="1"/>
    <x v="1"/>
    <s v="Third"/>
    <n v="2589"/>
    <s v="144.4"/>
    <s v="24.24"/>
    <n v="5"/>
    <s v="89106.57"/>
    <s v="2006"/>
    <s v="100k-150k"/>
    <x v="0"/>
    <s v="Auto"/>
    <s v=""/>
    <s v="Volkswagen"/>
    <n v="89106.57"/>
  </r>
  <r>
    <n v="44"/>
    <x v="9"/>
    <x v="9"/>
    <n v="197035"/>
    <x v="0"/>
    <x v="0"/>
    <s v="Second"/>
    <n v="4426"/>
    <s v="459.6"/>
    <s v="25.27"/>
    <n v="4"/>
    <s v="38244.06"/>
    <s v="2021"/>
    <s v="150k+"/>
    <x v="0"/>
    <s v="Manual"/>
    <s v=""/>
    <s v="Nissan"/>
    <n v="38244.06"/>
  </r>
  <r>
    <n v="45"/>
    <x v="4"/>
    <x v="3"/>
    <n v="47828"/>
    <x v="3"/>
    <x v="0"/>
    <s v="First"/>
    <n v="816"/>
    <s v="345.6"/>
    <s v="15.01"/>
    <n v="2"/>
    <s v="57216.75"/>
    <s v="2015"/>
    <s v="&lt;50k"/>
    <x v="0"/>
    <s v="Manual"/>
    <s v=""/>
    <s v="Volkswagen"/>
    <n v="57216.75"/>
  </r>
  <r>
    <n v="46"/>
    <x v="3"/>
    <x v="4"/>
    <n v="53604"/>
    <x v="3"/>
    <x v="1"/>
    <s v="Third"/>
    <n v="1264"/>
    <s v="154.3"/>
    <s v="28.68"/>
    <n v="5"/>
    <s v="73133.37"/>
    <s v="2016"/>
    <s v="50k-100k"/>
    <x v="0"/>
    <s v="Auto"/>
    <s v=""/>
    <s v="Mercedes"/>
    <n v="73133.37"/>
  </r>
  <r>
    <n v="47"/>
    <x v="7"/>
    <x v="11"/>
    <n v="15526"/>
    <x v="2"/>
    <x v="0"/>
    <s v="Third"/>
    <n v="2627"/>
    <s v="203.5"/>
    <s v="15.16"/>
    <n v="6"/>
    <s v="23038.99"/>
    <s v="2023"/>
    <s v="&lt;50k"/>
    <x v="0"/>
    <s v="Manual"/>
    <s v=""/>
    <s v="Honda"/>
    <n v="23038.99"/>
  </r>
  <r>
    <n v="48"/>
    <x v="1"/>
    <x v="17"/>
    <n v="73910"/>
    <x v="2"/>
    <x v="1"/>
    <s v="Second"/>
    <n v="3828"/>
    <s v="459.2"/>
    <s v="24.3"/>
    <n v="5"/>
    <s v="89771.62"/>
    <s v="2011"/>
    <s v="50k-100k"/>
    <x v="0"/>
    <s v="Auto"/>
    <s v=""/>
    <s v="BMW"/>
    <n v="89771.62"/>
  </r>
  <r>
    <n v="49"/>
    <x v="0"/>
    <x v="13"/>
    <n v="30592"/>
    <x v="1"/>
    <x v="1"/>
    <s v="First"/>
    <n v="1319"/>
    <s v="310.3"/>
    <s v="17.1"/>
    <n v="7"/>
    <s v="38408.92"/>
    <s v="2024"/>
    <s v="&lt;50k"/>
    <x v="0"/>
    <s v="Auto"/>
    <s v=""/>
    <s v="Audi"/>
    <n v="38408.92"/>
  </r>
  <r>
    <n v="50"/>
    <x v="2"/>
    <x v="15"/>
    <n v="33982"/>
    <x v="3"/>
    <x v="0"/>
    <s v="First"/>
    <n v="889"/>
    <s v="161.0"/>
    <s v="27.44"/>
    <n v="6"/>
    <s v="80497.51"/>
    <s v="2010"/>
    <s v="&lt;50k"/>
    <x v="0"/>
    <s v="Manual"/>
    <s v=""/>
    <s v="Kia"/>
    <n v="80497.509999999995"/>
  </r>
  <r>
    <n v="51"/>
    <x v="5"/>
    <x v="0"/>
    <n v="5207"/>
    <x v="0"/>
    <x v="1"/>
    <s v="Third"/>
    <n v="3651"/>
    <s v="581.7"/>
    <s v="27.69"/>
    <n v="6"/>
    <s v="21519.12"/>
    <s v="2005"/>
    <s v="&lt;50k"/>
    <x v="0"/>
    <s v="Auto"/>
    <s v=""/>
    <s v="Ford"/>
    <n v="21519.119999999999"/>
  </r>
  <r>
    <n v="52"/>
    <x v="8"/>
    <x v="9"/>
    <n v="93733"/>
    <x v="0"/>
    <x v="1"/>
    <s v="Third"/>
    <n v="3643"/>
    <s v="440.5"/>
    <s v="7.19"/>
    <n v="5"/>
    <s v="83509.77"/>
    <s v="2021"/>
    <s v="50k-100k"/>
    <x v="0"/>
    <s v="Auto"/>
    <s v=""/>
    <s v="Toyota"/>
    <n v="83509.77"/>
  </r>
  <r>
    <n v="53"/>
    <x v="1"/>
    <x v="3"/>
    <n v="129982"/>
    <x v="0"/>
    <x v="0"/>
    <s v="Third"/>
    <n v="2684"/>
    <s v="576.0"/>
    <s v="28.41"/>
    <n v="7"/>
    <s v="17998.0"/>
    <s v="2015"/>
    <s v="100k-150k"/>
    <x v="0"/>
    <s v="Manual"/>
    <s v=""/>
    <s v="BMW"/>
    <n v="17998"/>
  </r>
  <r>
    <n v="54"/>
    <x v="7"/>
    <x v="18"/>
    <n v="73619"/>
    <x v="2"/>
    <x v="0"/>
    <s v="First"/>
    <n v="4971"/>
    <s v="279.2"/>
    <s v="25.64"/>
    <n v="2"/>
    <s v="52766.71"/>
    <s v="2022"/>
    <s v="50k-100k"/>
    <x v="0"/>
    <s v="Manual"/>
    <s v=""/>
    <s v="Honda"/>
    <n v="52766.71"/>
  </r>
  <r>
    <n v="55"/>
    <x v="2"/>
    <x v="9"/>
    <n v="165400"/>
    <x v="0"/>
    <x v="1"/>
    <s v="Second"/>
    <n v="1725"/>
    <s v="306.1"/>
    <s v="24.78"/>
    <n v="5"/>
    <s v="31923.11"/>
    <s v="2021"/>
    <s v="150k+"/>
    <x v="0"/>
    <s v="Auto"/>
    <s v=""/>
    <s v="Kia"/>
    <n v="31923.11"/>
  </r>
  <r>
    <n v="56"/>
    <x v="1"/>
    <x v="17"/>
    <n v="51479"/>
    <x v="2"/>
    <x v="0"/>
    <s v="Second"/>
    <n v="4534"/>
    <s v="542.9"/>
    <s v="10.02"/>
    <n v="2"/>
    <s v="90559.9"/>
    <s v="2011"/>
    <s v="50k-100k"/>
    <x v="0"/>
    <s v="Manual"/>
    <s v=""/>
    <s v="BMW"/>
    <n v="90559.9"/>
  </r>
  <r>
    <n v="57"/>
    <x v="7"/>
    <x v="9"/>
    <n v="156175"/>
    <x v="2"/>
    <x v="0"/>
    <s v="First"/>
    <n v="1769"/>
    <s v="334.0"/>
    <s v="25.13"/>
    <n v="5"/>
    <s v="33658.1"/>
    <s v="2021"/>
    <s v="150k+"/>
    <x v="0"/>
    <s v="Manual"/>
    <s v=""/>
    <s v="Honda"/>
    <n v="33658.1"/>
  </r>
  <r>
    <n v="58"/>
    <x v="6"/>
    <x v="13"/>
    <n v="175963"/>
    <x v="1"/>
    <x v="1"/>
    <s v="Second"/>
    <n v="1894"/>
    <s v="436.1"/>
    <s v="26.25"/>
    <n v="2"/>
    <s v="106160.92"/>
    <s v="2024"/>
    <s v="150k+"/>
    <x v="0"/>
    <s v="Auto"/>
    <s v=""/>
    <s v="Hyundai"/>
    <n v="106160.92"/>
  </r>
  <r>
    <n v="59"/>
    <x v="6"/>
    <x v="10"/>
    <n v="146826"/>
    <x v="0"/>
    <x v="0"/>
    <s v="Third"/>
    <n v="3995"/>
    <s v="181.2"/>
    <s v="12.23"/>
    <n v="5"/>
    <s v="107342.96"/>
    <s v="2013"/>
    <s v="100k-150k"/>
    <x v="0"/>
    <s v="Manual"/>
    <s v=""/>
    <s v="Hyundai"/>
    <n v="107342.96"/>
  </r>
  <r>
    <n v="60"/>
    <x v="4"/>
    <x v="9"/>
    <n v="86437"/>
    <x v="0"/>
    <x v="0"/>
    <s v="Second"/>
    <n v="2204"/>
    <s v="290.2"/>
    <s v="28.81"/>
    <n v="6"/>
    <s v="25983.63"/>
    <s v="2021"/>
    <s v="50k-100k"/>
    <x v="0"/>
    <s v="Manual"/>
    <s v=""/>
    <s v="Volkswagen"/>
    <n v="25983.63"/>
  </r>
  <r>
    <n v="61"/>
    <x v="1"/>
    <x v="13"/>
    <n v="103540"/>
    <x v="3"/>
    <x v="1"/>
    <s v="Second"/>
    <n v="4164"/>
    <s v="109.1"/>
    <s v="6.25"/>
    <n v="4"/>
    <s v="74819.98"/>
    <s v="2024"/>
    <s v="100k-150k"/>
    <x v="0"/>
    <s v="Auto"/>
    <s v=""/>
    <s v="BMW"/>
    <n v="74819.98"/>
  </r>
  <r>
    <n v="62"/>
    <x v="6"/>
    <x v="2"/>
    <n v="77982"/>
    <x v="1"/>
    <x v="0"/>
    <s v="Second"/>
    <n v="4782"/>
    <s v="155.3"/>
    <s v="8.75"/>
    <n v="6"/>
    <s v="13262.96"/>
    <s v="2012"/>
    <s v="50k-100k"/>
    <x v="0"/>
    <s v="Manual"/>
    <s v=""/>
    <s v="Hyundai"/>
    <n v="13262.96"/>
  </r>
  <r>
    <n v="63"/>
    <x v="7"/>
    <x v="9"/>
    <n v="107747"/>
    <x v="3"/>
    <x v="0"/>
    <s v="Third"/>
    <n v="4813"/>
    <s v="40.5"/>
    <s v="18.44"/>
    <n v="2"/>
    <s v="48809.84"/>
    <s v="2021"/>
    <s v="100k-150k"/>
    <x v="0"/>
    <s v="Manual"/>
    <s v=""/>
    <s v="Honda"/>
    <n v="48809.84"/>
  </r>
  <r>
    <n v="64"/>
    <x v="4"/>
    <x v="17"/>
    <n v="191994"/>
    <x v="1"/>
    <x v="1"/>
    <s v="First"/>
    <n v="3892"/>
    <s v="62.0"/>
    <s v="19.39"/>
    <n v="7"/>
    <s v="86458.64"/>
    <s v="2011"/>
    <s v="150k+"/>
    <x v="0"/>
    <s v="Auto"/>
    <s v=""/>
    <s v="Volkswagen"/>
    <n v="86458.64"/>
  </r>
  <r>
    <n v="65"/>
    <x v="7"/>
    <x v="0"/>
    <n v="53231"/>
    <x v="0"/>
    <x v="1"/>
    <s v="Third"/>
    <n v="4959"/>
    <s v="587.3"/>
    <s v="21.13"/>
    <n v="6"/>
    <s v="80152.52"/>
    <s v="2005"/>
    <s v="50k-100k"/>
    <x v="0"/>
    <s v="Auto"/>
    <s v=""/>
    <s v="Honda"/>
    <n v="80152.52"/>
  </r>
  <r>
    <n v="66"/>
    <x v="4"/>
    <x v="19"/>
    <n v="34301"/>
    <x v="2"/>
    <x v="1"/>
    <s v="First"/>
    <n v="2874"/>
    <s v="175.7"/>
    <s v="5.42"/>
    <n v="4"/>
    <s v="76089.98"/>
    <s v="2017"/>
    <s v="&lt;50k"/>
    <x v="0"/>
    <s v="Auto"/>
    <s v=""/>
    <s v="Volkswagen"/>
    <n v="76089.98"/>
  </r>
  <r>
    <n v="67"/>
    <x v="1"/>
    <x v="11"/>
    <n v="198783"/>
    <x v="2"/>
    <x v="0"/>
    <s v="First"/>
    <n v="1084"/>
    <s v="411.5"/>
    <s v="29.01"/>
    <n v="2"/>
    <s v="36057.28"/>
    <s v="2023"/>
    <s v="150k+"/>
    <x v="0"/>
    <s v="Manual"/>
    <s v=""/>
    <s v="BMW"/>
    <n v="36057.279999999999"/>
  </r>
  <r>
    <n v="68"/>
    <x v="2"/>
    <x v="11"/>
    <n v="177395"/>
    <x v="2"/>
    <x v="1"/>
    <s v="First"/>
    <n v="1987"/>
    <s v="509.9"/>
    <s v="6.11"/>
    <n v="6"/>
    <s v="47228.92"/>
    <s v="2023"/>
    <s v="150k+"/>
    <x v="0"/>
    <s v="Auto"/>
    <s v=""/>
    <s v="Kia"/>
    <n v="47228.92"/>
  </r>
  <r>
    <n v="69"/>
    <x v="0"/>
    <x v="9"/>
    <n v="23752"/>
    <x v="2"/>
    <x v="1"/>
    <s v="Second"/>
    <n v="4769"/>
    <s v="348.4"/>
    <s v="8.58"/>
    <n v="5"/>
    <s v="15044.7"/>
    <s v="2021"/>
    <s v="&lt;50k"/>
    <x v="0"/>
    <s v="Auto"/>
    <s v=""/>
    <s v="Audi"/>
    <n v="15044.7"/>
  </r>
  <r>
    <n v="70"/>
    <x v="9"/>
    <x v="19"/>
    <n v="103452"/>
    <x v="2"/>
    <x v="0"/>
    <s v="Second"/>
    <n v="3765"/>
    <s v="125.8"/>
    <s v="5.35"/>
    <n v="7"/>
    <s v="87125.67"/>
    <s v="2017"/>
    <s v="100k-150k"/>
    <x v="0"/>
    <s v="Manual"/>
    <s v=""/>
    <s v="Nissan"/>
    <n v="87125.67"/>
  </r>
  <r>
    <n v="71"/>
    <x v="2"/>
    <x v="6"/>
    <n v="149467"/>
    <x v="3"/>
    <x v="1"/>
    <s v="First"/>
    <n v="1583"/>
    <s v="447.7"/>
    <s v="19.17"/>
    <n v="2"/>
    <s v="61954.99"/>
    <s v="2020"/>
    <s v="100k-150k"/>
    <x v="0"/>
    <s v="Auto"/>
    <s v=""/>
    <s v="Kia"/>
    <n v="61954.99"/>
  </r>
  <r>
    <n v="72"/>
    <x v="3"/>
    <x v="2"/>
    <n v="126237"/>
    <x v="1"/>
    <x v="1"/>
    <s v="First"/>
    <n v="1749"/>
    <s v="376.1"/>
    <s v="28.31"/>
    <n v="6"/>
    <s v="85925.58"/>
    <s v="2012"/>
    <s v="100k-150k"/>
    <x v="0"/>
    <s v="Auto"/>
    <s v=""/>
    <s v="Mercedes"/>
    <n v="85925.58"/>
  </r>
  <r>
    <n v="73"/>
    <x v="7"/>
    <x v="11"/>
    <n v="61273"/>
    <x v="0"/>
    <x v="1"/>
    <s v="Second"/>
    <n v="4739"/>
    <s v="449.5"/>
    <s v="21.65"/>
    <n v="2"/>
    <s v="32126.39"/>
    <s v="2023"/>
    <s v="50k-100k"/>
    <x v="0"/>
    <s v="Auto"/>
    <s v=""/>
    <s v="Honda"/>
    <n v="32126.39"/>
  </r>
  <r>
    <n v="74"/>
    <x v="3"/>
    <x v="18"/>
    <n v="96878"/>
    <x v="3"/>
    <x v="1"/>
    <s v="Third"/>
    <n v="844"/>
    <s v="471.1"/>
    <s v="25.57"/>
    <n v="5"/>
    <s v="40959.27"/>
    <s v="2022"/>
    <s v="50k-100k"/>
    <x v="0"/>
    <s v="Auto"/>
    <s v=""/>
    <s v="Mercedes"/>
    <n v="40959.269999999997"/>
  </r>
  <r>
    <n v="75"/>
    <x v="2"/>
    <x v="0"/>
    <n v="9895"/>
    <x v="1"/>
    <x v="0"/>
    <s v="First"/>
    <n v="2610"/>
    <s v="586.2"/>
    <s v="5.33"/>
    <n v="4"/>
    <s v="42103.19"/>
    <s v="2005"/>
    <s v="&lt;50k"/>
    <x v="0"/>
    <s v="Manual"/>
    <s v=""/>
    <s v="Kia"/>
    <n v="42103.19"/>
  </r>
  <r>
    <n v="76"/>
    <x v="4"/>
    <x v="12"/>
    <n v="124968"/>
    <x v="2"/>
    <x v="1"/>
    <s v="Third"/>
    <n v="2881"/>
    <s v="361.2"/>
    <s v="18.55"/>
    <n v="6"/>
    <s v="6011.86"/>
    <s v="2018"/>
    <s v="100k-150k"/>
    <x v="0"/>
    <s v="Auto"/>
    <s v=""/>
    <s v="Volkswagen"/>
    <n v="6011.86"/>
  </r>
  <r>
    <n v="77"/>
    <x v="9"/>
    <x v="11"/>
    <n v="120700"/>
    <x v="1"/>
    <x v="1"/>
    <s v="Second"/>
    <n v="4298"/>
    <s v="231.3"/>
    <s v="16.49"/>
    <n v="2"/>
    <s v="42902.6"/>
    <s v="2023"/>
    <s v="100k-150k"/>
    <x v="0"/>
    <s v="Auto"/>
    <s v=""/>
    <s v="Nissan"/>
    <n v="42902.6"/>
  </r>
  <r>
    <n v="78"/>
    <x v="9"/>
    <x v="1"/>
    <n v="81559"/>
    <x v="1"/>
    <x v="0"/>
    <s v="First"/>
    <n v="1629"/>
    <s v="403.1"/>
    <s v="17.47"/>
    <n v="2"/>
    <s v="96986.64"/>
    <s v="2019"/>
    <s v="50k-100k"/>
    <x v="0"/>
    <s v="Manual"/>
    <s v=""/>
    <s v="Nissan"/>
    <n v="96986.64"/>
  </r>
  <r>
    <n v="79"/>
    <x v="8"/>
    <x v="18"/>
    <n v="15699"/>
    <x v="2"/>
    <x v="1"/>
    <s v="Third"/>
    <n v="2709"/>
    <s v="78.3"/>
    <s v="6.81"/>
    <n v="2"/>
    <s v="107983.92"/>
    <s v="2022"/>
    <s v="&lt;50k"/>
    <x v="0"/>
    <s v="Auto"/>
    <s v=""/>
    <s v="Toyota"/>
    <n v="107983.92"/>
  </r>
  <r>
    <n v="80"/>
    <x v="9"/>
    <x v="16"/>
    <n v="14715"/>
    <x v="2"/>
    <x v="0"/>
    <s v="Third"/>
    <n v="3381"/>
    <s v="542.5"/>
    <s v="22.11"/>
    <n v="4"/>
    <s v="63631.54"/>
    <s v="2006"/>
    <s v="&lt;50k"/>
    <x v="0"/>
    <s v="Manual"/>
    <s v=""/>
    <s v="Nissan"/>
    <n v="63631.54"/>
  </r>
  <r>
    <n v="81"/>
    <x v="0"/>
    <x v="9"/>
    <n v="24169"/>
    <x v="2"/>
    <x v="0"/>
    <s v="Third"/>
    <n v="1491"/>
    <s v="106.9"/>
    <s v="17.58"/>
    <n v="2"/>
    <s v="56293.7"/>
    <s v="2021"/>
    <s v="&lt;50k"/>
    <x v="0"/>
    <s v="Manual"/>
    <s v=""/>
    <s v="Audi"/>
    <n v="56293.7"/>
  </r>
  <r>
    <n v="82"/>
    <x v="9"/>
    <x v="18"/>
    <n v="123413"/>
    <x v="0"/>
    <x v="0"/>
    <s v="Second"/>
    <n v="4819"/>
    <s v="223.6"/>
    <s v="24.13"/>
    <n v="7"/>
    <s v="6606.48"/>
    <s v="2022"/>
    <s v="100k-150k"/>
    <x v="0"/>
    <s v="Manual"/>
    <s v=""/>
    <s v="Nissan"/>
    <n v="6606.48"/>
  </r>
  <r>
    <n v="83"/>
    <x v="2"/>
    <x v="15"/>
    <n v="152235"/>
    <x v="2"/>
    <x v="1"/>
    <s v="Second"/>
    <n v="1731"/>
    <s v="496.8"/>
    <s v="17.13"/>
    <n v="7"/>
    <s v="105866.91"/>
    <s v="2010"/>
    <s v="150k+"/>
    <x v="0"/>
    <s v="Auto"/>
    <s v=""/>
    <s v="Kia"/>
    <n v="105866.91"/>
  </r>
  <r>
    <n v="84"/>
    <x v="8"/>
    <x v="11"/>
    <n v="124264"/>
    <x v="0"/>
    <x v="0"/>
    <s v="Third"/>
    <n v="4206"/>
    <s v="374.5"/>
    <s v="8.73"/>
    <n v="2"/>
    <s v="4522.19"/>
    <s v="2023"/>
    <s v="100k-150k"/>
    <x v="0"/>
    <s v="Manual"/>
    <s v=""/>
    <s v="Toyota"/>
    <n v="4522.1899999999996"/>
  </r>
  <r>
    <n v="85"/>
    <x v="2"/>
    <x v="5"/>
    <n v="10782"/>
    <x v="2"/>
    <x v="0"/>
    <s v="Third"/>
    <n v="947"/>
    <s v="260.4"/>
    <s v="21.21"/>
    <n v="7"/>
    <s v="113535.76"/>
    <s v="2008"/>
    <s v="&lt;50k"/>
    <x v="0"/>
    <s v="Manual"/>
    <s v=""/>
    <s v="Kia"/>
    <n v="113535.76"/>
  </r>
  <r>
    <n v="86"/>
    <x v="2"/>
    <x v="0"/>
    <n v="129481"/>
    <x v="0"/>
    <x v="0"/>
    <s v="Second"/>
    <n v="1832"/>
    <s v="305.1"/>
    <s v="9.31"/>
    <n v="6"/>
    <s v="60238.3"/>
    <s v="2005"/>
    <s v="100k-150k"/>
    <x v="0"/>
    <s v="Manual"/>
    <s v=""/>
    <s v="Kia"/>
    <n v="60238.3"/>
  </r>
  <r>
    <n v="87"/>
    <x v="5"/>
    <x v="2"/>
    <n v="40585"/>
    <x v="1"/>
    <x v="1"/>
    <s v="Third"/>
    <n v="2111"/>
    <s v="518.5"/>
    <s v="26.81"/>
    <n v="7"/>
    <s v="43006.34"/>
    <s v="2012"/>
    <s v="&lt;50k"/>
    <x v="0"/>
    <s v="Auto"/>
    <s v=""/>
    <s v="Ford"/>
    <n v="43006.34"/>
  </r>
  <r>
    <n v="88"/>
    <x v="8"/>
    <x v="17"/>
    <n v="35682"/>
    <x v="3"/>
    <x v="1"/>
    <s v="Third"/>
    <n v="1187"/>
    <s v="230.4"/>
    <s v="20.33"/>
    <n v="2"/>
    <s v="111133.56"/>
    <s v="2011"/>
    <s v="&lt;50k"/>
    <x v="0"/>
    <s v="Auto"/>
    <s v=""/>
    <s v="Toyota"/>
    <n v="111133.56"/>
  </r>
  <r>
    <n v="89"/>
    <x v="2"/>
    <x v="14"/>
    <n v="183936"/>
    <x v="1"/>
    <x v="1"/>
    <s v="Second"/>
    <n v="3921"/>
    <s v="527.0"/>
    <s v="8.93"/>
    <n v="5"/>
    <s v="5853.75"/>
    <s v="2007"/>
    <s v="150k+"/>
    <x v="0"/>
    <s v="Auto"/>
    <s v=""/>
    <s v="Kia"/>
    <n v="5853.75"/>
  </r>
  <r>
    <n v="90"/>
    <x v="5"/>
    <x v="8"/>
    <n v="134992"/>
    <x v="1"/>
    <x v="1"/>
    <s v="Third"/>
    <n v="2673"/>
    <s v="89.4"/>
    <s v="29.06"/>
    <n v="6"/>
    <s v="71026.71"/>
    <s v="2014"/>
    <s v="100k-150k"/>
    <x v="0"/>
    <s v="Auto"/>
    <s v=""/>
    <s v="Ford"/>
    <n v="71026.710000000006"/>
  </r>
  <r>
    <n v="91"/>
    <x v="5"/>
    <x v="8"/>
    <n v="89416"/>
    <x v="2"/>
    <x v="1"/>
    <s v="Third"/>
    <n v="4388"/>
    <s v="475.0"/>
    <s v="17.96"/>
    <n v="4"/>
    <s v="67225.11"/>
    <s v="2014"/>
    <s v="50k-100k"/>
    <x v="0"/>
    <s v="Auto"/>
    <s v=""/>
    <s v="Ford"/>
    <n v="67225.11"/>
  </r>
  <r>
    <n v="92"/>
    <x v="8"/>
    <x v="11"/>
    <n v="191186"/>
    <x v="0"/>
    <x v="1"/>
    <s v="Third"/>
    <n v="1715"/>
    <s v="514.6"/>
    <s v="6.82"/>
    <n v="2"/>
    <s v="28660.49"/>
    <s v="2023"/>
    <s v="150k+"/>
    <x v="0"/>
    <s v="Auto"/>
    <s v=""/>
    <s v="Toyota"/>
    <n v="28660.49"/>
  </r>
  <r>
    <n v="93"/>
    <x v="3"/>
    <x v="12"/>
    <n v="132810"/>
    <x v="3"/>
    <x v="1"/>
    <s v="Second"/>
    <n v="2678"/>
    <s v="141.8"/>
    <s v="20.67"/>
    <n v="4"/>
    <s v="53179.83"/>
    <s v="2018"/>
    <s v="100k-150k"/>
    <x v="0"/>
    <s v="Auto"/>
    <s v=""/>
    <s v="Mercedes"/>
    <n v="53179.83"/>
  </r>
  <r>
    <n v="94"/>
    <x v="4"/>
    <x v="16"/>
    <n v="43067"/>
    <x v="2"/>
    <x v="0"/>
    <s v="Third"/>
    <n v="4548"/>
    <s v="281.0"/>
    <s v="11.33"/>
    <n v="5"/>
    <s v="79314.89"/>
    <s v="2006"/>
    <s v="&lt;50k"/>
    <x v="0"/>
    <s v="Manual"/>
    <s v=""/>
    <s v="Volkswagen"/>
    <n v="79314.89"/>
  </r>
  <r>
    <n v="95"/>
    <x v="0"/>
    <x v="0"/>
    <n v="178757"/>
    <x v="2"/>
    <x v="0"/>
    <s v="Second"/>
    <n v="1077"/>
    <s v="132.7"/>
    <s v="25.09"/>
    <n v="4"/>
    <s v="88074.35"/>
    <s v="2005"/>
    <s v="150k+"/>
    <x v="0"/>
    <s v="Manual"/>
    <s v=""/>
    <s v="Audi"/>
    <n v="88074.35"/>
  </r>
  <r>
    <n v="96"/>
    <x v="4"/>
    <x v="18"/>
    <n v="23073"/>
    <x v="2"/>
    <x v="0"/>
    <s v="Second"/>
    <n v="2777"/>
    <s v="435.7"/>
    <s v="25.45"/>
    <n v="2"/>
    <s v="3083.87"/>
    <s v="2022"/>
    <s v="&lt;50k"/>
    <x v="0"/>
    <s v="Manual"/>
    <s v=""/>
    <s v="Volkswagen"/>
    <n v="3083.87"/>
  </r>
  <r>
    <n v="97"/>
    <x v="9"/>
    <x v="17"/>
    <n v="41035"/>
    <x v="1"/>
    <x v="0"/>
    <s v="First"/>
    <n v="2659"/>
    <s v="339.8"/>
    <s v="29.47"/>
    <n v="2"/>
    <s v="112611.85"/>
    <s v="2011"/>
    <s v="&lt;50k"/>
    <x v="0"/>
    <s v="Manual"/>
    <s v=""/>
    <s v="Nissan"/>
    <n v="112611.85"/>
  </r>
  <r>
    <n v="98"/>
    <x v="0"/>
    <x v="2"/>
    <n v="95373"/>
    <x v="0"/>
    <x v="1"/>
    <s v="First"/>
    <n v="3836"/>
    <s v="395.8"/>
    <s v="17.55"/>
    <n v="5"/>
    <s v="22249.47"/>
    <s v="2012"/>
    <s v="50k-100k"/>
    <x v="0"/>
    <s v="Auto"/>
    <s v=""/>
    <s v="Audi"/>
    <n v="22249.47"/>
  </r>
  <r>
    <n v="99"/>
    <x v="9"/>
    <x v="0"/>
    <n v="88362"/>
    <x v="0"/>
    <x v="0"/>
    <s v="Third"/>
    <n v="4171"/>
    <s v="150.0"/>
    <s v="16.37"/>
    <n v="2"/>
    <s v="30328.91"/>
    <s v="2005"/>
    <s v="50k-100k"/>
    <x v="0"/>
    <s v="Manual"/>
    <s v=""/>
    <s v="Nissan"/>
    <n v="30328.91"/>
  </r>
  <r>
    <n v="100"/>
    <x v="2"/>
    <x v="14"/>
    <n v="95517"/>
    <x v="3"/>
    <x v="0"/>
    <s v="Second"/>
    <n v="2982"/>
    <s v="158.6"/>
    <s v="23.84"/>
    <n v="5"/>
    <s v="33826.39"/>
    <s v="2007"/>
    <s v="50k-100k"/>
    <x v="0"/>
    <s v="Manual"/>
    <s v=""/>
    <s v="Kia"/>
    <n v="33826.39"/>
  </r>
  <r>
    <n v="101"/>
    <x v="7"/>
    <x v="2"/>
    <n v="70450"/>
    <x v="0"/>
    <x v="0"/>
    <s v="First"/>
    <n v="1970"/>
    <s v="63.2"/>
    <s v="8.31"/>
    <n v="5"/>
    <s v="7424.96"/>
    <s v="2012"/>
    <s v="50k-100k"/>
    <x v="0"/>
    <s v="Manual"/>
    <s v=""/>
    <s v="Honda"/>
    <n v="7424.96"/>
  </r>
  <r>
    <n v="102"/>
    <x v="8"/>
    <x v="1"/>
    <n v="15382"/>
    <x v="0"/>
    <x v="0"/>
    <s v="Third"/>
    <n v="1289"/>
    <s v="220.4"/>
    <s v="18.67"/>
    <n v="2"/>
    <s v="17397.1"/>
    <s v="2019"/>
    <s v="&lt;50k"/>
    <x v="0"/>
    <s v="Manual"/>
    <s v=""/>
    <s v="Toyota"/>
    <n v="17397.099999999999"/>
  </r>
  <r>
    <n v="103"/>
    <x v="0"/>
    <x v="7"/>
    <n v="140509"/>
    <x v="2"/>
    <x v="1"/>
    <s v="First"/>
    <n v="3325"/>
    <s v="353.5"/>
    <s v="18.66"/>
    <n v="7"/>
    <s v="118402.94"/>
    <s v="2009"/>
    <s v="100k-150k"/>
    <x v="0"/>
    <s v="Auto"/>
    <s v=""/>
    <s v="Audi"/>
    <n v="118402.94"/>
  </r>
  <r>
    <n v="104"/>
    <x v="0"/>
    <x v="14"/>
    <n v="66929"/>
    <x v="2"/>
    <x v="1"/>
    <s v="First"/>
    <n v="1982"/>
    <s v="520.4"/>
    <s v="7.24"/>
    <n v="5"/>
    <s v="39880.36"/>
    <s v="2007"/>
    <s v="50k-100k"/>
    <x v="0"/>
    <s v="Auto"/>
    <s v=""/>
    <s v="Audi"/>
    <n v="39880.36"/>
  </r>
  <r>
    <n v="105"/>
    <x v="2"/>
    <x v="11"/>
    <n v="103864"/>
    <x v="1"/>
    <x v="1"/>
    <s v="Second"/>
    <n v="3288"/>
    <s v="413.5"/>
    <s v="15.45"/>
    <n v="2"/>
    <s v="16490.23"/>
    <s v="2023"/>
    <s v="100k-150k"/>
    <x v="0"/>
    <s v="Auto"/>
    <s v=""/>
    <s v="Kia"/>
    <n v="16490.23"/>
  </r>
  <r>
    <n v="106"/>
    <x v="3"/>
    <x v="0"/>
    <n v="148401"/>
    <x v="2"/>
    <x v="0"/>
    <s v="Second"/>
    <n v="2676"/>
    <s v="283.8"/>
    <s v="26.33"/>
    <n v="7"/>
    <s v="15517.98"/>
    <s v="2005"/>
    <s v="100k-150k"/>
    <x v="0"/>
    <s v="Manual"/>
    <s v=""/>
    <s v="Mercedes"/>
    <n v="15517.98"/>
  </r>
  <r>
    <n v="107"/>
    <x v="5"/>
    <x v="1"/>
    <n v="30169"/>
    <x v="2"/>
    <x v="1"/>
    <s v="First"/>
    <n v="3262"/>
    <s v="573.7"/>
    <s v="26.4"/>
    <n v="5"/>
    <s v="87176.82"/>
    <s v="2019"/>
    <s v="&lt;50k"/>
    <x v="0"/>
    <s v="Auto"/>
    <s v=""/>
    <s v="Ford"/>
    <n v="87176.82"/>
  </r>
  <r>
    <n v="108"/>
    <x v="2"/>
    <x v="2"/>
    <n v="92468"/>
    <x v="2"/>
    <x v="0"/>
    <s v="First"/>
    <n v="2430"/>
    <s v="442.8"/>
    <s v="7.48"/>
    <n v="7"/>
    <s v="102984.53"/>
    <s v="2012"/>
    <s v="50k-100k"/>
    <x v="0"/>
    <s v="Manual"/>
    <s v=""/>
    <s v="Kia"/>
    <n v="102984.53"/>
  </r>
  <r>
    <n v="109"/>
    <x v="6"/>
    <x v="16"/>
    <n v="39594"/>
    <x v="2"/>
    <x v="1"/>
    <s v="Second"/>
    <n v="1087"/>
    <s v="560.9"/>
    <s v="7.27"/>
    <n v="6"/>
    <s v="33063.42"/>
    <s v="2006"/>
    <s v="&lt;50k"/>
    <x v="0"/>
    <s v="Auto"/>
    <s v=""/>
    <s v="Hyundai"/>
    <n v="33063.42"/>
  </r>
  <r>
    <n v="110"/>
    <x v="5"/>
    <x v="14"/>
    <n v="196703"/>
    <x v="1"/>
    <x v="1"/>
    <s v="Third"/>
    <n v="2707"/>
    <s v="335.4"/>
    <s v="11.57"/>
    <n v="6"/>
    <s v="5446.41"/>
    <s v="2007"/>
    <s v="150k+"/>
    <x v="0"/>
    <s v="Auto"/>
    <s v=""/>
    <s v="Ford"/>
    <n v="5446.41"/>
  </r>
  <r>
    <n v="111"/>
    <x v="8"/>
    <x v="12"/>
    <n v="50033"/>
    <x v="2"/>
    <x v="1"/>
    <s v="Second"/>
    <n v="1961"/>
    <s v="185.0"/>
    <s v="26.87"/>
    <n v="7"/>
    <s v="29101.53"/>
    <s v="2018"/>
    <s v="50k-100k"/>
    <x v="0"/>
    <s v="Auto"/>
    <s v=""/>
    <s v="Toyota"/>
    <n v="29101.53"/>
  </r>
  <r>
    <n v="112"/>
    <x v="5"/>
    <x v="12"/>
    <n v="68133"/>
    <x v="3"/>
    <x v="1"/>
    <s v="First"/>
    <n v="929"/>
    <s v="69.6"/>
    <s v="8.22"/>
    <n v="5"/>
    <s v="9612.34"/>
    <s v="2018"/>
    <s v="50k-100k"/>
    <x v="0"/>
    <s v="Auto"/>
    <s v=""/>
    <s v="Ford"/>
    <n v="9612.34"/>
  </r>
  <r>
    <n v="113"/>
    <x v="3"/>
    <x v="3"/>
    <n v="78861"/>
    <x v="3"/>
    <x v="1"/>
    <s v="Third"/>
    <n v="3163"/>
    <s v="446.6"/>
    <s v="23.0"/>
    <n v="2"/>
    <s v="15097.21"/>
    <s v="2015"/>
    <s v="50k-100k"/>
    <x v="0"/>
    <s v="Auto"/>
    <s v=""/>
    <s v="Mercedes"/>
    <n v="15097.21"/>
  </r>
  <r>
    <n v="114"/>
    <x v="5"/>
    <x v="6"/>
    <n v="188362"/>
    <x v="3"/>
    <x v="0"/>
    <s v="First"/>
    <n v="943"/>
    <s v="107.9"/>
    <s v="7.53"/>
    <n v="4"/>
    <s v="53486.45"/>
    <s v="2020"/>
    <s v="150k+"/>
    <x v="0"/>
    <s v="Manual"/>
    <s v=""/>
    <s v="Ford"/>
    <n v="53486.45"/>
  </r>
  <r>
    <n v="115"/>
    <x v="8"/>
    <x v="5"/>
    <n v="36750"/>
    <x v="3"/>
    <x v="1"/>
    <s v="Third"/>
    <n v="815"/>
    <s v="209.6"/>
    <s v="20.58"/>
    <n v="2"/>
    <s v="29900.45"/>
    <s v="2008"/>
    <s v="&lt;50k"/>
    <x v="0"/>
    <s v="Auto"/>
    <s v=""/>
    <s v="Toyota"/>
    <n v="29900.45"/>
  </r>
  <r>
    <n v="116"/>
    <x v="3"/>
    <x v="13"/>
    <n v="45461"/>
    <x v="2"/>
    <x v="0"/>
    <s v="First"/>
    <n v="1044"/>
    <s v="338.2"/>
    <s v="13.9"/>
    <n v="4"/>
    <s v="63365.67"/>
    <s v="2024"/>
    <s v="&lt;50k"/>
    <x v="0"/>
    <s v="Manual"/>
    <s v=""/>
    <s v="Mercedes"/>
    <n v="63365.67"/>
  </r>
  <r>
    <n v="117"/>
    <x v="4"/>
    <x v="7"/>
    <n v="83222"/>
    <x v="3"/>
    <x v="0"/>
    <s v="Third"/>
    <n v="1726"/>
    <s v="356.1"/>
    <s v="24.72"/>
    <n v="4"/>
    <s v="32658.77"/>
    <s v="2009"/>
    <s v="50k-100k"/>
    <x v="0"/>
    <s v="Manual"/>
    <s v=""/>
    <s v="Volkswagen"/>
    <n v="32658.77"/>
  </r>
  <r>
    <n v="118"/>
    <x v="0"/>
    <x v="12"/>
    <n v="117020"/>
    <x v="2"/>
    <x v="0"/>
    <s v="Third"/>
    <n v="3978"/>
    <s v="376.3"/>
    <s v="10.84"/>
    <n v="5"/>
    <s v="113042.86"/>
    <s v="2018"/>
    <s v="100k-150k"/>
    <x v="0"/>
    <s v="Manual"/>
    <s v=""/>
    <s v="Audi"/>
    <n v="113042.86"/>
  </r>
  <r>
    <n v="119"/>
    <x v="0"/>
    <x v="6"/>
    <n v="29226"/>
    <x v="1"/>
    <x v="0"/>
    <s v="First"/>
    <n v="2976"/>
    <s v="133.1"/>
    <s v="20.98"/>
    <n v="7"/>
    <s v="108995.44"/>
    <s v="2020"/>
    <s v="&lt;50k"/>
    <x v="0"/>
    <s v="Manual"/>
    <s v=""/>
    <s v="Audi"/>
    <n v="108995.44"/>
  </r>
  <r>
    <n v="120"/>
    <x v="9"/>
    <x v="18"/>
    <n v="11721"/>
    <x v="3"/>
    <x v="0"/>
    <s v="Third"/>
    <n v="1686"/>
    <s v="252.7"/>
    <s v="10.89"/>
    <n v="2"/>
    <s v="69316.31"/>
    <s v="2022"/>
    <s v="&lt;50k"/>
    <x v="0"/>
    <s v="Manual"/>
    <s v=""/>
    <s v="Nissan"/>
    <n v="69316.31"/>
  </r>
  <r>
    <n v="121"/>
    <x v="4"/>
    <x v="17"/>
    <n v="192226"/>
    <x v="0"/>
    <x v="1"/>
    <s v="Second"/>
    <n v="1140"/>
    <s v="385.6"/>
    <s v="22.84"/>
    <n v="7"/>
    <s v="44467.61"/>
    <s v="2011"/>
    <s v="150k+"/>
    <x v="0"/>
    <s v="Auto"/>
    <s v=""/>
    <s v="Volkswagen"/>
    <n v="44467.61"/>
  </r>
  <r>
    <n v="122"/>
    <x v="4"/>
    <x v="8"/>
    <n v="25609"/>
    <x v="3"/>
    <x v="1"/>
    <s v="First"/>
    <n v="2851"/>
    <s v="583.1"/>
    <s v="26.84"/>
    <n v="6"/>
    <s v="47594.19"/>
    <s v="2014"/>
    <s v="&lt;50k"/>
    <x v="0"/>
    <s v="Auto"/>
    <s v=""/>
    <s v="Volkswagen"/>
    <n v="47594.19"/>
  </r>
  <r>
    <n v="123"/>
    <x v="5"/>
    <x v="17"/>
    <n v="188202"/>
    <x v="3"/>
    <x v="1"/>
    <s v="Second"/>
    <n v="4198"/>
    <s v="447.5"/>
    <s v="8.17"/>
    <n v="5"/>
    <s v="51186.72"/>
    <s v="2011"/>
    <s v="150k+"/>
    <x v="0"/>
    <s v="Auto"/>
    <s v=""/>
    <s v="Ford"/>
    <n v="51186.720000000001"/>
  </r>
  <r>
    <n v="124"/>
    <x v="0"/>
    <x v="0"/>
    <n v="135513"/>
    <x v="2"/>
    <x v="1"/>
    <s v="First"/>
    <n v="4750"/>
    <s v="556.7"/>
    <s v="26.66"/>
    <n v="5"/>
    <s v="88126.78"/>
    <s v="2005"/>
    <s v="100k-150k"/>
    <x v="0"/>
    <s v="Auto"/>
    <s v=""/>
    <s v="Audi"/>
    <n v="88126.78"/>
  </r>
  <r>
    <n v="125"/>
    <x v="8"/>
    <x v="11"/>
    <n v="109211"/>
    <x v="3"/>
    <x v="0"/>
    <s v="Third"/>
    <n v="1105"/>
    <s v="466.8"/>
    <s v="19.84"/>
    <n v="6"/>
    <s v="55841.76"/>
    <s v="2023"/>
    <s v="100k-150k"/>
    <x v="0"/>
    <s v="Manual"/>
    <s v=""/>
    <s v="Toyota"/>
    <n v="55841.760000000002"/>
  </r>
  <r>
    <n v="126"/>
    <x v="1"/>
    <x v="6"/>
    <n v="191321"/>
    <x v="0"/>
    <x v="1"/>
    <s v="Third"/>
    <n v="1707"/>
    <s v="371.4"/>
    <s v="8.18"/>
    <n v="2"/>
    <s v="103237.4"/>
    <s v="2020"/>
    <s v="150k+"/>
    <x v="0"/>
    <s v="Auto"/>
    <s v=""/>
    <s v="BMW"/>
    <n v="103237.4"/>
  </r>
  <r>
    <n v="127"/>
    <x v="1"/>
    <x v="11"/>
    <n v="184967"/>
    <x v="2"/>
    <x v="1"/>
    <s v="Third"/>
    <n v="3454"/>
    <s v="147.5"/>
    <s v="15.69"/>
    <n v="6"/>
    <s v="113459.09"/>
    <s v="2023"/>
    <s v="150k+"/>
    <x v="0"/>
    <s v="Auto"/>
    <s v=""/>
    <s v="BMW"/>
    <n v="113459.09"/>
  </r>
  <r>
    <n v="128"/>
    <x v="3"/>
    <x v="5"/>
    <n v="141728"/>
    <x v="2"/>
    <x v="0"/>
    <s v="First"/>
    <n v="4592"/>
    <s v="413.3"/>
    <s v="9.02"/>
    <n v="2"/>
    <s v="42305.7"/>
    <s v="2008"/>
    <s v="100k-150k"/>
    <x v="0"/>
    <s v="Manual"/>
    <s v=""/>
    <s v="Mercedes"/>
    <n v="42305.7"/>
  </r>
  <r>
    <n v="129"/>
    <x v="0"/>
    <x v="18"/>
    <n v="129865"/>
    <x v="1"/>
    <x v="0"/>
    <s v="Second"/>
    <n v="4842"/>
    <s v="389.1"/>
    <s v="22.51"/>
    <n v="4"/>
    <s v="68601.25"/>
    <s v="2022"/>
    <s v="100k-150k"/>
    <x v="0"/>
    <s v="Manual"/>
    <s v=""/>
    <s v="Audi"/>
    <n v="68601.25"/>
  </r>
  <r>
    <n v="130"/>
    <x v="0"/>
    <x v="16"/>
    <n v="79520"/>
    <x v="1"/>
    <x v="1"/>
    <s v="Second"/>
    <n v="2171"/>
    <s v="377.4"/>
    <s v="23.97"/>
    <n v="5"/>
    <s v="14121.61"/>
    <s v="2006"/>
    <s v="50k-100k"/>
    <x v="0"/>
    <s v="Auto"/>
    <s v=""/>
    <s v="Audi"/>
    <n v="14121.61"/>
  </r>
  <r>
    <n v="131"/>
    <x v="1"/>
    <x v="0"/>
    <n v="199812"/>
    <x v="3"/>
    <x v="1"/>
    <s v="First"/>
    <n v="1120"/>
    <s v="314.3"/>
    <s v="7.64"/>
    <n v="2"/>
    <s v="26454.88"/>
    <s v="2005"/>
    <s v="150k+"/>
    <x v="0"/>
    <s v="Auto"/>
    <s v=""/>
    <s v="BMW"/>
    <n v="26454.880000000001"/>
  </r>
  <r>
    <n v="132"/>
    <x v="0"/>
    <x v="1"/>
    <n v="69309"/>
    <x v="1"/>
    <x v="0"/>
    <s v="First"/>
    <n v="4859"/>
    <s v="336.0"/>
    <s v="17.65"/>
    <n v="7"/>
    <s v="51375.49"/>
    <s v="2019"/>
    <s v="50k-100k"/>
    <x v="0"/>
    <s v="Manual"/>
    <s v=""/>
    <s v="Audi"/>
    <n v="51375.49"/>
  </r>
  <r>
    <n v="133"/>
    <x v="5"/>
    <x v="7"/>
    <n v="34984"/>
    <x v="1"/>
    <x v="1"/>
    <s v="Second"/>
    <n v="1931"/>
    <s v="227.3"/>
    <s v="25.37"/>
    <n v="7"/>
    <s v="27125.72"/>
    <s v="2009"/>
    <s v="&lt;50k"/>
    <x v="0"/>
    <s v="Auto"/>
    <s v=""/>
    <s v="Ford"/>
    <n v="27125.72"/>
  </r>
  <r>
    <n v="134"/>
    <x v="6"/>
    <x v="13"/>
    <n v="123947"/>
    <x v="1"/>
    <x v="1"/>
    <s v="Second"/>
    <n v="3378"/>
    <s v="330.8"/>
    <s v="28.4"/>
    <n v="5"/>
    <s v="105557.58"/>
    <s v="2024"/>
    <s v="100k-150k"/>
    <x v="0"/>
    <s v="Auto"/>
    <s v=""/>
    <s v="Hyundai"/>
    <n v="105557.58"/>
  </r>
  <r>
    <n v="135"/>
    <x v="7"/>
    <x v="3"/>
    <n v="10901"/>
    <x v="2"/>
    <x v="1"/>
    <s v="Second"/>
    <n v="4842"/>
    <s v="150.6"/>
    <s v="17.84"/>
    <n v="6"/>
    <s v="21519.49"/>
    <s v="2015"/>
    <s v="&lt;50k"/>
    <x v="0"/>
    <s v="Auto"/>
    <s v=""/>
    <s v="Honda"/>
    <n v="21519.49"/>
  </r>
  <r>
    <n v="136"/>
    <x v="4"/>
    <x v="8"/>
    <n v="167624"/>
    <x v="2"/>
    <x v="1"/>
    <s v="Second"/>
    <n v="4167"/>
    <s v="490.9"/>
    <s v="28.76"/>
    <n v="6"/>
    <s v="56312.32"/>
    <s v="2014"/>
    <s v="150k+"/>
    <x v="0"/>
    <s v="Auto"/>
    <s v=""/>
    <s v="Volkswagen"/>
    <n v="56312.32"/>
  </r>
  <r>
    <n v="137"/>
    <x v="9"/>
    <x v="16"/>
    <n v="36055"/>
    <x v="2"/>
    <x v="0"/>
    <s v="First"/>
    <n v="1617"/>
    <s v="144.0"/>
    <s v="18.39"/>
    <n v="2"/>
    <s v="73866.81"/>
    <s v="2006"/>
    <s v="&lt;50k"/>
    <x v="0"/>
    <s v="Manual"/>
    <s v=""/>
    <s v="Nissan"/>
    <n v="73866.81"/>
  </r>
  <r>
    <n v="138"/>
    <x v="3"/>
    <x v="14"/>
    <n v="173757"/>
    <x v="1"/>
    <x v="0"/>
    <s v="First"/>
    <n v="811"/>
    <s v="87.6"/>
    <s v="14.85"/>
    <n v="6"/>
    <s v="83948.08"/>
    <s v="2007"/>
    <s v="150k+"/>
    <x v="0"/>
    <s v="Manual"/>
    <s v=""/>
    <s v="Mercedes"/>
    <n v="83948.08"/>
  </r>
  <r>
    <n v="139"/>
    <x v="6"/>
    <x v="4"/>
    <n v="150788"/>
    <x v="2"/>
    <x v="0"/>
    <s v="Third"/>
    <n v="994"/>
    <s v="284.3"/>
    <s v="26.21"/>
    <n v="5"/>
    <s v="47819.12"/>
    <s v="2016"/>
    <s v="150k+"/>
    <x v="0"/>
    <s v="Manual"/>
    <s v=""/>
    <s v="Hyundai"/>
    <n v="47819.12"/>
  </r>
  <r>
    <n v="140"/>
    <x v="1"/>
    <x v="13"/>
    <n v="119099"/>
    <x v="1"/>
    <x v="1"/>
    <s v="Second"/>
    <n v="3337"/>
    <s v="408.7"/>
    <s v="17.32"/>
    <n v="2"/>
    <s v="104684.59"/>
    <s v="2024"/>
    <s v="100k-150k"/>
    <x v="0"/>
    <s v="Auto"/>
    <s v=""/>
    <s v="BMW"/>
    <n v="104684.59"/>
  </r>
  <r>
    <n v="141"/>
    <x v="4"/>
    <x v="7"/>
    <n v="16138"/>
    <x v="2"/>
    <x v="1"/>
    <s v="Third"/>
    <n v="3642"/>
    <s v="285.1"/>
    <s v="16.8"/>
    <n v="4"/>
    <s v="69493.34"/>
    <s v="2009"/>
    <s v="&lt;50k"/>
    <x v="0"/>
    <s v="Auto"/>
    <s v=""/>
    <s v="Volkswagen"/>
    <n v="69493.34"/>
  </r>
  <r>
    <n v="142"/>
    <x v="0"/>
    <x v="7"/>
    <n v="171370"/>
    <x v="2"/>
    <x v="1"/>
    <s v="First"/>
    <n v="3029"/>
    <s v="195.0"/>
    <s v="17.26"/>
    <n v="6"/>
    <s v="54422.41"/>
    <s v="2009"/>
    <s v="150k+"/>
    <x v="0"/>
    <s v="Auto"/>
    <s v=""/>
    <s v="Audi"/>
    <n v="54422.41"/>
  </r>
  <r>
    <n v="143"/>
    <x v="9"/>
    <x v="15"/>
    <n v="187184"/>
    <x v="0"/>
    <x v="1"/>
    <s v="First"/>
    <n v="3809"/>
    <s v="352.6"/>
    <s v="26.17"/>
    <n v="6"/>
    <s v="10867.15"/>
    <s v="2010"/>
    <s v="150k+"/>
    <x v="0"/>
    <s v="Auto"/>
    <s v=""/>
    <s v="Nissan"/>
    <n v="10867.15"/>
  </r>
  <r>
    <n v="144"/>
    <x v="0"/>
    <x v="10"/>
    <n v="28429"/>
    <x v="3"/>
    <x v="1"/>
    <s v="Third"/>
    <n v="2877"/>
    <s v="234.3"/>
    <s v="25.8"/>
    <n v="2"/>
    <s v="57368.67"/>
    <s v="2013"/>
    <s v="&lt;50k"/>
    <x v="0"/>
    <s v="Auto"/>
    <s v=""/>
    <s v="Audi"/>
    <n v="57368.67"/>
  </r>
  <r>
    <n v="145"/>
    <x v="8"/>
    <x v="16"/>
    <n v="55200"/>
    <x v="1"/>
    <x v="0"/>
    <s v="Second"/>
    <n v="4667"/>
    <s v="562.4"/>
    <s v="15.09"/>
    <n v="7"/>
    <s v="99026.09"/>
    <s v="2006"/>
    <s v="50k-100k"/>
    <x v="0"/>
    <s v="Manual"/>
    <s v=""/>
    <s v="Toyota"/>
    <n v="99026.09"/>
  </r>
  <r>
    <n v="146"/>
    <x v="8"/>
    <x v="4"/>
    <n v="184316"/>
    <x v="0"/>
    <x v="1"/>
    <s v="Second"/>
    <n v="1243"/>
    <s v="556.7"/>
    <s v="13.33"/>
    <n v="6"/>
    <s v="74901.3"/>
    <s v="2016"/>
    <s v="150k+"/>
    <x v="0"/>
    <s v="Auto"/>
    <s v=""/>
    <s v="Toyota"/>
    <n v="74901.3"/>
  </r>
  <r>
    <n v="147"/>
    <x v="9"/>
    <x v="14"/>
    <n v="106268"/>
    <x v="2"/>
    <x v="1"/>
    <s v="Second"/>
    <n v="1097"/>
    <s v="321.3"/>
    <s v="17.3"/>
    <n v="5"/>
    <s v="100363.01"/>
    <s v="2007"/>
    <s v="100k-150k"/>
    <x v="0"/>
    <s v="Auto"/>
    <s v=""/>
    <s v="Nissan"/>
    <n v="100363.01"/>
  </r>
  <r>
    <n v="148"/>
    <x v="9"/>
    <x v="13"/>
    <n v="22347"/>
    <x v="1"/>
    <x v="0"/>
    <s v="Second"/>
    <n v="1644"/>
    <s v="223.6"/>
    <s v="19.32"/>
    <n v="6"/>
    <s v="60799.37"/>
    <s v="2024"/>
    <s v="&lt;50k"/>
    <x v="0"/>
    <s v="Manual"/>
    <s v=""/>
    <s v="Nissan"/>
    <n v="60799.37"/>
  </r>
  <r>
    <n v="149"/>
    <x v="1"/>
    <x v="4"/>
    <n v="152992"/>
    <x v="2"/>
    <x v="1"/>
    <s v="Third"/>
    <n v="1815"/>
    <s v="452.8"/>
    <s v="10.96"/>
    <n v="4"/>
    <s v="16860.02"/>
    <s v="2016"/>
    <s v="150k+"/>
    <x v="0"/>
    <s v="Auto"/>
    <s v=""/>
    <s v="BMW"/>
    <n v="16860.02"/>
  </r>
  <r>
    <n v="150"/>
    <x v="9"/>
    <x v="9"/>
    <n v="36822"/>
    <x v="3"/>
    <x v="0"/>
    <s v="Third"/>
    <n v="2184"/>
    <s v="60.6"/>
    <s v="24.85"/>
    <n v="6"/>
    <s v="4595.86"/>
    <s v="2021"/>
    <s v="&lt;50k"/>
    <x v="0"/>
    <s v="Manual"/>
    <s v=""/>
    <s v="Nissan"/>
    <n v="4595.8599999999997"/>
  </r>
  <r>
    <n v="151"/>
    <x v="5"/>
    <x v="8"/>
    <n v="182731"/>
    <x v="0"/>
    <x v="0"/>
    <s v="First"/>
    <n v="2197"/>
    <s v="305.9"/>
    <s v="17.16"/>
    <n v="7"/>
    <s v="38476.69"/>
    <s v="2014"/>
    <s v="150k+"/>
    <x v="0"/>
    <s v="Manual"/>
    <s v=""/>
    <s v="Ford"/>
    <n v="38476.69"/>
  </r>
  <r>
    <n v="152"/>
    <x v="0"/>
    <x v="12"/>
    <n v="45108"/>
    <x v="3"/>
    <x v="0"/>
    <s v="Second"/>
    <n v="1353"/>
    <s v="228.3"/>
    <s v="13.35"/>
    <n v="6"/>
    <s v="84664.89"/>
    <s v="2018"/>
    <s v="&lt;50k"/>
    <x v="0"/>
    <s v="Manual"/>
    <s v=""/>
    <s v="Audi"/>
    <n v="84664.89"/>
  </r>
  <r>
    <n v="153"/>
    <x v="6"/>
    <x v="9"/>
    <n v="133955"/>
    <x v="0"/>
    <x v="0"/>
    <s v="Second"/>
    <n v="3150"/>
    <s v="555.5"/>
    <s v="7.67"/>
    <n v="2"/>
    <s v="95460.41"/>
    <s v="2021"/>
    <s v="100k-150k"/>
    <x v="0"/>
    <s v="Manual"/>
    <s v=""/>
    <s v="Hyundai"/>
    <n v="95460.41"/>
  </r>
  <r>
    <n v="154"/>
    <x v="2"/>
    <x v="18"/>
    <n v="12967"/>
    <x v="2"/>
    <x v="0"/>
    <s v="Second"/>
    <n v="2069"/>
    <s v="46.7"/>
    <s v="10.97"/>
    <n v="6"/>
    <s v="37603.08"/>
    <s v="2022"/>
    <s v="&lt;50k"/>
    <x v="0"/>
    <s v="Manual"/>
    <s v=""/>
    <s v="Kia"/>
    <n v="37603.08"/>
  </r>
  <r>
    <n v="155"/>
    <x v="9"/>
    <x v="11"/>
    <n v="115719"/>
    <x v="3"/>
    <x v="1"/>
    <s v="Third"/>
    <n v="2060"/>
    <s v="349.6"/>
    <s v="28.73"/>
    <n v="7"/>
    <s v="60991.51"/>
    <s v="2023"/>
    <s v="100k-150k"/>
    <x v="0"/>
    <s v="Auto"/>
    <s v=""/>
    <s v="Nissan"/>
    <n v="60991.51"/>
  </r>
  <r>
    <n v="156"/>
    <x v="3"/>
    <x v="9"/>
    <n v="16871"/>
    <x v="3"/>
    <x v="0"/>
    <s v="Second"/>
    <n v="984"/>
    <s v="454.8"/>
    <s v="12.63"/>
    <n v="2"/>
    <s v="52270.91"/>
    <s v="2021"/>
    <s v="&lt;50k"/>
    <x v="0"/>
    <s v="Manual"/>
    <s v=""/>
    <s v="Mercedes"/>
    <n v="52270.91"/>
  </r>
  <r>
    <n v="157"/>
    <x v="8"/>
    <x v="12"/>
    <n v="169685"/>
    <x v="2"/>
    <x v="0"/>
    <s v="Third"/>
    <n v="3210"/>
    <s v="311.6"/>
    <s v="9.22"/>
    <n v="5"/>
    <s v="51031.17"/>
    <s v="2018"/>
    <s v="150k+"/>
    <x v="0"/>
    <s v="Manual"/>
    <s v=""/>
    <s v="Toyota"/>
    <n v="51031.17"/>
  </r>
  <r>
    <n v="158"/>
    <x v="5"/>
    <x v="10"/>
    <n v="33179"/>
    <x v="3"/>
    <x v="1"/>
    <s v="Second"/>
    <n v="3009"/>
    <s v="87.8"/>
    <s v="16.52"/>
    <n v="2"/>
    <s v="30067.8"/>
    <s v="2013"/>
    <s v="&lt;50k"/>
    <x v="0"/>
    <s v="Auto"/>
    <s v=""/>
    <s v="Ford"/>
    <n v="30067.8"/>
  </r>
  <r>
    <n v="159"/>
    <x v="4"/>
    <x v="2"/>
    <n v="188260"/>
    <x v="1"/>
    <x v="1"/>
    <s v="Second"/>
    <n v="4472"/>
    <s v="584.6"/>
    <s v="12.68"/>
    <n v="4"/>
    <s v="18955.42"/>
    <s v="2012"/>
    <s v="150k+"/>
    <x v="0"/>
    <s v="Auto"/>
    <s v=""/>
    <s v="Volkswagen"/>
    <n v="18955.419999999998"/>
  </r>
  <r>
    <n v="160"/>
    <x v="2"/>
    <x v="16"/>
    <n v="60099"/>
    <x v="0"/>
    <x v="0"/>
    <s v="First"/>
    <n v="2681"/>
    <s v="330.1"/>
    <s v="5.88"/>
    <n v="2"/>
    <s v="26012.56"/>
    <s v="2006"/>
    <s v="50k-100k"/>
    <x v="0"/>
    <s v="Manual"/>
    <s v=""/>
    <s v="Kia"/>
    <n v="26012.560000000001"/>
  </r>
  <r>
    <n v="161"/>
    <x v="6"/>
    <x v="19"/>
    <n v="40262"/>
    <x v="0"/>
    <x v="1"/>
    <s v="Second"/>
    <n v="1321"/>
    <s v="383.9"/>
    <s v="13.08"/>
    <n v="5"/>
    <s v="9473.89"/>
    <s v="2017"/>
    <s v="&lt;50k"/>
    <x v="0"/>
    <s v="Auto"/>
    <s v=""/>
    <s v="Hyundai"/>
    <n v="9473.89"/>
  </r>
  <r>
    <n v="162"/>
    <x v="2"/>
    <x v="17"/>
    <n v="83213"/>
    <x v="0"/>
    <x v="1"/>
    <s v="Second"/>
    <n v="2687"/>
    <s v="172.5"/>
    <s v="18.6"/>
    <n v="6"/>
    <s v="26181.3"/>
    <s v="2011"/>
    <s v="50k-100k"/>
    <x v="0"/>
    <s v="Auto"/>
    <s v=""/>
    <s v="Kia"/>
    <n v="26181.3"/>
  </r>
  <r>
    <n v="163"/>
    <x v="9"/>
    <x v="10"/>
    <n v="122407"/>
    <x v="1"/>
    <x v="0"/>
    <s v="First"/>
    <n v="3352"/>
    <s v="310.8"/>
    <s v="18.79"/>
    <n v="2"/>
    <s v="4076.51"/>
    <s v="2013"/>
    <s v="100k-150k"/>
    <x v="0"/>
    <s v="Manual"/>
    <s v=""/>
    <s v="Nissan"/>
    <n v="4076.51"/>
  </r>
  <r>
    <n v="164"/>
    <x v="1"/>
    <x v="3"/>
    <n v="154340"/>
    <x v="0"/>
    <x v="0"/>
    <s v="Third"/>
    <n v="4609"/>
    <s v="280.3"/>
    <s v="13.91"/>
    <n v="2"/>
    <s v="76389.23"/>
    <s v="2015"/>
    <s v="150k+"/>
    <x v="0"/>
    <s v="Manual"/>
    <s v=""/>
    <s v="BMW"/>
    <n v="76389.23"/>
  </r>
  <r>
    <n v="165"/>
    <x v="8"/>
    <x v="12"/>
    <n v="91269"/>
    <x v="2"/>
    <x v="1"/>
    <s v="Third"/>
    <n v="4955"/>
    <s v="81.9"/>
    <s v="16.18"/>
    <n v="2"/>
    <s v="40015.92"/>
    <s v="2018"/>
    <s v="50k-100k"/>
    <x v="0"/>
    <s v="Auto"/>
    <s v=""/>
    <s v="Toyota"/>
    <n v="40015.919999999998"/>
  </r>
  <r>
    <n v="166"/>
    <x v="8"/>
    <x v="5"/>
    <n v="65545"/>
    <x v="3"/>
    <x v="0"/>
    <s v="Second"/>
    <n v="4279"/>
    <s v="99.4"/>
    <s v="29.14"/>
    <n v="2"/>
    <s v="116857.93"/>
    <s v="2008"/>
    <s v="50k-100k"/>
    <x v="0"/>
    <s v="Manual"/>
    <s v=""/>
    <s v="Toyota"/>
    <n v="116857.93"/>
  </r>
  <r>
    <n v="167"/>
    <x v="4"/>
    <x v="19"/>
    <n v="44922"/>
    <x v="1"/>
    <x v="0"/>
    <s v="Third"/>
    <n v="2209"/>
    <s v="509.0"/>
    <s v="14.43"/>
    <n v="5"/>
    <s v="25664.89"/>
    <s v="2017"/>
    <s v="&lt;50k"/>
    <x v="0"/>
    <s v="Manual"/>
    <s v=""/>
    <s v="Volkswagen"/>
    <n v="25664.89"/>
  </r>
  <r>
    <n v="168"/>
    <x v="1"/>
    <x v="16"/>
    <n v="47913"/>
    <x v="0"/>
    <x v="1"/>
    <s v="Second"/>
    <n v="2494"/>
    <s v="174.3"/>
    <s v="11.46"/>
    <n v="7"/>
    <s v="43461.94"/>
    <s v="2006"/>
    <s v="&lt;50k"/>
    <x v="0"/>
    <s v="Auto"/>
    <s v=""/>
    <s v="BMW"/>
    <n v="43461.94"/>
  </r>
  <r>
    <n v="169"/>
    <x v="0"/>
    <x v="7"/>
    <n v="102033"/>
    <x v="2"/>
    <x v="0"/>
    <s v="First"/>
    <n v="1326"/>
    <s v="149.2"/>
    <s v="11.09"/>
    <n v="7"/>
    <s v="44867.42"/>
    <s v="2009"/>
    <s v="100k-150k"/>
    <x v="0"/>
    <s v="Manual"/>
    <s v=""/>
    <s v="Audi"/>
    <n v="44867.42"/>
  </r>
  <r>
    <n v="170"/>
    <x v="7"/>
    <x v="3"/>
    <n v="109792"/>
    <x v="3"/>
    <x v="0"/>
    <s v="First"/>
    <n v="3460"/>
    <s v="322.8"/>
    <s v="16.44"/>
    <n v="2"/>
    <s v="3988.83"/>
    <s v="2015"/>
    <s v="100k-150k"/>
    <x v="0"/>
    <s v="Manual"/>
    <s v=""/>
    <s v="Honda"/>
    <n v="3988.83"/>
  </r>
  <r>
    <n v="171"/>
    <x v="5"/>
    <x v="15"/>
    <n v="191749"/>
    <x v="3"/>
    <x v="0"/>
    <s v="Second"/>
    <n v="2972"/>
    <s v="470.5"/>
    <s v="23.99"/>
    <n v="5"/>
    <s v="101187.33"/>
    <s v="2010"/>
    <s v="150k+"/>
    <x v="0"/>
    <s v="Manual"/>
    <s v=""/>
    <s v="Ford"/>
    <n v="101187.33"/>
  </r>
  <r>
    <n v="172"/>
    <x v="8"/>
    <x v="18"/>
    <n v="185913"/>
    <x v="1"/>
    <x v="0"/>
    <s v="First"/>
    <n v="1079"/>
    <s v="74.7"/>
    <s v="10.15"/>
    <n v="5"/>
    <s v="6743.35"/>
    <s v="2022"/>
    <s v="150k+"/>
    <x v="0"/>
    <s v="Manual"/>
    <s v=""/>
    <s v="Toyota"/>
    <n v="6743.35"/>
  </r>
  <r>
    <n v="173"/>
    <x v="3"/>
    <x v="8"/>
    <n v="182404"/>
    <x v="1"/>
    <x v="0"/>
    <s v="First"/>
    <n v="3764"/>
    <s v="363.0"/>
    <s v="22.73"/>
    <n v="2"/>
    <s v="113001.04"/>
    <s v="2014"/>
    <s v="150k+"/>
    <x v="0"/>
    <s v="Manual"/>
    <s v=""/>
    <s v="Mercedes"/>
    <n v="113001.04"/>
  </r>
  <r>
    <n v="174"/>
    <x v="8"/>
    <x v="5"/>
    <n v="124863"/>
    <x v="1"/>
    <x v="1"/>
    <s v="Second"/>
    <n v="4777"/>
    <s v="106.8"/>
    <s v="5.53"/>
    <n v="4"/>
    <s v="107372.7"/>
    <s v="2008"/>
    <s v="100k-150k"/>
    <x v="0"/>
    <s v="Auto"/>
    <s v=""/>
    <s v="Toyota"/>
    <n v="107372.7"/>
  </r>
  <r>
    <n v="175"/>
    <x v="2"/>
    <x v="10"/>
    <n v="161104"/>
    <x v="2"/>
    <x v="1"/>
    <s v="Second"/>
    <n v="3469"/>
    <s v="60.4"/>
    <s v="15.47"/>
    <n v="2"/>
    <s v="65656.06"/>
    <s v="2013"/>
    <s v="150k+"/>
    <x v="0"/>
    <s v="Auto"/>
    <s v=""/>
    <s v="Kia"/>
    <n v="65656.06"/>
  </r>
  <r>
    <n v="176"/>
    <x v="8"/>
    <x v="15"/>
    <n v="173918"/>
    <x v="2"/>
    <x v="0"/>
    <s v="First"/>
    <n v="3693"/>
    <s v="69.5"/>
    <s v="24.4"/>
    <n v="4"/>
    <s v="66600.68"/>
    <s v="2010"/>
    <s v="150k+"/>
    <x v="0"/>
    <s v="Manual"/>
    <s v=""/>
    <s v="Toyota"/>
    <n v="66600.679999999993"/>
  </r>
  <r>
    <n v="177"/>
    <x v="8"/>
    <x v="16"/>
    <n v="195546"/>
    <x v="1"/>
    <x v="1"/>
    <s v="Third"/>
    <n v="2551"/>
    <s v="507.1"/>
    <s v="13.47"/>
    <n v="2"/>
    <s v="79492.02"/>
    <s v="2006"/>
    <s v="150k+"/>
    <x v="0"/>
    <s v="Auto"/>
    <s v=""/>
    <s v="Toyota"/>
    <n v="79492.02"/>
  </r>
  <r>
    <n v="178"/>
    <x v="7"/>
    <x v="9"/>
    <n v="49936"/>
    <x v="0"/>
    <x v="0"/>
    <s v="Third"/>
    <n v="4781"/>
    <s v="106.1"/>
    <s v="19.09"/>
    <n v="4"/>
    <s v="48284.85"/>
    <s v="2021"/>
    <s v="&lt;50k"/>
    <x v="0"/>
    <s v="Manual"/>
    <s v=""/>
    <s v="Honda"/>
    <n v="48284.85"/>
  </r>
  <r>
    <n v="179"/>
    <x v="7"/>
    <x v="7"/>
    <n v="165866"/>
    <x v="3"/>
    <x v="0"/>
    <s v="Second"/>
    <n v="3161"/>
    <s v="65.3"/>
    <s v="10.12"/>
    <n v="4"/>
    <s v="78725.01"/>
    <s v="2009"/>
    <s v="150k+"/>
    <x v="0"/>
    <s v="Manual"/>
    <s v=""/>
    <s v="Honda"/>
    <n v="78725.009999999995"/>
  </r>
  <r>
    <n v="180"/>
    <x v="6"/>
    <x v="15"/>
    <n v="197660"/>
    <x v="3"/>
    <x v="0"/>
    <s v="Second"/>
    <n v="4931"/>
    <s v="285.2"/>
    <s v="23.55"/>
    <n v="2"/>
    <s v="8237.9"/>
    <s v="2010"/>
    <s v="150k+"/>
    <x v="0"/>
    <s v="Manual"/>
    <s v=""/>
    <s v="Hyundai"/>
    <n v="8237.9"/>
  </r>
  <r>
    <n v="181"/>
    <x v="0"/>
    <x v="4"/>
    <n v="186403"/>
    <x v="2"/>
    <x v="0"/>
    <s v="Third"/>
    <n v="2508"/>
    <s v="512.6"/>
    <s v="6.31"/>
    <n v="4"/>
    <s v="9323.57"/>
    <s v="2016"/>
    <s v="150k+"/>
    <x v="0"/>
    <s v="Manual"/>
    <s v=""/>
    <s v="Audi"/>
    <n v="9323.57"/>
  </r>
  <r>
    <n v="182"/>
    <x v="3"/>
    <x v="8"/>
    <n v="33141"/>
    <x v="3"/>
    <x v="0"/>
    <s v="First"/>
    <n v="3486"/>
    <s v="186.9"/>
    <s v="26.31"/>
    <n v="6"/>
    <s v="56495.96"/>
    <s v="2014"/>
    <s v="&lt;50k"/>
    <x v="0"/>
    <s v="Manual"/>
    <s v=""/>
    <s v="Mercedes"/>
    <n v="56495.96"/>
  </r>
  <r>
    <n v="183"/>
    <x v="8"/>
    <x v="15"/>
    <n v="145146"/>
    <x v="0"/>
    <x v="1"/>
    <s v="Third"/>
    <n v="3695"/>
    <s v="276.2"/>
    <s v="9.95"/>
    <n v="7"/>
    <s v="67305.81"/>
    <s v="2010"/>
    <s v="100k-150k"/>
    <x v="0"/>
    <s v="Auto"/>
    <s v=""/>
    <s v="Toyota"/>
    <n v="67305.81"/>
  </r>
  <r>
    <n v="184"/>
    <x v="8"/>
    <x v="2"/>
    <n v="142478"/>
    <x v="3"/>
    <x v="1"/>
    <s v="Third"/>
    <n v="3576"/>
    <s v="62.4"/>
    <s v="26.86"/>
    <n v="5"/>
    <s v="106874.66"/>
    <s v="2012"/>
    <s v="100k-150k"/>
    <x v="0"/>
    <s v="Auto"/>
    <s v=""/>
    <s v="Toyota"/>
    <n v="106874.66"/>
  </r>
  <r>
    <n v="185"/>
    <x v="5"/>
    <x v="16"/>
    <n v="102359"/>
    <x v="2"/>
    <x v="0"/>
    <s v="Third"/>
    <n v="1919"/>
    <s v="291.5"/>
    <s v="13.81"/>
    <n v="4"/>
    <s v="15245.29"/>
    <s v="2006"/>
    <s v="100k-150k"/>
    <x v="0"/>
    <s v="Manual"/>
    <s v=""/>
    <s v="Ford"/>
    <n v="15245.29"/>
  </r>
  <r>
    <n v="186"/>
    <x v="7"/>
    <x v="4"/>
    <n v="128279"/>
    <x v="2"/>
    <x v="1"/>
    <s v="Third"/>
    <n v="3788"/>
    <s v="363.5"/>
    <s v="23.07"/>
    <n v="4"/>
    <s v="99249.81"/>
    <s v="2016"/>
    <s v="100k-150k"/>
    <x v="0"/>
    <s v="Auto"/>
    <s v=""/>
    <s v="Honda"/>
    <n v="99249.81"/>
  </r>
  <r>
    <n v="187"/>
    <x v="3"/>
    <x v="19"/>
    <n v="159363"/>
    <x v="0"/>
    <x v="0"/>
    <s v="Second"/>
    <n v="994"/>
    <s v="359.7"/>
    <s v="12.98"/>
    <n v="5"/>
    <s v="27575.54"/>
    <s v="2017"/>
    <s v="150k+"/>
    <x v="0"/>
    <s v="Manual"/>
    <s v=""/>
    <s v="Mercedes"/>
    <n v="27575.54"/>
  </r>
  <r>
    <n v="188"/>
    <x v="4"/>
    <x v="17"/>
    <n v="46568"/>
    <x v="0"/>
    <x v="1"/>
    <s v="Second"/>
    <n v="1462"/>
    <s v="226.2"/>
    <s v="27.65"/>
    <n v="4"/>
    <s v="49107.79"/>
    <s v="2011"/>
    <s v="&lt;50k"/>
    <x v="0"/>
    <s v="Auto"/>
    <s v=""/>
    <s v="Volkswagen"/>
    <n v="49107.79"/>
  </r>
  <r>
    <n v="189"/>
    <x v="6"/>
    <x v="8"/>
    <n v="102539"/>
    <x v="3"/>
    <x v="0"/>
    <s v="First"/>
    <n v="1279"/>
    <s v="216.7"/>
    <s v="8.17"/>
    <n v="5"/>
    <s v="40042.48"/>
    <s v="2014"/>
    <s v="100k-150k"/>
    <x v="0"/>
    <s v="Manual"/>
    <s v=""/>
    <s v="Hyundai"/>
    <n v="40042.480000000003"/>
  </r>
  <r>
    <n v="190"/>
    <x v="0"/>
    <x v="19"/>
    <n v="51851"/>
    <x v="3"/>
    <x v="1"/>
    <s v="First"/>
    <n v="2223"/>
    <s v="99.7"/>
    <s v="9.46"/>
    <n v="2"/>
    <s v="49818.17"/>
    <s v="2017"/>
    <s v="50k-100k"/>
    <x v="0"/>
    <s v="Auto"/>
    <s v=""/>
    <s v="Audi"/>
    <n v="49818.17"/>
  </r>
  <r>
    <n v="191"/>
    <x v="1"/>
    <x v="9"/>
    <n v="59823"/>
    <x v="2"/>
    <x v="0"/>
    <s v="First"/>
    <n v="3508"/>
    <s v="245.4"/>
    <s v="17.33"/>
    <n v="6"/>
    <s v="20607.97"/>
    <s v="2021"/>
    <s v="50k-100k"/>
    <x v="0"/>
    <s v="Manual"/>
    <s v=""/>
    <s v="BMW"/>
    <n v="20607.97"/>
  </r>
  <r>
    <n v="192"/>
    <x v="0"/>
    <x v="12"/>
    <n v="28312"/>
    <x v="0"/>
    <x v="0"/>
    <s v="First"/>
    <n v="3975"/>
    <s v="95.7"/>
    <s v="7.05"/>
    <n v="6"/>
    <s v="61917.7"/>
    <s v="2018"/>
    <s v="&lt;50k"/>
    <x v="0"/>
    <s v="Manual"/>
    <s v=""/>
    <s v="Audi"/>
    <n v="61917.7"/>
  </r>
  <r>
    <n v="193"/>
    <x v="2"/>
    <x v="16"/>
    <n v="179180"/>
    <x v="0"/>
    <x v="1"/>
    <s v="Third"/>
    <n v="4614"/>
    <s v="469.3"/>
    <s v="9.9"/>
    <n v="7"/>
    <s v="96792.18"/>
    <s v="2006"/>
    <s v="150k+"/>
    <x v="0"/>
    <s v="Auto"/>
    <s v=""/>
    <s v="Kia"/>
    <n v="96792.18"/>
  </r>
  <r>
    <n v="194"/>
    <x v="8"/>
    <x v="3"/>
    <n v="170243"/>
    <x v="0"/>
    <x v="1"/>
    <s v="Second"/>
    <n v="2814"/>
    <s v="581.1"/>
    <s v="28.59"/>
    <n v="4"/>
    <s v="54659.48"/>
    <s v="2015"/>
    <s v="150k+"/>
    <x v="0"/>
    <s v="Auto"/>
    <s v=""/>
    <s v="Toyota"/>
    <n v="54659.48"/>
  </r>
  <r>
    <n v="195"/>
    <x v="6"/>
    <x v="0"/>
    <n v="177851"/>
    <x v="3"/>
    <x v="0"/>
    <s v="Second"/>
    <n v="4589"/>
    <s v="583.2"/>
    <s v="29.41"/>
    <n v="7"/>
    <s v="60401.79"/>
    <s v="2005"/>
    <s v="150k+"/>
    <x v="0"/>
    <s v="Manual"/>
    <s v=""/>
    <s v="Hyundai"/>
    <n v="60401.79"/>
  </r>
  <r>
    <n v="196"/>
    <x v="2"/>
    <x v="11"/>
    <n v="103723"/>
    <x v="0"/>
    <x v="1"/>
    <s v="First"/>
    <n v="3243"/>
    <s v="524.4"/>
    <s v="14.41"/>
    <n v="2"/>
    <s v="102305.81"/>
    <s v="2023"/>
    <s v="100k-150k"/>
    <x v="0"/>
    <s v="Auto"/>
    <s v=""/>
    <s v="Kia"/>
    <n v="102305.81"/>
  </r>
  <r>
    <n v="197"/>
    <x v="3"/>
    <x v="5"/>
    <n v="17411"/>
    <x v="2"/>
    <x v="0"/>
    <s v="First"/>
    <n v="1711"/>
    <s v="376.4"/>
    <s v="28.08"/>
    <n v="6"/>
    <s v="85608.8"/>
    <s v="2008"/>
    <s v="&lt;50k"/>
    <x v="0"/>
    <s v="Manual"/>
    <s v=""/>
    <s v="Mercedes"/>
    <n v="85608.8"/>
  </r>
  <r>
    <n v="198"/>
    <x v="1"/>
    <x v="11"/>
    <n v="62009"/>
    <x v="2"/>
    <x v="1"/>
    <s v="Third"/>
    <n v="4013"/>
    <s v="432.5"/>
    <s v="18.62"/>
    <n v="2"/>
    <s v="60383.17"/>
    <s v="2023"/>
    <s v="50k-100k"/>
    <x v="0"/>
    <s v="Auto"/>
    <s v=""/>
    <s v="BMW"/>
    <n v="60383.17"/>
  </r>
  <r>
    <n v="199"/>
    <x v="7"/>
    <x v="3"/>
    <n v="151494"/>
    <x v="3"/>
    <x v="1"/>
    <s v="Third"/>
    <n v="3164"/>
    <s v="199.7"/>
    <s v="11.74"/>
    <n v="2"/>
    <s v="33150.39"/>
    <s v="2015"/>
    <s v="150k+"/>
    <x v="0"/>
    <s v="Auto"/>
    <s v=""/>
    <s v="Honda"/>
    <n v="33150.39"/>
  </r>
  <r>
    <n v="200"/>
    <x v="6"/>
    <x v="2"/>
    <n v="178540"/>
    <x v="1"/>
    <x v="0"/>
    <s v="First"/>
    <n v="4429"/>
    <s v="393.2"/>
    <s v="22.56"/>
    <n v="4"/>
    <s v="106536.43"/>
    <s v="2012"/>
    <s v="150k+"/>
    <x v="0"/>
    <s v="Manual"/>
    <s v=""/>
    <s v="Hyundai"/>
    <n v="106536.43"/>
  </r>
  <r>
    <n v="201"/>
    <x v="6"/>
    <x v="3"/>
    <n v="37371"/>
    <x v="3"/>
    <x v="1"/>
    <s v="Second"/>
    <n v="4272"/>
    <s v="295.2"/>
    <s v="21.47"/>
    <n v="2"/>
    <s v="70511.39"/>
    <s v="2015"/>
    <s v="&lt;50k"/>
    <x v="0"/>
    <s v="Auto"/>
    <s v=""/>
    <s v="Hyundai"/>
    <n v="70511.39"/>
  </r>
  <r>
    <n v="202"/>
    <x v="8"/>
    <x v="5"/>
    <n v="62022"/>
    <x v="1"/>
    <x v="1"/>
    <s v="Second"/>
    <n v="1480"/>
    <s v="309.9"/>
    <s v="29.73"/>
    <n v="6"/>
    <s v="28874.27"/>
    <s v="2008"/>
    <s v="50k-100k"/>
    <x v="0"/>
    <s v="Auto"/>
    <s v=""/>
    <s v="Toyota"/>
    <n v="28874.27"/>
  </r>
  <r>
    <n v="203"/>
    <x v="9"/>
    <x v="9"/>
    <n v="76229"/>
    <x v="0"/>
    <x v="0"/>
    <s v="Second"/>
    <n v="1409"/>
    <s v="464.4"/>
    <s v="11.63"/>
    <n v="7"/>
    <s v="34487.01"/>
    <s v="2021"/>
    <s v="50k-100k"/>
    <x v="0"/>
    <s v="Manual"/>
    <s v=""/>
    <s v="Nissan"/>
    <n v="34487.01"/>
  </r>
  <r>
    <n v="204"/>
    <x v="6"/>
    <x v="17"/>
    <n v="104071"/>
    <x v="3"/>
    <x v="1"/>
    <s v="First"/>
    <n v="2956"/>
    <s v="197.9"/>
    <s v="21.8"/>
    <n v="6"/>
    <s v="96966.57"/>
    <s v="2011"/>
    <s v="100k-150k"/>
    <x v="0"/>
    <s v="Auto"/>
    <s v=""/>
    <s v="Hyundai"/>
    <n v="96966.57"/>
  </r>
  <r>
    <n v="205"/>
    <x v="5"/>
    <x v="2"/>
    <n v="187268"/>
    <x v="2"/>
    <x v="0"/>
    <s v="Second"/>
    <n v="4666"/>
    <s v="218.1"/>
    <s v="6.3"/>
    <n v="4"/>
    <s v="8165.03"/>
    <s v="2012"/>
    <s v="150k+"/>
    <x v="0"/>
    <s v="Manual"/>
    <s v=""/>
    <s v="Ford"/>
    <n v="8165.03"/>
  </r>
  <r>
    <n v="206"/>
    <x v="1"/>
    <x v="14"/>
    <n v="101774"/>
    <x v="0"/>
    <x v="0"/>
    <s v="Third"/>
    <n v="1171"/>
    <s v="557.8"/>
    <s v="7.84"/>
    <n v="6"/>
    <s v="119074.79"/>
    <s v="2007"/>
    <s v="100k-150k"/>
    <x v="0"/>
    <s v="Manual"/>
    <s v=""/>
    <s v="BMW"/>
    <n v="119074.79"/>
  </r>
  <r>
    <n v="207"/>
    <x v="1"/>
    <x v="16"/>
    <n v="31715"/>
    <x v="2"/>
    <x v="0"/>
    <s v="Third"/>
    <n v="1415"/>
    <s v="71.5"/>
    <s v="5.1"/>
    <n v="5"/>
    <s v="18251.15"/>
    <s v="2006"/>
    <s v="&lt;50k"/>
    <x v="0"/>
    <s v="Manual"/>
    <s v=""/>
    <s v="BMW"/>
    <n v="18251.150000000001"/>
  </r>
  <r>
    <n v="208"/>
    <x v="5"/>
    <x v="1"/>
    <n v="32605"/>
    <x v="0"/>
    <x v="0"/>
    <s v="First"/>
    <n v="3053"/>
    <s v="312.0"/>
    <s v="29.99"/>
    <n v="7"/>
    <s v="96140.02"/>
    <s v="2019"/>
    <s v="&lt;50k"/>
    <x v="0"/>
    <s v="Manual"/>
    <s v=""/>
    <s v="Ford"/>
    <n v="96140.02"/>
  </r>
  <r>
    <n v="209"/>
    <x v="4"/>
    <x v="7"/>
    <n v="104853"/>
    <x v="3"/>
    <x v="0"/>
    <s v="Third"/>
    <n v="4938"/>
    <s v="551.2"/>
    <s v="25.06"/>
    <n v="5"/>
    <s v="49188.71"/>
    <s v="2009"/>
    <s v="100k-150k"/>
    <x v="0"/>
    <s v="Manual"/>
    <s v=""/>
    <s v="Volkswagen"/>
    <n v="49188.71"/>
  </r>
  <r>
    <n v="210"/>
    <x v="5"/>
    <x v="0"/>
    <n v="36174"/>
    <x v="1"/>
    <x v="1"/>
    <s v="First"/>
    <n v="1664"/>
    <s v="381.8"/>
    <s v="24.67"/>
    <n v="5"/>
    <s v="60589.29"/>
    <s v="2005"/>
    <s v="&lt;50k"/>
    <x v="0"/>
    <s v="Auto"/>
    <s v=""/>
    <s v="Ford"/>
    <n v="60589.29"/>
  </r>
  <r>
    <n v="211"/>
    <x v="5"/>
    <x v="5"/>
    <n v="146028"/>
    <x v="0"/>
    <x v="0"/>
    <s v="Second"/>
    <n v="2068"/>
    <s v="346.0"/>
    <s v="17.74"/>
    <n v="4"/>
    <s v="106036.12"/>
    <s v="2008"/>
    <s v="100k-150k"/>
    <x v="0"/>
    <s v="Manual"/>
    <s v=""/>
    <s v="Ford"/>
    <n v="106036.12"/>
  </r>
  <r>
    <n v="212"/>
    <x v="1"/>
    <x v="1"/>
    <n v="81373"/>
    <x v="1"/>
    <x v="0"/>
    <s v="Second"/>
    <n v="1584"/>
    <s v="179.9"/>
    <s v="12.5"/>
    <n v="2"/>
    <s v="51310.61"/>
    <s v="2019"/>
    <s v="50k-100k"/>
    <x v="0"/>
    <s v="Manual"/>
    <s v=""/>
    <s v="BMW"/>
    <n v="51310.61"/>
  </r>
  <r>
    <n v="213"/>
    <x v="0"/>
    <x v="13"/>
    <n v="74252"/>
    <x v="0"/>
    <x v="1"/>
    <s v="Second"/>
    <n v="4978"/>
    <s v="232.2"/>
    <s v="8.78"/>
    <n v="5"/>
    <s v="65886.77"/>
    <s v="2024"/>
    <s v="50k-100k"/>
    <x v="0"/>
    <s v="Auto"/>
    <s v=""/>
    <s v="Audi"/>
    <n v="65886.77"/>
  </r>
  <r>
    <n v="214"/>
    <x v="1"/>
    <x v="11"/>
    <n v="198021"/>
    <x v="2"/>
    <x v="1"/>
    <s v="Third"/>
    <n v="3037"/>
    <s v="517.1"/>
    <s v="12.12"/>
    <n v="6"/>
    <s v="8768.06"/>
    <s v="2023"/>
    <s v="150k+"/>
    <x v="0"/>
    <s v="Auto"/>
    <s v=""/>
    <s v="BMW"/>
    <n v="8768.06"/>
  </r>
  <r>
    <n v="215"/>
    <x v="9"/>
    <x v="14"/>
    <n v="198718"/>
    <x v="2"/>
    <x v="1"/>
    <s v="First"/>
    <n v="4854"/>
    <s v="353.2"/>
    <s v="14.4"/>
    <n v="2"/>
    <s v="3274.65"/>
    <s v="2007"/>
    <s v="150k+"/>
    <x v="0"/>
    <s v="Auto"/>
    <s v=""/>
    <s v="Nissan"/>
    <n v="3274.65"/>
  </r>
  <r>
    <n v="216"/>
    <x v="8"/>
    <x v="13"/>
    <n v="75017"/>
    <x v="0"/>
    <x v="0"/>
    <s v="Second"/>
    <n v="1735"/>
    <s v="328.3"/>
    <s v="23.91"/>
    <n v="6"/>
    <s v="31641.59"/>
    <s v="2024"/>
    <s v="50k-100k"/>
    <x v="0"/>
    <s v="Manual"/>
    <s v=""/>
    <s v="Toyota"/>
    <n v="31641.59"/>
  </r>
  <r>
    <n v="217"/>
    <x v="2"/>
    <x v="3"/>
    <n v="68037"/>
    <x v="1"/>
    <x v="0"/>
    <s v="First"/>
    <n v="4780"/>
    <s v="95.8"/>
    <s v="18.49"/>
    <n v="6"/>
    <s v="82628.22"/>
    <s v="2015"/>
    <s v="50k-100k"/>
    <x v="0"/>
    <s v="Manual"/>
    <s v=""/>
    <s v="Kia"/>
    <n v="82628.22"/>
  </r>
  <r>
    <n v="218"/>
    <x v="0"/>
    <x v="9"/>
    <n v="94818"/>
    <x v="3"/>
    <x v="0"/>
    <s v="Second"/>
    <n v="3138"/>
    <s v="49.0"/>
    <s v="6.94"/>
    <n v="2"/>
    <s v="17187.99"/>
    <s v="2021"/>
    <s v="50k-100k"/>
    <x v="0"/>
    <s v="Manual"/>
    <s v=""/>
    <s v="Audi"/>
    <n v="17187.990000000002"/>
  </r>
  <r>
    <n v="219"/>
    <x v="7"/>
    <x v="19"/>
    <n v="11548"/>
    <x v="3"/>
    <x v="1"/>
    <s v="Third"/>
    <n v="1125"/>
    <s v="579.7"/>
    <s v="5.45"/>
    <n v="2"/>
    <s v="16310.15"/>
    <s v="2017"/>
    <s v="&lt;50k"/>
    <x v="0"/>
    <s v="Auto"/>
    <s v=""/>
    <s v="Honda"/>
    <n v="16310.15"/>
  </r>
  <r>
    <n v="220"/>
    <x v="2"/>
    <x v="3"/>
    <n v="121981"/>
    <x v="2"/>
    <x v="0"/>
    <s v="Third"/>
    <n v="2334"/>
    <s v="251.1"/>
    <s v="7.56"/>
    <n v="6"/>
    <s v="51082.39"/>
    <s v="2015"/>
    <s v="100k-150k"/>
    <x v="0"/>
    <s v="Manual"/>
    <s v=""/>
    <s v="Kia"/>
    <n v="51082.39"/>
  </r>
  <r>
    <n v="221"/>
    <x v="8"/>
    <x v="16"/>
    <n v="159249"/>
    <x v="3"/>
    <x v="1"/>
    <s v="First"/>
    <n v="4280"/>
    <s v="377.8"/>
    <s v="15.26"/>
    <n v="4"/>
    <s v="78796.93"/>
    <s v="2006"/>
    <s v="150k+"/>
    <x v="0"/>
    <s v="Auto"/>
    <s v=""/>
    <s v="Toyota"/>
    <n v="78796.929999999993"/>
  </r>
  <r>
    <n v="222"/>
    <x v="9"/>
    <x v="10"/>
    <n v="29022"/>
    <x v="2"/>
    <x v="0"/>
    <s v="Third"/>
    <n v="4661"/>
    <s v="84.6"/>
    <s v="28.33"/>
    <n v="7"/>
    <s v="86312.42"/>
    <s v="2013"/>
    <s v="&lt;50k"/>
    <x v="0"/>
    <s v="Manual"/>
    <s v=""/>
    <s v="Nissan"/>
    <n v="86312.42"/>
  </r>
  <r>
    <n v="223"/>
    <x v="9"/>
    <x v="16"/>
    <n v="111297"/>
    <x v="3"/>
    <x v="1"/>
    <s v="Third"/>
    <n v="2785"/>
    <s v="422.5"/>
    <s v="20.94"/>
    <n v="7"/>
    <s v="23878.73"/>
    <s v="2006"/>
    <s v="100k-150k"/>
    <x v="0"/>
    <s v="Auto"/>
    <s v=""/>
    <s v="Nissan"/>
    <n v="23878.73"/>
  </r>
  <r>
    <n v="224"/>
    <x v="7"/>
    <x v="10"/>
    <n v="141614"/>
    <x v="0"/>
    <x v="0"/>
    <s v="First"/>
    <n v="3578"/>
    <s v="562.2"/>
    <s v="25.05"/>
    <n v="4"/>
    <s v="12311.81"/>
    <s v="2013"/>
    <s v="100k-150k"/>
    <x v="0"/>
    <s v="Manual"/>
    <s v=""/>
    <s v="Honda"/>
    <n v="12311.81"/>
  </r>
  <r>
    <n v="225"/>
    <x v="0"/>
    <x v="10"/>
    <n v="65428"/>
    <x v="2"/>
    <x v="0"/>
    <s v="Second"/>
    <n v="2070"/>
    <s v="362.4"/>
    <s v="16.66"/>
    <n v="2"/>
    <s v="113026.45"/>
    <s v="2013"/>
    <s v="50k-100k"/>
    <x v="0"/>
    <s v="Manual"/>
    <s v=""/>
    <s v="Audi"/>
    <n v="113026.45"/>
  </r>
  <r>
    <n v="226"/>
    <x v="4"/>
    <x v="2"/>
    <n v="158812"/>
    <x v="2"/>
    <x v="0"/>
    <s v="Third"/>
    <n v="1440"/>
    <s v="110.6"/>
    <s v="14.04"/>
    <n v="6"/>
    <s v="33497.97"/>
    <s v="2012"/>
    <s v="150k+"/>
    <x v="0"/>
    <s v="Manual"/>
    <s v=""/>
    <s v="Volkswagen"/>
    <n v="33497.97"/>
  </r>
  <r>
    <n v="227"/>
    <x v="5"/>
    <x v="9"/>
    <n v="64353"/>
    <x v="0"/>
    <x v="1"/>
    <s v="First"/>
    <n v="4878"/>
    <s v="365.8"/>
    <s v="7.71"/>
    <n v="7"/>
    <s v="102841.54"/>
    <s v="2021"/>
    <s v="50k-100k"/>
    <x v="0"/>
    <s v="Auto"/>
    <s v=""/>
    <s v="Ford"/>
    <n v="102841.54"/>
  </r>
  <r>
    <n v="228"/>
    <x v="0"/>
    <x v="0"/>
    <n v="118132"/>
    <x v="2"/>
    <x v="1"/>
    <s v="Third"/>
    <n v="2167"/>
    <s v="469.2"/>
    <s v="26.9"/>
    <n v="6"/>
    <s v="104028.5"/>
    <s v="2005"/>
    <s v="100k-150k"/>
    <x v="0"/>
    <s v="Auto"/>
    <s v=""/>
    <s v="Audi"/>
    <n v="104028.5"/>
  </r>
  <r>
    <n v="229"/>
    <x v="4"/>
    <x v="3"/>
    <n v="192604"/>
    <x v="3"/>
    <x v="0"/>
    <s v="Third"/>
    <n v="4842"/>
    <s v="267.6"/>
    <s v="24.58"/>
    <n v="4"/>
    <s v="93385.14"/>
    <s v="2015"/>
    <s v="150k+"/>
    <x v="0"/>
    <s v="Manual"/>
    <s v=""/>
    <s v="Volkswagen"/>
    <n v="93385.14"/>
  </r>
  <r>
    <n v="230"/>
    <x v="9"/>
    <x v="2"/>
    <n v="21052"/>
    <x v="3"/>
    <x v="0"/>
    <s v="Third"/>
    <n v="3375"/>
    <s v="532.7"/>
    <s v="9.2"/>
    <n v="6"/>
    <s v="22753.53"/>
    <s v="2012"/>
    <s v="&lt;50k"/>
    <x v="0"/>
    <s v="Manual"/>
    <s v=""/>
    <s v="Nissan"/>
    <n v="22753.53"/>
  </r>
  <r>
    <n v="231"/>
    <x v="1"/>
    <x v="8"/>
    <n v="105689"/>
    <x v="2"/>
    <x v="0"/>
    <s v="Third"/>
    <n v="4403"/>
    <s v="403.3"/>
    <s v="17.81"/>
    <n v="4"/>
    <s v="99150.77"/>
    <s v="2014"/>
    <s v="100k-150k"/>
    <x v="0"/>
    <s v="Manual"/>
    <s v=""/>
    <s v="BMW"/>
    <n v="99150.77"/>
  </r>
  <r>
    <n v="232"/>
    <x v="8"/>
    <x v="17"/>
    <n v="183148"/>
    <x v="3"/>
    <x v="1"/>
    <s v="First"/>
    <n v="2381"/>
    <s v="543.6"/>
    <s v="17.18"/>
    <n v="2"/>
    <s v="93002.32"/>
    <s v="2011"/>
    <s v="150k+"/>
    <x v="0"/>
    <s v="Auto"/>
    <s v=""/>
    <s v="Toyota"/>
    <n v="93002.32"/>
  </r>
  <r>
    <n v="233"/>
    <x v="7"/>
    <x v="14"/>
    <n v="189492"/>
    <x v="1"/>
    <x v="0"/>
    <s v="First"/>
    <n v="2786"/>
    <s v="389.2"/>
    <s v="20.63"/>
    <n v="4"/>
    <s v="72816.59"/>
    <s v="2007"/>
    <s v="150k+"/>
    <x v="0"/>
    <s v="Manual"/>
    <s v=""/>
    <s v="Honda"/>
    <n v="72816.59"/>
  </r>
  <r>
    <n v="234"/>
    <x v="8"/>
    <x v="14"/>
    <n v="136743"/>
    <x v="2"/>
    <x v="0"/>
    <s v="First"/>
    <n v="3040"/>
    <s v="113.5"/>
    <s v="28.65"/>
    <n v="4"/>
    <s v="42452.64"/>
    <s v="2007"/>
    <s v="100k-150k"/>
    <x v="0"/>
    <s v="Manual"/>
    <s v=""/>
    <s v="Toyota"/>
    <n v="42452.639999999999"/>
  </r>
  <r>
    <n v="235"/>
    <x v="3"/>
    <x v="18"/>
    <n v="5163"/>
    <x v="0"/>
    <x v="0"/>
    <s v="Third"/>
    <n v="4766"/>
    <s v="213.4"/>
    <s v="19.49"/>
    <n v="7"/>
    <s v="33713.51"/>
    <s v="2022"/>
    <s v="&lt;50k"/>
    <x v="0"/>
    <s v="Manual"/>
    <s v=""/>
    <s v="Mercedes"/>
    <n v="33713.51"/>
  </r>
  <r>
    <n v="236"/>
    <x v="3"/>
    <x v="7"/>
    <n v="46424"/>
    <x v="1"/>
    <x v="0"/>
    <s v="Third"/>
    <n v="2905"/>
    <s v="153.0"/>
    <s v="18.51"/>
    <n v="6"/>
    <s v="17261.04"/>
    <s v="2009"/>
    <s v="&lt;50k"/>
    <x v="0"/>
    <s v="Manual"/>
    <s v=""/>
    <s v="Mercedes"/>
    <n v="17261.04"/>
  </r>
  <r>
    <n v="237"/>
    <x v="0"/>
    <x v="4"/>
    <n v="189816"/>
    <x v="2"/>
    <x v="1"/>
    <s v="Third"/>
    <n v="928"/>
    <s v="548.9"/>
    <s v="6.26"/>
    <n v="7"/>
    <s v="62641.58"/>
    <s v="2016"/>
    <s v="150k+"/>
    <x v="0"/>
    <s v="Auto"/>
    <s v=""/>
    <s v="Audi"/>
    <n v="62641.58"/>
  </r>
  <r>
    <n v="238"/>
    <x v="9"/>
    <x v="4"/>
    <n v="146706"/>
    <x v="0"/>
    <x v="1"/>
    <s v="First"/>
    <n v="4796"/>
    <s v="465.8"/>
    <s v="6.57"/>
    <n v="5"/>
    <s v="71475.52"/>
    <s v="2016"/>
    <s v="100k-150k"/>
    <x v="0"/>
    <s v="Auto"/>
    <s v=""/>
    <s v="Nissan"/>
    <n v="71475.520000000004"/>
  </r>
  <r>
    <n v="239"/>
    <x v="9"/>
    <x v="11"/>
    <n v="140870"/>
    <x v="3"/>
    <x v="0"/>
    <s v="Third"/>
    <n v="1651"/>
    <s v="418.8"/>
    <s v="9.68"/>
    <n v="4"/>
    <s v="45042.66"/>
    <s v="2023"/>
    <s v="100k-150k"/>
    <x v="0"/>
    <s v="Manual"/>
    <s v=""/>
    <s v="Nissan"/>
    <n v="45042.66"/>
  </r>
  <r>
    <n v="240"/>
    <x v="5"/>
    <x v="15"/>
    <n v="27420"/>
    <x v="0"/>
    <x v="0"/>
    <s v="Second"/>
    <n v="4903"/>
    <s v="208.5"/>
    <s v="5.81"/>
    <n v="5"/>
    <s v="58617.01"/>
    <s v="2010"/>
    <s v="&lt;50k"/>
    <x v="0"/>
    <s v="Manual"/>
    <s v=""/>
    <s v="Ford"/>
    <n v="58617.01"/>
  </r>
  <r>
    <n v="241"/>
    <x v="5"/>
    <x v="16"/>
    <n v="125575"/>
    <x v="1"/>
    <x v="1"/>
    <s v="Third"/>
    <n v="2876"/>
    <s v="143.1"/>
    <s v="23.58"/>
    <n v="7"/>
    <s v="45531.19"/>
    <s v="2006"/>
    <s v="100k-150k"/>
    <x v="0"/>
    <s v="Auto"/>
    <s v=""/>
    <s v="Ford"/>
    <n v="45531.19"/>
  </r>
  <r>
    <n v="242"/>
    <x v="5"/>
    <x v="4"/>
    <n v="34300"/>
    <x v="3"/>
    <x v="1"/>
    <s v="Second"/>
    <n v="3794"/>
    <s v="463.6"/>
    <s v="23.08"/>
    <n v="6"/>
    <s v="77997.71"/>
    <s v="2016"/>
    <s v="&lt;50k"/>
    <x v="0"/>
    <s v="Auto"/>
    <s v=""/>
    <s v="Ford"/>
    <n v="77997.710000000006"/>
  </r>
  <r>
    <n v="243"/>
    <x v="1"/>
    <x v="11"/>
    <n v="94881"/>
    <x v="2"/>
    <x v="0"/>
    <s v="Third"/>
    <n v="4544"/>
    <s v="305.5"/>
    <s v="8.4"/>
    <n v="7"/>
    <s v="108447.33"/>
    <s v="2023"/>
    <s v="50k-100k"/>
    <x v="0"/>
    <s v="Manual"/>
    <s v=""/>
    <s v="BMW"/>
    <n v="108447.33"/>
  </r>
  <r>
    <n v="244"/>
    <x v="2"/>
    <x v="7"/>
    <n v="15749"/>
    <x v="3"/>
    <x v="1"/>
    <s v="First"/>
    <n v="3556"/>
    <s v="166.4"/>
    <s v="25.9"/>
    <n v="6"/>
    <s v="22178.67"/>
    <s v="2009"/>
    <s v="&lt;50k"/>
    <x v="0"/>
    <s v="Auto"/>
    <s v=""/>
    <s v="Kia"/>
    <n v="22178.67"/>
  </r>
  <r>
    <n v="245"/>
    <x v="6"/>
    <x v="4"/>
    <n v="109131"/>
    <x v="2"/>
    <x v="1"/>
    <s v="Third"/>
    <n v="2444"/>
    <s v="385.3"/>
    <s v="8.87"/>
    <n v="6"/>
    <s v="47624.83"/>
    <s v="2016"/>
    <s v="100k-150k"/>
    <x v="0"/>
    <s v="Auto"/>
    <s v=""/>
    <s v="Hyundai"/>
    <n v="47624.83"/>
  </r>
  <r>
    <n v="246"/>
    <x v="2"/>
    <x v="9"/>
    <n v="161193"/>
    <x v="2"/>
    <x v="0"/>
    <s v="Second"/>
    <n v="3944"/>
    <s v="62.6"/>
    <s v="12.53"/>
    <n v="2"/>
    <s v="19481.63"/>
    <s v="2021"/>
    <s v="150k+"/>
    <x v="0"/>
    <s v="Manual"/>
    <s v=""/>
    <s v="Kia"/>
    <n v="19481.63"/>
  </r>
  <r>
    <n v="247"/>
    <x v="8"/>
    <x v="9"/>
    <n v="133563"/>
    <x v="0"/>
    <x v="1"/>
    <s v="Second"/>
    <n v="1042"/>
    <s v="222.7"/>
    <s v="11.22"/>
    <n v="4"/>
    <s v="76118.42"/>
    <s v="2021"/>
    <s v="100k-150k"/>
    <x v="0"/>
    <s v="Auto"/>
    <s v=""/>
    <s v="Toyota"/>
    <n v="76118.42"/>
  </r>
  <r>
    <n v="248"/>
    <x v="2"/>
    <x v="8"/>
    <n v="42487"/>
    <x v="0"/>
    <x v="1"/>
    <s v="Third"/>
    <n v="4885"/>
    <s v="302.4"/>
    <s v="14.31"/>
    <n v="7"/>
    <s v="88277.85"/>
    <s v="2014"/>
    <s v="&lt;50k"/>
    <x v="0"/>
    <s v="Auto"/>
    <s v=""/>
    <s v="Kia"/>
    <n v="88277.85"/>
  </r>
  <r>
    <n v="249"/>
    <x v="1"/>
    <x v="9"/>
    <n v="169433"/>
    <x v="0"/>
    <x v="0"/>
    <s v="Second"/>
    <n v="970"/>
    <s v="122.9"/>
    <s v="11.37"/>
    <n v="6"/>
    <s v="112033.79"/>
    <s v="2021"/>
    <s v="150k+"/>
    <x v="0"/>
    <s v="Manual"/>
    <s v=""/>
    <s v="BMW"/>
    <n v="112033.79"/>
  </r>
  <r>
    <n v="250"/>
    <x v="8"/>
    <x v="1"/>
    <n v="26223"/>
    <x v="1"/>
    <x v="0"/>
    <s v="Second"/>
    <n v="1452"/>
    <s v="591.4"/>
    <s v="17.22"/>
    <n v="7"/>
    <s v="35628.02"/>
    <s v="2019"/>
    <s v="&lt;50k"/>
    <x v="0"/>
    <s v="Manual"/>
    <s v=""/>
    <s v="Toyota"/>
    <n v="35628.019999999997"/>
  </r>
  <r>
    <n v="251"/>
    <x v="2"/>
    <x v="4"/>
    <n v="77930"/>
    <x v="1"/>
    <x v="1"/>
    <s v="First"/>
    <n v="4312"/>
    <s v="157.1"/>
    <s v="15.19"/>
    <n v="7"/>
    <s v="114174.71"/>
    <s v="2016"/>
    <s v="50k-100k"/>
    <x v="0"/>
    <s v="Auto"/>
    <s v=""/>
    <s v="Kia"/>
    <n v="114174.71"/>
  </r>
  <r>
    <n v="252"/>
    <x v="1"/>
    <x v="6"/>
    <n v="150128"/>
    <x v="0"/>
    <x v="0"/>
    <s v="Third"/>
    <n v="2299"/>
    <s v="113.0"/>
    <s v="29.66"/>
    <n v="6"/>
    <s v="10401.73"/>
    <s v="2020"/>
    <s v="150k+"/>
    <x v="0"/>
    <s v="Manual"/>
    <s v=""/>
    <s v="BMW"/>
    <n v="10401.73"/>
  </r>
  <r>
    <n v="253"/>
    <x v="6"/>
    <x v="11"/>
    <n v="33380"/>
    <x v="1"/>
    <x v="1"/>
    <s v="Third"/>
    <n v="2899"/>
    <s v="154.0"/>
    <s v="6.4"/>
    <n v="5"/>
    <s v="73552.62"/>
    <s v="2023"/>
    <s v="&lt;50k"/>
    <x v="0"/>
    <s v="Auto"/>
    <s v=""/>
    <s v="Hyundai"/>
    <n v="73552.62"/>
  </r>
  <r>
    <n v="254"/>
    <x v="2"/>
    <x v="2"/>
    <n v="31035"/>
    <x v="3"/>
    <x v="0"/>
    <s v="Third"/>
    <n v="2958"/>
    <s v="470.7"/>
    <s v="8.55"/>
    <n v="4"/>
    <s v="9684.53"/>
    <s v="2012"/>
    <s v="&lt;50k"/>
    <x v="0"/>
    <s v="Manual"/>
    <s v=""/>
    <s v="Kia"/>
    <n v="9684.5300000000007"/>
  </r>
  <r>
    <n v="255"/>
    <x v="1"/>
    <x v="9"/>
    <n v="35620"/>
    <x v="3"/>
    <x v="1"/>
    <s v="Second"/>
    <n v="2772"/>
    <s v="278.3"/>
    <s v="6.32"/>
    <n v="4"/>
    <s v="107571.58"/>
    <s v="2021"/>
    <s v="&lt;50k"/>
    <x v="0"/>
    <s v="Auto"/>
    <s v=""/>
    <s v="BMW"/>
    <n v="107571.58"/>
  </r>
  <r>
    <n v="256"/>
    <x v="5"/>
    <x v="7"/>
    <n v="155949"/>
    <x v="1"/>
    <x v="0"/>
    <s v="Third"/>
    <n v="4725"/>
    <s v="356.6"/>
    <s v="20.65"/>
    <n v="2"/>
    <s v="64987.66"/>
    <s v="2009"/>
    <s v="150k+"/>
    <x v="0"/>
    <s v="Manual"/>
    <s v=""/>
    <s v="Ford"/>
    <n v="64987.66"/>
  </r>
  <r>
    <n v="257"/>
    <x v="9"/>
    <x v="6"/>
    <n v="191388"/>
    <x v="1"/>
    <x v="1"/>
    <s v="Third"/>
    <n v="3058"/>
    <s v="51.8"/>
    <s v="6.36"/>
    <n v="2"/>
    <s v="81313.76"/>
    <s v="2020"/>
    <s v="150k+"/>
    <x v="0"/>
    <s v="Auto"/>
    <s v=""/>
    <s v="Nissan"/>
    <n v="81313.759999999995"/>
  </r>
  <r>
    <n v="258"/>
    <x v="5"/>
    <x v="15"/>
    <n v="122360"/>
    <x v="3"/>
    <x v="1"/>
    <s v="First"/>
    <n v="4839"/>
    <s v="59.3"/>
    <s v="25.91"/>
    <n v="2"/>
    <s v="100294.15"/>
    <s v="2010"/>
    <s v="100k-150k"/>
    <x v="0"/>
    <s v="Auto"/>
    <s v=""/>
    <s v="Ford"/>
    <n v="100294.15"/>
  </r>
  <r>
    <n v="259"/>
    <x v="9"/>
    <x v="2"/>
    <n v="58352"/>
    <x v="2"/>
    <x v="1"/>
    <s v="First"/>
    <n v="2835"/>
    <s v="289.7"/>
    <s v="17.8"/>
    <n v="4"/>
    <s v="20586.34"/>
    <s v="2012"/>
    <s v="50k-100k"/>
    <x v="0"/>
    <s v="Auto"/>
    <s v=""/>
    <s v="Nissan"/>
    <n v="20586.34"/>
  </r>
  <r>
    <n v="260"/>
    <x v="7"/>
    <x v="18"/>
    <n v="166983"/>
    <x v="3"/>
    <x v="0"/>
    <s v="First"/>
    <n v="4071"/>
    <s v="497.3"/>
    <s v="18.18"/>
    <n v="5"/>
    <s v="7515.21"/>
    <s v="2022"/>
    <s v="150k+"/>
    <x v="0"/>
    <s v="Manual"/>
    <s v=""/>
    <s v="Honda"/>
    <n v="7515.21"/>
  </r>
  <r>
    <n v="261"/>
    <x v="7"/>
    <x v="4"/>
    <n v="168856"/>
    <x v="3"/>
    <x v="0"/>
    <s v="Second"/>
    <n v="1657"/>
    <s v="535.7"/>
    <s v="19.04"/>
    <n v="4"/>
    <s v="105829.09"/>
    <s v="2016"/>
    <s v="150k+"/>
    <x v="0"/>
    <s v="Manual"/>
    <s v=""/>
    <s v="Honda"/>
    <n v="105829.09"/>
  </r>
  <r>
    <n v="262"/>
    <x v="7"/>
    <x v="1"/>
    <n v="8191"/>
    <x v="1"/>
    <x v="1"/>
    <s v="Third"/>
    <n v="4623"/>
    <s v="88.6"/>
    <s v="9.27"/>
    <n v="4"/>
    <s v="39847.19"/>
    <s v="2019"/>
    <s v="&lt;50k"/>
    <x v="0"/>
    <s v="Auto"/>
    <s v=""/>
    <s v="Honda"/>
    <n v="39847.19"/>
  </r>
  <r>
    <n v="263"/>
    <x v="6"/>
    <x v="10"/>
    <n v="169232"/>
    <x v="3"/>
    <x v="1"/>
    <s v="First"/>
    <n v="1849"/>
    <s v="341.5"/>
    <s v="9.94"/>
    <n v="4"/>
    <s v="18090.53"/>
    <s v="2013"/>
    <s v="150k+"/>
    <x v="0"/>
    <s v="Auto"/>
    <s v=""/>
    <s v="Hyundai"/>
    <n v="18090.53"/>
  </r>
  <r>
    <n v="264"/>
    <x v="5"/>
    <x v="19"/>
    <n v="95536"/>
    <x v="1"/>
    <x v="0"/>
    <s v="First"/>
    <n v="4790"/>
    <s v="551.4"/>
    <s v="12.97"/>
    <n v="4"/>
    <s v="57809.96"/>
    <s v="2017"/>
    <s v="50k-100k"/>
    <x v="0"/>
    <s v="Manual"/>
    <s v=""/>
    <s v="Ford"/>
    <n v="57809.96"/>
  </r>
  <r>
    <n v="265"/>
    <x v="9"/>
    <x v="1"/>
    <n v="109576"/>
    <x v="1"/>
    <x v="0"/>
    <s v="First"/>
    <n v="1098"/>
    <s v="257.3"/>
    <s v="19.84"/>
    <n v="5"/>
    <s v="73001.81"/>
    <s v="2019"/>
    <s v="100k-150k"/>
    <x v="0"/>
    <s v="Manual"/>
    <s v=""/>
    <s v="Nissan"/>
    <n v="73001.81"/>
  </r>
  <r>
    <n v="266"/>
    <x v="1"/>
    <x v="8"/>
    <n v="185795"/>
    <x v="0"/>
    <x v="0"/>
    <s v="Third"/>
    <n v="1723"/>
    <s v="504.6"/>
    <s v="10.25"/>
    <n v="2"/>
    <s v="6623.56"/>
    <s v="2014"/>
    <s v="150k+"/>
    <x v="0"/>
    <s v="Manual"/>
    <s v=""/>
    <s v="BMW"/>
    <n v="6623.56"/>
  </r>
  <r>
    <n v="267"/>
    <x v="8"/>
    <x v="6"/>
    <n v="8631"/>
    <x v="3"/>
    <x v="0"/>
    <s v="Third"/>
    <n v="3599"/>
    <s v="114.9"/>
    <s v="7.91"/>
    <n v="7"/>
    <s v="35162.79"/>
    <s v="2020"/>
    <s v="&lt;50k"/>
    <x v="0"/>
    <s v="Manual"/>
    <s v=""/>
    <s v="Toyota"/>
    <n v="35162.79"/>
  </r>
  <r>
    <n v="268"/>
    <x v="1"/>
    <x v="17"/>
    <n v="142244"/>
    <x v="2"/>
    <x v="0"/>
    <s v="Third"/>
    <n v="4862"/>
    <s v="563.8"/>
    <s v="29.25"/>
    <n v="2"/>
    <s v="6837.59"/>
    <s v="2011"/>
    <s v="100k-150k"/>
    <x v="0"/>
    <s v="Manual"/>
    <s v=""/>
    <s v="BMW"/>
    <n v="6837.59"/>
  </r>
  <r>
    <n v="269"/>
    <x v="8"/>
    <x v="9"/>
    <n v="47080"/>
    <x v="0"/>
    <x v="0"/>
    <s v="Second"/>
    <n v="4845"/>
    <s v="460.8"/>
    <s v="5.55"/>
    <n v="2"/>
    <s v="52179.24"/>
    <s v="2021"/>
    <s v="&lt;50k"/>
    <x v="0"/>
    <s v="Manual"/>
    <s v=""/>
    <s v="Toyota"/>
    <n v="52179.24"/>
  </r>
  <r>
    <n v="270"/>
    <x v="3"/>
    <x v="17"/>
    <n v="95353"/>
    <x v="1"/>
    <x v="1"/>
    <s v="Second"/>
    <n v="2602"/>
    <s v="567.1"/>
    <s v="25.07"/>
    <n v="7"/>
    <s v="107726.7"/>
    <s v="2011"/>
    <s v="50k-100k"/>
    <x v="0"/>
    <s v="Auto"/>
    <s v=""/>
    <s v="Mercedes"/>
    <n v="107726.7"/>
  </r>
  <r>
    <n v="271"/>
    <x v="1"/>
    <x v="12"/>
    <n v="156353"/>
    <x v="1"/>
    <x v="0"/>
    <s v="First"/>
    <n v="3513"/>
    <s v="418.9"/>
    <s v="24.7"/>
    <n v="4"/>
    <s v="117970.33"/>
    <s v="2018"/>
    <s v="150k+"/>
    <x v="0"/>
    <s v="Manual"/>
    <s v=""/>
    <s v="BMW"/>
    <n v="117970.33"/>
  </r>
  <r>
    <n v="272"/>
    <x v="2"/>
    <x v="1"/>
    <n v="33671"/>
    <x v="2"/>
    <x v="1"/>
    <s v="Third"/>
    <n v="3653"/>
    <s v="243.5"/>
    <s v="12.43"/>
    <n v="5"/>
    <s v="77534.56"/>
    <s v="2019"/>
    <s v="&lt;50k"/>
    <x v="0"/>
    <s v="Auto"/>
    <s v=""/>
    <s v="Kia"/>
    <n v="77534.559999999998"/>
  </r>
  <r>
    <n v="273"/>
    <x v="2"/>
    <x v="17"/>
    <n v="127811"/>
    <x v="1"/>
    <x v="0"/>
    <s v="First"/>
    <n v="3457"/>
    <s v="565.4"/>
    <s v="8.39"/>
    <n v="5"/>
    <s v="21911.61"/>
    <s v="2011"/>
    <s v="100k-150k"/>
    <x v="0"/>
    <s v="Manual"/>
    <s v=""/>
    <s v="Kia"/>
    <n v="21911.61"/>
  </r>
  <r>
    <n v="274"/>
    <x v="0"/>
    <x v="10"/>
    <n v="187503"/>
    <x v="3"/>
    <x v="0"/>
    <s v="Third"/>
    <n v="4146"/>
    <s v="194.3"/>
    <s v="8.64"/>
    <n v="2"/>
    <s v="108984.38"/>
    <s v="2013"/>
    <s v="150k+"/>
    <x v="0"/>
    <s v="Manual"/>
    <s v=""/>
    <s v="Audi"/>
    <n v="108984.38"/>
  </r>
  <r>
    <n v="275"/>
    <x v="5"/>
    <x v="11"/>
    <n v="132734"/>
    <x v="0"/>
    <x v="1"/>
    <s v="Third"/>
    <n v="2271"/>
    <s v="226.0"/>
    <s v="22.44"/>
    <n v="7"/>
    <s v="63401.0"/>
    <s v="2023"/>
    <s v="100k-150k"/>
    <x v="0"/>
    <s v="Auto"/>
    <s v=""/>
    <s v="Ford"/>
    <n v="63401"/>
  </r>
  <r>
    <n v="276"/>
    <x v="8"/>
    <x v="6"/>
    <n v="164674"/>
    <x v="1"/>
    <x v="1"/>
    <s v="Third"/>
    <n v="3749"/>
    <s v="432.5"/>
    <s v="21.07"/>
    <n v="6"/>
    <s v="20988.67"/>
    <s v="2020"/>
    <s v="150k+"/>
    <x v="0"/>
    <s v="Auto"/>
    <s v=""/>
    <s v="Toyota"/>
    <n v="20988.67"/>
  </r>
  <r>
    <n v="277"/>
    <x v="8"/>
    <x v="2"/>
    <n v="56399"/>
    <x v="1"/>
    <x v="0"/>
    <s v="Second"/>
    <n v="1741"/>
    <s v="468.6"/>
    <s v="24.57"/>
    <n v="4"/>
    <s v="110842.02"/>
    <s v="2012"/>
    <s v="50k-100k"/>
    <x v="0"/>
    <s v="Manual"/>
    <s v=""/>
    <s v="Toyota"/>
    <n v="110842.02"/>
  </r>
  <r>
    <n v="278"/>
    <x v="5"/>
    <x v="18"/>
    <n v="159544"/>
    <x v="2"/>
    <x v="1"/>
    <s v="Second"/>
    <n v="2707"/>
    <s v="560.5"/>
    <s v="28.44"/>
    <n v="2"/>
    <s v="91623.88"/>
    <s v="2022"/>
    <s v="150k+"/>
    <x v="0"/>
    <s v="Auto"/>
    <s v=""/>
    <s v="Ford"/>
    <n v="91623.88"/>
  </r>
  <r>
    <n v="279"/>
    <x v="6"/>
    <x v="18"/>
    <n v="185302"/>
    <x v="3"/>
    <x v="1"/>
    <s v="Third"/>
    <n v="2043"/>
    <s v="154.7"/>
    <s v="22.3"/>
    <n v="5"/>
    <s v="88609.52"/>
    <s v="2022"/>
    <s v="150k+"/>
    <x v="0"/>
    <s v="Auto"/>
    <s v=""/>
    <s v="Hyundai"/>
    <n v="88609.52"/>
  </r>
  <r>
    <n v="280"/>
    <x v="0"/>
    <x v="13"/>
    <n v="12099"/>
    <x v="1"/>
    <x v="1"/>
    <s v="First"/>
    <n v="2266"/>
    <s v="486.9"/>
    <s v="8.9"/>
    <n v="7"/>
    <s v="85974.14"/>
    <s v="2024"/>
    <s v="&lt;50k"/>
    <x v="0"/>
    <s v="Auto"/>
    <s v=""/>
    <s v="Audi"/>
    <n v="85974.14"/>
  </r>
  <r>
    <n v="281"/>
    <x v="6"/>
    <x v="17"/>
    <n v="161503"/>
    <x v="2"/>
    <x v="1"/>
    <s v="Third"/>
    <n v="4757"/>
    <s v="453.6"/>
    <s v="11.09"/>
    <n v="7"/>
    <s v="26439.76"/>
    <s v="2011"/>
    <s v="150k+"/>
    <x v="0"/>
    <s v="Auto"/>
    <s v=""/>
    <s v="Hyundai"/>
    <n v="26439.759999999998"/>
  </r>
  <r>
    <n v="282"/>
    <x v="6"/>
    <x v="14"/>
    <n v="61492"/>
    <x v="1"/>
    <x v="0"/>
    <s v="Third"/>
    <n v="2766"/>
    <s v="75.7"/>
    <s v="26.05"/>
    <n v="2"/>
    <s v="27687.78"/>
    <s v="2007"/>
    <s v="50k-100k"/>
    <x v="0"/>
    <s v="Manual"/>
    <s v=""/>
    <s v="Hyundai"/>
    <n v="27687.78"/>
  </r>
  <r>
    <n v="283"/>
    <x v="6"/>
    <x v="18"/>
    <n v="101722"/>
    <x v="2"/>
    <x v="1"/>
    <s v="First"/>
    <n v="1175"/>
    <s v="256.8"/>
    <s v="10.23"/>
    <n v="6"/>
    <s v="83530.28"/>
    <s v="2022"/>
    <s v="100k-150k"/>
    <x v="0"/>
    <s v="Auto"/>
    <s v=""/>
    <s v="Hyundai"/>
    <n v="83530.28"/>
  </r>
  <r>
    <n v="284"/>
    <x v="5"/>
    <x v="8"/>
    <n v="183756"/>
    <x v="2"/>
    <x v="0"/>
    <s v="Third"/>
    <n v="1062"/>
    <s v="198.3"/>
    <s v="6.81"/>
    <n v="5"/>
    <s v="28707.56"/>
    <s v="2014"/>
    <s v="150k+"/>
    <x v="0"/>
    <s v="Manual"/>
    <s v=""/>
    <s v="Ford"/>
    <n v="28707.56"/>
  </r>
  <r>
    <n v="285"/>
    <x v="6"/>
    <x v="17"/>
    <n v="35111"/>
    <x v="3"/>
    <x v="0"/>
    <s v="First"/>
    <n v="4188"/>
    <s v="210.5"/>
    <s v="22.58"/>
    <n v="2"/>
    <s v="54324.59"/>
    <s v="2011"/>
    <s v="&lt;50k"/>
    <x v="0"/>
    <s v="Manual"/>
    <s v=""/>
    <s v="Hyundai"/>
    <n v="54324.59"/>
  </r>
  <r>
    <n v="286"/>
    <x v="2"/>
    <x v="9"/>
    <n v="68936"/>
    <x v="1"/>
    <x v="0"/>
    <s v="Second"/>
    <n v="4195"/>
    <s v="590.5"/>
    <s v="15.06"/>
    <n v="6"/>
    <s v="94494.21"/>
    <s v="2021"/>
    <s v="50k-100k"/>
    <x v="0"/>
    <s v="Manual"/>
    <s v=""/>
    <s v="Kia"/>
    <n v="94494.21"/>
  </r>
  <r>
    <n v="287"/>
    <x v="7"/>
    <x v="12"/>
    <n v="158686"/>
    <x v="3"/>
    <x v="0"/>
    <s v="Second"/>
    <n v="2744"/>
    <s v="400.0"/>
    <s v="28.0"/>
    <n v="7"/>
    <s v="94722.44"/>
    <s v="2018"/>
    <s v="150k+"/>
    <x v="0"/>
    <s v="Manual"/>
    <s v=""/>
    <s v="Honda"/>
    <n v="94722.44"/>
  </r>
  <r>
    <n v="288"/>
    <x v="3"/>
    <x v="14"/>
    <n v="178063"/>
    <x v="2"/>
    <x v="1"/>
    <s v="First"/>
    <n v="2693"/>
    <s v="441.9"/>
    <s v="21.26"/>
    <n v="4"/>
    <s v="56031.63"/>
    <s v="2007"/>
    <s v="150k+"/>
    <x v="0"/>
    <s v="Auto"/>
    <s v=""/>
    <s v="Mercedes"/>
    <n v="56031.63"/>
  </r>
  <r>
    <n v="289"/>
    <x v="8"/>
    <x v="4"/>
    <n v="65920"/>
    <x v="0"/>
    <x v="1"/>
    <s v="Second"/>
    <n v="4434"/>
    <s v="586.9"/>
    <s v="7.26"/>
    <n v="5"/>
    <s v="95686.22"/>
    <s v="2016"/>
    <s v="50k-100k"/>
    <x v="0"/>
    <s v="Auto"/>
    <s v=""/>
    <s v="Toyota"/>
    <n v="95686.22"/>
  </r>
  <r>
    <n v="290"/>
    <x v="8"/>
    <x v="19"/>
    <n v="68530"/>
    <x v="1"/>
    <x v="0"/>
    <s v="Second"/>
    <n v="2452"/>
    <s v="251.2"/>
    <s v="28.7"/>
    <n v="5"/>
    <s v="101118.75"/>
    <s v="2017"/>
    <s v="50k-100k"/>
    <x v="0"/>
    <s v="Manual"/>
    <s v=""/>
    <s v="Toyota"/>
    <n v="101118.75"/>
  </r>
  <r>
    <n v="291"/>
    <x v="3"/>
    <x v="16"/>
    <n v="172296"/>
    <x v="0"/>
    <x v="0"/>
    <s v="First"/>
    <n v="4941"/>
    <s v="489.0"/>
    <s v="11.46"/>
    <n v="6"/>
    <s v="79608.76"/>
    <s v="2006"/>
    <s v="150k+"/>
    <x v="0"/>
    <s v="Manual"/>
    <s v=""/>
    <s v="Mercedes"/>
    <n v="79608.759999999995"/>
  </r>
  <r>
    <n v="292"/>
    <x v="5"/>
    <x v="14"/>
    <n v="12788"/>
    <x v="1"/>
    <x v="0"/>
    <s v="Second"/>
    <n v="4692"/>
    <s v="283.3"/>
    <s v="13.43"/>
    <n v="2"/>
    <s v="29725.82"/>
    <s v="2007"/>
    <s v="&lt;50k"/>
    <x v="0"/>
    <s v="Manual"/>
    <s v=""/>
    <s v="Ford"/>
    <n v="29725.82"/>
  </r>
  <r>
    <n v="293"/>
    <x v="1"/>
    <x v="7"/>
    <n v="33082"/>
    <x v="3"/>
    <x v="0"/>
    <s v="Third"/>
    <n v="1399"/>
    <s v="526.9"/>
    <s v="15.06"/>
    <n v="7"/>
    <s v="35059.38"/>
    <s v="2009"/>
    <s v="&lt;50k"/>
    <x v="0"/>
    <s v="Manual"/>
    <s v=""/>
    <s v="BMW"/>
    <n v="35059.379999999997"/>
  </r>
  <r>
    <n v="294"/>
    <x v="5"/>
    <x v="3"/>
    <n v="128287"/>
    <x v="3"/>
    <x v="1"/>
    <s v="Third"/>
    <n v="2712"/>
    <s v="141.2"/>
    <s v="6.28"/>
    <n v="6"/>
    <s v="39836.42"/>
    <s v="2015"/>
    <s v="100k-150k"/>
    <x v="0"/>
    <s v="Auto"/>
    <s v=""/>
    <s v="Ford"/>
    <n v="39836.42"/>
  </r>
  <r>
    <n v="295"/>
    <x v="8"/>
    <x v="2"/>
    <n v="94570"/>
    <x v="3"/>
    <x v="0"/>
    <s v="First"/>
    <n v="2092"/>
    <s v="570.7"/>
    <s v="17.41"/>
    <n v="4"/>
    <s v="16666.08"/>
    <s v="2012"/>
    <s v="50k-100k"/>
    <x v="0"/>
    <s v="Manual"/>
    <s v=""/>
    <s v="Toyota"/>
    <n v="16666.080000000002"/>
  </r>
  <r>
    <n v="296"/>
    <x v="8"/>
    <x v="4"/>
    <n v="106015"/>
    <x v="3"/>
    <x v="1"/>
    <s v="Second"/>
    <n v="1400"/>
    <s v="162.5"/>
    <s v="8.08"/>
    <n v="4"/>
    <s v="34959.68"/>
    <s v="2016"/>
    <s v="100k-150k"/>
    <x v="0"/>
    <s v="Auto"/>
    <s v=""/>
    <s v="Toyota"/>
    <n v="34959.68"/>
  </r>
  <r>
    <n v="297"/>
    <x v="3"/>
    <x v="17"/>
    <n v="88588"/>
    <x v="3"/>
    <x v="0"/>
    <s v="Third"/>
    <n v="1180"/>
    <s v="222.7"/>
    <s v="15.02"/>
    <n v="4"/>
    <s v="27513.75"/>
    <s v="2011"/>
    <s v="50k-100k"/>
    <x v="0"/>
    <s v="Manual"/>
    <s v=""/>
    <s v="Mercedes"/>
    <n v="27513.75"/>
  </r>
  <r>
    <n v="298"/>
    <x v="6"/>
    <x v="1"/>
    <n v="152603"/>
    <x v="0"/>
    <x v="0"/>
    <s v="Third"/>
    <n v="4437"/>
    <s v="463.5"/>
    <s v="13.77"/>
    <n v="6"/>
    <s v="56273.46"/>
    <s v="2019"/>
    <s v="150k+"/>
    <x v="0"/>
    <s v="Manual"/>
    <s v=""/>
    <s v="Hyundai"/>
    <n v="56273.46"/>
  </r>
  <r>
    <n v="299"/>
    <x v="5"/>
    <x v="9"/>
    <n v="93340"/>
    <x v="3"/>
    <x v="0"/>
    <s v="Second"/>
    <n v="2963"/>
    <s v="260.5"/>
    <s v="24.32"/>
    <n v="7"/>
    <s v="109287.19"/>
    <s v="2021"/>
    <s v="50k-100k"/>
    <x v="0"/>
    <s v="Manual"/>
    <s v=""/>
    <s v="Ford"/>
    <n v="109287.19"/>
  </r>
  <r>
    <n v="300"/>
    <x v="9"/>
    <x v="5"/>
    <n v="99439"/>
    <x v="2"/>
    <x v="0"/>
    <s v="Second"/>
    <n v="1898"/>
    <s v="380.6"/>
    <s v="25.08"/>
    <n v="5"/>
    <s v="15224.2"/>
    <s v="2008"/>
    <s v="50k-100k"/>
    <x v="0"/>
    <s v="Manual"/>
    <s v=""/>
    <s v="Nissan"/>
    <n v="15224.2"/>
  </r>
  <r>
    <n v="301"/>
    <x v="3"/>
    <x v="19"/>
    <n v="180929"/>
    <x v="2"/>
    <x v="1"/>
    <s v="Third"/>
    <n v="1165"/>
    <s v="289.0"/>
    <s v="8.84"/>
    <n v="2"/>
    <s v="87271.35"/>
    <s v="2017"/>
    <s v="150k+"/>
    <x v="0"/>
    <s v="Auto"/>
    <s v=""/>
    <s v="Mercedes"/>
    <n v="87271.35"/>
  </r>
  <r>
    <n v="302"/>
    <x v="2"/>
    <x v="18"/>
    <n v="146214"/>
    <x v="0"/>
    <x v="1"/>
    <s v="Third"/>
    <n v="3370"/>
    <s v="455.7"/>
    <s v="14.16"/>
    <n v="5"/>
    <s v="83412.11"/>
    <s v="2022"/>
    <s v="100k-150k"/>
    <x v="0"/>
    <s v="Auto"/>
    <s v=""/>
    <s v="Kia"/>
    <n v="83412.11"/>
  </r>
  <r>
    <n v="303"/>
    <x v="8"/>
    <x v="0"/>
    <n v="120053"/>
    <x v="1"/>
    <x v="1"/>
    <s v="First"/>
    <n v="4219"/>
    <s v="167.9"/>
    <s v="14.33"/>
    <n v="7"/>
    <s v="14203.24"/>
    <s v="2005"/>
    <s v="100k-150k"/>
    <x v="0"/>
    <s v="Auto"/>
    <s v=""/>
    <s v="Toyota"/>
    <n v="14203.24"/>
  </r>
  <r>
    <n v="304"/>
    <x v="3"/>
    <x v="6"/>
    <n v="53355"/>
    <x v="2"/>
    <x v="0"/>
    <s v="First"/>
    <n v="3276"/>
    <s v="72.7"/>
    <s v="8.79"/>
    <n v="5"/>
    <s v="110940.97"/>
    <s v="2020"/>
    <s v="50k-100k"/>
    <x v="0"/>
    <s v="Manual"/>
    <s v=""/>
    <s v="Mercedes"/>
    <n v="110940.97"/>
  </r>
  <r>
    <n v="305"/>
    <x v="5"/>
    <x v="19"/>
    <n v="145938"/>
    <x v="1"/>
    <x v="0"/>
    <s v="Third"/>
    <n v="1590"/>
    <s v="208.0"/>
    <s v="24.96"/>
    <n v="6"/>
    <s v="69511.25"/>
    <s v="2017"/>
    <s v="100k-150k"/>
    <x v="0"/>
    <s v="Manual"/>
    <s v=""/>
    <s v="Ford"/>
    <n v="69511.25"/>
  </r>
  <r>
    <n v="306"/>
    <x v="8"/>
    <x v="8"/>
    <n v="130426"/>
    <x v="0"/>
    <x v="1"/>
    <s v="First"/>
    <n v="4369"/>
    <s v="305.6"/>
    <s v="22.68"/>
    <n v="4"/>
    <s v="45555.89"/>
    <s v="2014"/>
    <s v="100k-150k"/>
    <x v="0"/>
    <s v="Auto"/>
    <s v=""/>
    <s v="Toyota"/>
    <n v="45555.89"/>
  </r>
  <r>
    <n v="307"/>
    <x v="1"/>
    <x v="4"/>
    <n v="69027"/>
    <x v="1"/>
    <x v="1"/>
    <s v="Third"/>
    <n v="1546"/>
    <s v="134.1"/>
    <s v="9.76"/>
    <n v="7"/>
    <s v="91515.01"/>
    <s v="2016"/>
    <s v="50k-100k"/>
    <x v="0"/>
    <s v="Auto"/>
    <s v=""/>
    <s v="BMW"/>
    <n v="91515.01"/>
  </r>
  <r>
    <n v="308"/>
    <x v="3"/>
    <x v="16"/>
    <n v="193978"/>
    <x v="1"/>
    <x v="0"/>
    <s v="Third"/>
    <n v="1112"/>
    <s v="238.7"/>
    <s v="14.17"/>
    <n v="7"/>
    <s v="33111.76"/>
    <s v="2006"/>
    <s v="150k+"/>
    <x v="0"/>
    <s v="Manual"/>
    <s v=""/>
    <s v="Mercedes"/>
    <n v="33111.760000000002"/>
  </r>
  <r>
    <n v="309"/>
    <x v="0"/>
    <x v="14"/>
    <n v="164210"/>
    <x v="1"/>
    <x v="0"/>
    <s v="First"/>
    <n v="1720"/>
    <s v="264.0"/>
    <s v="7.65"/>
    <n v="5"/>
    <s v="84140.65"/>
    <s v="2007"/>
    <s v="150k+"/>
    <x v="0"/>
    <s v="Manual"/>
    <s v=""/>
    <s v="Audi"/>
    <n v="84140.65"/>
  </r>
  <r>
    <n v="310"/>
    <x v="8"/>
    <x v="8"/>
    <n v="97601"/>
    <x v="1"/>
    <x v="1"/>
    <s v="First"/>
    <n v="1877"/>
    <s v="72.1"/>
    <s v="20.71"/>
    <n v="6"/>
    <s v="7646.21"/>
    <s v="2014"/>
    <s v="50k-100k"/>
    <x v="0"/>
    <s v="Auto"/>
    <s v=""/>
    <s v="Toyota"/>
    <n v="7646.21"/>
  </r>
  <r>
    <n v="311"/>
    <x v="5"/>
    <x v="16"/>
    <n v="34956"/>
    <x v="0"/>
    <x v="0"/>
    <s v="Second"/>
    <n v="3629"/>
    <s v="366.7"/>
    <s v="8.03"/>
    <n v="5"/>
    <s v="101210.74"/>
    <s v="2006"/>
    <s v="&lt;50k"/>
    <x v="0"/>
    <s v="Manual"/>
    <s v=""/>
    <s v="Ford"/>
    <n v="101210.74"/>
  </r>
  <r>
    <n v="312"/>
    <x v="7"/>
    <x v="19"/>
    <n v="109797"/>
    <x v="2"/>
    <x v="0"/>
    <s v="Second"/>
    <n v="3181"/>
    <s v="535.2"/>
    <s v="29.65"/>
    <n v="5"/>
    <s v="55435.99"/>
    <s v="2017"/>
    <s v="100k-150k"/>
    <x v="0"/>
    <s v="Manual"/>
    <s v=""/>
    <s v="Honda"/>
    <n v="55435.99"/>
  </r>
  <r>
    <n v="313"/>
    <x v="9"/>
    <x v="19"/>
    <n v="129917"/>
    <x v="3"/>
    <x v="1"/>
    <s v="Second"/>
    <n v="4418"/>
    <s v="125.0"/>
    <s v="24.52"/>
    <n v="7"/>
    <s v="77493.07"/>
    <s v="2017"/>
    <s v="100k-150k"/>
    <x v="0"/>
    <s v="Auto"/>
    <s v=""/>
    <s v="Nissan"/>
    <n v="77493.070000000007"/>
  </r>
  <r>
    <n v="314"/>
    <x v="4"/>
    <x v="18"/>
    <n v="131303"/>
    <x v="1"/>
    <x v="0"/>
    <s v="Third"/>
    <n v="1597"/>
    <s v="374.8"/>
    <s v="14.76"/>
    <n v="5"/>
    <s v="28884.82"/>
    <s v="2022"/>
    <s v="100k-150k"/>
    <x v="0"/>
    <s v="Manual"/>
    <s v=""/>
    <s v="Volkswagen"/>
    <n v="28884.82"/>
  </r>
  <r>
    <n v="315"/>
    <x v="6"/>
    <x v="14"/>
    <n v="141511"/>
    <x v="2"/>
    <x v="1"/>
    <s v="First"/>
    <n v="1072"/>
    <s v="412.3"/>
    <s v="19.46"/>
    <n v="4"/>
    <s v="82217.62"/>
    <s v="2007"/>
    <s v="100k-150k"/>
    <x v="0"/>
    <s v="Auto"/>
    <s v=""/>
    <s v="Hyundai"/>
    <n v="82217.62"/>
  </r>
  <r>
    <n v="316"/>
    <x v="4"/>
    <x v="17"/>
    <n v="183313"/>
    <x v="2"/>
    <x v="0"/>
    <s v="Third"/>
    <n v="3810"/>
    <s v="274.8"/>
    <s v="27.78"/>
    <n v="5"/>
    <s v="93352.11"/>
    <s v="2011"/>
    <s v="150k+"/>
    <x v="0"/>
    <s v="Manual"/>
    <s v=""/>
    <s v="Volkswagen"/>
    <n v="93352.11"/>
  </r>
  <r>
    <n v="317"/>
    <x v="5"/>
    <x v="12"/>
    <n v="47533"/>
    <x v="0"/>
    <x v="1"/>
    <s v="First"/>
    <n v="2573"/>
    <s v="432.6"/>
    <s v="18.85"/>
    <n v="4"/>
    <s v="58365.94"/>
    <s v="2018"/>
    <s v="&lt;50k"/>
    <x v="0"/>
    <s v="Auto"/>
    <s v=""/>
    <s v="Ford"/>
    <n v="58365.94"/>
  </r>
  <r>
    <n v="318"/>
    <x v="2"/>
    <x v="13"/>
    <n v="164342"/>
    <x v="2"/>
    <x v="0"/>
    <s v="Third"/>
    <n v="3347"/>
    <s v="270.0"/>
    <s v="9.36"/>
    <n v="7"/>
    <s v="75274.05"/>
    <s v="2024"/>
    <s v="150k+"/>
    <x v="0"/>
    <s v="Manual"/>
    <s v=""/>
    <s v="Kia"/>
    <n v="75274.05"/>
  </r>
  <r>
    <n v="319"/>
    <x v="2"/>
    <x v="9"/>
    <n v="83815"/>
    <x v="0"/>
    <x v="1"/>
    <s v="Second"/>
    <n v="3964"/>
    <s v="322.6"/>
    <s v="14.47"/>
    <n v="6"/>
    <s v="56390.13"/>
    <s v="2021"/>
    <s v="50k-100k"/>
    <x v="0"/>
    <s v="Auto"/>
    <s v=""/>
    <s v="Kia"/>
    <n v="56390.13"/>
  </r>
  <r>
    <n v="320"/>
    <x v="7"/>
    <x v="4"/>
    <n v="44279"/>
    <x v="1"/>
    <x v="1"/>
    <s v="Second"/>
    <n v="1746"/>
    <s v="44.1"/>
    <s v="26.08"/>
    <n v="4"/>
    <s v="107608.69"/>
    <s v="2016"/>
    <s v="&lt;50k"/>
    <x v="0"/>
    <s v="Auto"/>
    <s v=""/>
    <s v="Honda"/>
    <n v="107608.69"/>
  </r>
  <r>
    <n v="321"/>
    <x v="6"/>
    <x v="6"/>
    <n v="114787"/>
    <x v="1"/>
    <x v="1"/>
    <s v="Second"/>
    <n v="3465"/>
    <s v="427.4"/>
    <s v="21.11"/>
    <n v="6"/>
    <s v="61250.69"/>
    <s v="2020"/>
    <s v="100k-150k"/>
    <x v="0"/>
    <s v="Auto"/>
    <s v=""/>
    <s v="Hyundai"/>
    <n v="61250.69"/>
  </r>
  <r>
    <n v="322"/>
    <x v="0"/>
    <x v="4"/>
    <n v="159960"/>
    <x v="3"/>
    <x v="1"/>
    <s v="Third"/>
    <n v="1306"/>
    <s v="410.4"/>
    <s v="21.27"/>
    <n v="6"/>
    <s v="101491.62"/>
    <s v="2016"/>
    <s v="150k+"/>
    <x v="0"/>
    <s v="Auto"/>
    <s v=""/>
    <s v="Audi"/>
    <n v="101491.62"/>
  </r>
  <r>
    <n v="323"/>
    <x v="7"/>
    <x v="1"/>
    <n v="153702"/>
    <x v="3"/>
    <x v="0"/>
    <s v="First"/>
    <n v="1043"/>
    <s v="61.5"/>
    <s v="26.67"/>
    <n v="4"/>
    <s v="96758.19"/>
    <s v="2019"/>
    <s v="150k+"/>
    <x v="0"/>
    <s v="Manual"/>
    <s v=""/>
    <s v="Honda"/>
    <n v="96758.19"/>
  </r>
  <r>
    <n v="324"/>
    <x v="4"/>
    <x v="8"/>
    <n v="66063"/>
    <x v="3"/>
    <x v="0"/>
    <s v="First"/>
    <n v="1305"/>
    <s v="246.2"/>
    <s v="27.35"/>
    <n v="7"/>
    <s v="51029.06"/>
    <s v="2014"/>
    <s v="50k-100k"/>
    <x v="0"/>
    <s v="Manual"/>
    <s v=""/>
    <s v="Volkswagen"/>
    <n v="51029.06"/>
  </r>
  <r>
    <n v="325"/>
    <x v="7"/>
    <x v="17"/>
    <n v="132896"/>
    <x v="2"/>
    <x v="1"/>
    <s v="Second"/>
    <n v="3958"/>
    <s v="588.3"/>
    <s v="27.99"/>
    <n v="2"/>
    <s v="29919.89"/>
    <s v="2011"/>
    <s v="100k-150k"/>
    <x v="0"/>
    <s v="Auto"/>
    <s v=""/>
    <s v="Honda"/>
    <n v="29919.89"/>
  </r>
  <r>
    <n v="326"/>
    <x v="4"/>
    <x v="13"/>
    <n v="171216"/>
    <x v="1"/>
    <x v="0"/>
    <s v="Second"/>
    <n v="4390"/>
    <s v="275.6"/>
    <s v="7.37"/>
    <n v="6"/>
    <s v="50511.61"/>
    <s v="2024"/>
    <s v="150k+"/>
    <x v="0"/>
    <s v="Manual"/>
    <s v=""/>
    <s v="Volkswagen"/>
    <n v="50511.61"/>
  </r>
  <r>
    <n v="327"/>
    <x v="8"/>
    <x v="7"/>
    <n v="188233"/>
    <x v="0"/>
    <x v="0"/>
    <s v="Second"/>
    <n v="2672"/>
    <s v="321.1"/>
    <s v="18.6"/>
    <n v="6"/>
    <s v="99667.43"/>
    <s v="2009"/>
    <s v="150k+"/>
    <x v="0"/>
    <s v="Manual"/>
    <s v=""/>
    <s v="Toyota"/>
    <n v="99667.43"/>
  </r>
  <r>
    <n v="328"/>
    <x v="2"/>
    <x v="0"/>
    <n v="187051"/>
    <x v="3"/>
    <x v="0"/>
    <s v="Second"/>
    <n v="4593"/>
    <s v="549.6"/>
    <s v="23.51"/>
    <n v="7"/>
    <s v="29633.01"/>
    <s v="2005"/>
    <s v="150k+"/>
    <x v="0"/>
    <s v="Manual"/>
    <s v=""/>
    <s v="Kia"/>
    <n v="29633.01"/>
  </r>
  <r>
    <n v="329"/>
    <x v="8"/>
    <x v="9"/>
    <n v="102661"/>
    <x v="0"/>
    <x v="0"/>
    <s v="First"/>
    <n v="1992"/>
    <s v="441.7"/>
    <s v="23.92"/>
    <n v="7"/>
    <s v="64359.05"/>
    <s v="2021"/>
    <s v="100k-150k"/>
    <x v="0"/>
    <s v="Manual"/>
    <s v=""/>
    <s v="Toyota"/>
    <n v="64359.05"/>
  </r>
  <r>
    <n v="330"/>
    <x v="9"/>
    <x v="14"/>
    <n v="143051"/>
    <x v="0"/>
    <x v="0"/>
    <s v="Third"/>
    <n v="2264"/>
    <s v="366.0"/>
    <s v="20.17"/>
    <n v="5"/>
    <s v="97313.32"/>
    <s v="2007"/>
    <s v="100k-150k"/>
    <x v="0"/>
    <s v="Manual"/>
    <s v=""/>
    <s v="Nissan"/>
    <n v="97313.32"/>
  </r>
  <r>
    <n v="331"/>
    <x v="6"/>
    <x v="19"/>
    <n v="162261"/>
    <x v="3"/>
    <x v="1"/>
    <s v="Third"/>
    <n v="1190"/>
    <s v="486.8"/>
    <s v="9.17"/>
    <n v="7"/>
    <s v="44356.86"/>
    <s v="2017"/>
    <s v="150k+"/>
    <x v="0"/>
    <s v="Auto"/>
    <s v=""/>
    <s v="Hyundai"/>
    <n v="44356.86"/>
  </r>
  <r>
    <n v="332"/>
    <x v="0"/>
    <x v="12"/>
    <n v="178672"/>
    <x v="1"/>
    <x v="1"/>
    <s v="Third"/>
    <n v="4177"/>
    <s v="524.0"/>
    <s v="24.94"/>
    <n v="6"/>
    <s v="78138.53"/>
    <s v="2018"/>
    <s v="150k+"/>
    <x v="0"/>
    <s v="Auto"/>
    <s v=""/>
    <s v="Audi"/>
    <n v="78138.53"/>
  </r>
  <r>
    <n v="333"/>
    <x v="4"/>
    <x v="18"/>
    <n v="195632"/>
    <x v="3"/>
    <x v="1"/>
    <s v="Third"/>
    <n v="1472"/>
    <s v="295.9"/>
    <s v="23.0"/>
    <n v="4"/>
    <s v="31738.89"/>
    <s v="2022"/>
    <s v="150k+"/>
    <x v="0"/>
    <s v="Auto"/>
    <s v=""/>
    <s v="Volkswagen"/>
    <n v="31738.89"/>
  </r>
  <r>
    <n v="334"/>
    <x v="0"/>
    <x v="5"/>
    <n v="128257"/>
    <x v="0"/>
    <x v="1"/>
    <s v="Second"/>
    <n v="3360"/>
    <s v="306.1"/>
    <s v="7.15"/>
    <n v="2"/>
    <s v="15785.7"/>
    <s v="2008"/>
    <s v="100k-150k"/>
    <x v="0"/>
    <s v="Auto"/>
    <s v=""/>
    <s v="Audi"/>
    <n v="15785.7"/>
  </r>
  <r>
    <n v="335"/>
    <x v="4"/>
    <x v="18"/>
    <n v="197630"/>
    <x v="3"/>
    <x v="0"/>
    <s v="Second"/>
    <n v="2011"/>
    <s v="256.2"/>
    <s v="16.6"/>
    <n v="5"/>
    <s v="95942.95"/>
    <s v="2022"/>
    <s v="150k+"/>
    <x v="0"/>
    <s v="Manual"/>
    <s v=""/>
    <s v="Volkswagen"/>
    <n v="95942.95"/>
  </r>
  <r>
    <n v="336"/>
    <x v="5"/>
    <x v="7"/>
    <n v="91205"/>
    <x v="0"/>
    <x v="0"/>
    <s v="Second"/>
    <n v="1729"/>
    <s v="581.4"/>
    <s v="9.35"/>
    <n v="4"/>
    <s v="14579.33"/>
    <s v="2009"/>
    <s v="50k-100k"/>
    <x v="0"/>
    <s v="Manual"/>
    <s v=""/>
    <s v="Ford"/>
    <n v="14579.33"/>
  </r>
  <r>
    <n v="337"/>
    <x v="7"/>
    <x v="6"/>
    <n v="11910"/>
    <x v="0"/>
    <x v="1"/>
    <s v="Third"/>
    <n v="2339"/>
    <s v="430.4"/>
    <s v="13.44"/>
    <n v="2"/>
    <s v="34751.62"/>
    <s v="2020"/>
    <s v="&lt;50k"/>
    <x v="0"/>
    <s v="Auto"/>
    <s v=""/>
    <s v="Honda"/>
    <n v="34751.620000000003"/>
  </r>
  <r>
    <n v="338"/>
    <x v="9"/>
    <x v="0"/>
    <n v="193785"/>
    <x v="3"/>
    <x v="0"/>
    <s v="Second"/>
    <n v="1712"/>
    <s v="86.6"/>
    <s v="5.45"/>
    <n v="2"/>
    <s v="103047.8"/>
    <s v="2005"/>
    <s v="150k+"/>
    <x v="0"/>
    <s v="Manual"/>
    <s v=""/>
    <s v="Nissan"/>
    <n v="103047.8"/>
  </r>
  <r>
    <n v="339"/>
    <x v="2"/>
    <x v="12"/>
    <n v="51857"/>
    <x v="2"/>
    <x v="0"/>
    <s v="Second"/>
    <n v="1443"/>
    <s v="523.3"/>
    <s v="15.01"/>
    <n v="2"/>
    <s v="43536.91"/>
    <s v="2018"/>
    <s v="50k-100k"/>
    <x v="0"/>
    <s v="Manual"/>
    <s v=""/>
    <s v="Kia"/>
    <n v="43536.91"/>
  </r>
  <r>
    <n v="340"/>
    <x v="4"/>
    <x v="1"/>
    <n v="39964"/>
    <x v="3"/>
    <x v="1"/>
    <s v="First"/>
    <n v="1301"/>
    <s v="309.1"/>
    <s v="18.75"/>
    <n v="4"/>
    <s v="116846.31"/>
    <s v="2019"/>
    <s v="&lt;50k"/>
    <x v="0"/>
    <s v="Auto"/>
    <s v=""/>
    <s v="Volkswagen"/>
    <n v="116846.31"/>
  </r>
  <r>
    <n v="341"/>
    <x v="0"/>
    <x v="10"/>
    <n v="161299"/>
    <x v="2"/>
    <x v="0"/>
    <s v="First"/>
    <n v="1529"/>
    <s v="78.5"/>
    <s v="20.49"/>
    <n v="5"/>
    <s v="117628.92"/>
    <s v="2013"/>
    <s v="150k+"/>
    <x v="0"/>
    <s v="Manual"/>
    <s v=""/>
    <s v="Audi"/>
    <n v="117628.92"/>
  </r>
  <r>
    <n v="342"/>
    <x v="9"/>
    <x v="1"/>
    <n v="142050"/>
    <x v="0"/>
    <x v="1"/>
    <s v="Second"/>
    <n v="2083"/>
    <s v="347.8"/>
    <s v="21.59"/>
    <n v="5"/>
    <s v="34388.29"/>
    <s v="2019"/>
    <s v="100k-150k"/>
    <x v="0"/>
    <s v="Auto"/>
    <s v=""/>
    <s v="Nissan"/>
    <n v="34388.29"/>
  </r>
  <r>
    <n v="343"/>
    <x v="1"/>
    <x v="9"/>
    <n v="22153"/>
    <x v="0"/>
    <x v="1"/>
    <s v="First"/>
    <n v="2918"/>
    <s v="273.6"/>
    <s v="25.91"/>
    <n v="2"/>
    <s v="7794.45"/>
    <s v="2021"/>
    <s v="&lt;50k"/>
    <x v="0"/>
    <s v="Auto"/>
    <s v=""/>
    <s v="BMW"/>
    <n v="7794.45"/>
  </r>
  <r>
    <n v="344"/>
    <x v="1"/>
    <x v="5"/>
    <n v="64765"/>
    <x v="2"/>
    <x v="0"/>
    <s v="First"/>
    <n v="4636"/>
    <s v="531.5"/>
    <s v="10.39"/>
    <n v="4"/>
    <s v="85492.4"/>
    <s v="2008"/>
    <s v="50k-100k"/>
    <x v="0"/>
    <s v="Manual"/>
    <s v=""/>
    <s v="BMW"/>
    <n v="85492.4"/>
  </r>
  <r>
    <n v="345"/>
    <x v="8"/>
    <x v="4"/>
    <n v="113212"/>
    <x v="0"/>
    <x v="0"/>
    <s v="Second"/>
    <n v="1719"/>
    <s v="154.2"/>
    <s v="8.01"/>
    <n v="2"/>
    <s v="55765.42"/>
    <s v="2016"/>
    <s v="100k-150k"/>
    <x v="0"/>
    <s v="Manual"/>
    <s v=""/>
    <s v="Toyota"/>
    <n v="55765.42"/>
  </r>
  <r>
    <n v="346"/>
    <x v="2"/>
    <x v="7"/>
    <n v="44071"/>
    <x v="2"/>
    <x v="1"/>
    <s v="Second"/>
    <n v="4850"/>
    <s v="502.8"/>
    <s v="26.29"/>
    <n v="7"/>
    <s v="14788.08"/>
    <s v="2009"/>
    <s v="&lt;50k"/>
    <x v="0"/>
    <s v="Auto"/>
    <s v=""/>
    <s v="Kia"/>
    <n v="14788.08"/>
  </r>
  <r>
    <n v="347"/>
    <x v="5"/>
    <x v="7"/>
    <n v="117990"/>
    <x v="2"/>
    <x v="1"/>
    <s v="Second"/>
    <n v="3139"/>
    <s v="352.3"/>
    <s v="8.92"/>
    <n v="5"/>
    <s v="85780.17"/>
    <s v="2009"/>
    <s v="100k-150k"/>
    <x v="0"/>
    <s v="Auto"/>
    <s v=""/>
    <s v="Ford"/>
    <n v="85780.17"/>
  </r>
  <r>
    <n v="348"/>
    <x v="0"/>
    <x v="3"/>
    <n v="74519"/>
    <x v="0"/>
    <x v="0"/>
    <s v="Second"/>
    <n v="1555"/>
    <s v="70.6"/>
    <s v="29.37"/>
    <n v="6"/>
    <s v="6647.46"/>
    <s v="2015"/>
    <s v="50k-100k"/>
    <x v="0"/>
    <s v="Manual"/>
    <s v=""/>
    <s v="Audi"/>
    <n v="6647.46"/>
  </r>
  <r>
    <n v="349"/>
    <x v="7"/>
    <x v="15"/>
    <n v="14503"/>
    <x v="1"/>
    <x v="1"/>
    <s v="Third"/>
    <n v="2669"/>
    <s v="584.2"/>
    <s v="26.06"/>
    <n v="2"/>
    <s v="104813.01"/>
    <s v="2010"/>
    <s v="&lt;50k"/>
    <x v="0"/>
    <s v="Auto"/>
    <s v=""/>
    <s v="Honda"/>
    <n v="104813.01"/>
  </r>
  <r>
    <n v="350"/>
    <x v="7"/>
    <x v="17"/>
    <n v="196775"/>
    <x v="2"/>
    <x v="1"/>
    <s v="Third"/>
    <n v="1307"/>
    <s v="327.1"/>
    <s v="17.52"/>
    <n v="7"/>
    <s v="19222.35"/>
    <s v="2011"/>
    <s v="150k+"/>
    <x v="0"/>
    <s v="Auto"/>
    <s v=""/>
    <s v="Honda"/>
    <n v="19222.349999999999"/>
  </r>
  <r>
    <n v="351"/>
    <x v="0"/>
    <x v="12"/>
    <n v="100457"/>
    <x v="3"/>
    <x v="1"/>
    <s v="Second"/>
    <n v="2236"/>
    <s v="202.9"/>
    <s v="29.54"/>
    <n v="5"/>
    <s v="17895.49"/>
    <s v="2018"/>
    <s v="100k-150k"/>
    <x v="0"/>
    <s v="Auto"/>
    <s v=""/>
    <s v="Audi"/>
    <n v="17895.490000000002"/>
  </r>
  <r>
    <n v="352"/>
    <x v="6"/>
    <x v="3"/>
    <n v="193938"/>
    <x v="3"/>
    <x v="0"/>
    <s v="First"/>
    <n v="3375"/>
    <s v="302.9"/>
    <s v="7.43"/>
    <n v="4"/>
    <s v="23553.66"/>
    <s v="2015"/>
    <s v="150k+"/>
    <x v="0"/>
    <s v="Manual"/>
    <s v=""/>
    <s v="Hyundai"/>
    <n v="23553.66"/>
  </r>
  <r>
    <n v="353"/>
    <x v="5"/>
    <x v="19"/>
    <n v="152977"/>
    <x v="0"/>
    <x v="1"/>
    <s v="Second"/>
    <n v="4226"/>
    <s v="520.4"/>
    <s v="12.58"/>
    <n v="5"/>
    <s v="115351.16"/>
    <s v="2017"/>
    <s v="150k+"/>
    <x v="0"/>
    <s v="Auto"/>
    <s v=""/>
    <s v="Ford"/>
    <n v="115351.16"/>
  </r>
  <r>
    <n v="354"/>
    <x v="9"/>
    <x v="16"/>
    <n v="50838"/>
    <x v="1"/>
    <x v="0"/>
    <s v="Second"/>
    <n v="1358"/>
    <s v="210.7"/>
    <s v="20.96"/>
    <n v="4"/>
    <s v="84100.82"/>
    <s v="2006"/>
    <s v="50k-100k"/>
    <x v="0"/>
    <s v="Manual"/>
    <s v=""/>
    <s v="Nissan"/>
    <n v="84100.82"/>
  </r>
  <r>
    <n v="355"/>
    <x v="4"/>
    <x v="17"/>
    <n v="130200"/>
    <x v="0"/>
    <x v="1"/>
    <s v="First"/>
    <n v="3902"/>
    <s v="147.9"/>
    <s v="13.75"/>
    <n v="4"/>
    <s v="96760.47"/>
    <s v="2011"/>
    <s v="100k-150k"/>
    <x v="0"/>
    <s v="Auto"/>
    <s v=""/>
    <s v="Volkswagen"/>
    <n v="96760.47"/>
  </r>
  <r>
    <n v="356"/>
    <x v="6"/>
    <x v="13"/>
    <n v="194351"/>
    <x v="1"/>
    <x v="0"/>
    <s v="Third"/>
    <n v="4422"/>
    <s v="112.3"/>
    <s v="28.21"/>
    <n v="2"/>
    <s v="49523.29"/>
    <s v="2024"/>
    <s v="150k+"/>
    <x v="0"/>
    <s v="Manual"/>
    <s v=""/>
    <s v="Hyundai"/>
    <n v="49523.29"/>
  </r>
  <r>
    <n v="357"/>
    <x v="4"/>
    <x v="5"/>
    <n v="94489"/>
    <x v="2"/>
    <x v="1"/>
    <s v="Second"/>
    <n v="4857"/>
    <s v="206.8"/>
    <s v="6.64"/>
    <n v="2"/>
    <s v="42348.59"/>
    <s v="2008"/>
    <s v="50k-100k"/>
    <x v="0"/>
    <s v="Auto"/>
    <s v=""/>
    <s v="Volkswagen"/>
    <n v="42348.59"/>
  </r>
  <r>
    <n v="358"/>
    <x v="4"/>
    <x v="2"/>
    <n v="31806"/>
    <x v="2"/>
    <x v="0"/>
    <s v="Second"/>
    <n v="4515"/>
    <s v="476.8"/>
    <s v="18.74"/>
    <n v="5"/>
    <s v="30434.63"/>
    <s v="2012"/>
    <s v="&lt;50k"/>
    <x v="0"/>
    <s v="Manual"/>
    <s v=""/>
    <s v="Volkswagen"/>
    <n v="30434.63"/>
  </r>
  <r>
    <n v="359"/>
    <x v="6"/>
    <x v="13"/>
    <n v="181072"/>
    <x v="2"/>
    <x v="0"/>
    <s v="Third"/>
    <n v="2101"/>
    <s v="304.1"/>
    <s v="19.77"/>
    <n v="7"/>
    <s v="59235.82"/>
    <s v="2024"/>
    <s v="150k+"/>
    <x v="0"/>
    <s v="Manual"/>
    <s v=""/>
    <s v="Hyundai"/>
    <n v="59235.82"/>
  </r>
  <r>
    <n v="360"/>
    <x v="8"/>
    <x v="11"/>
    <n v="158240"/>
    <x v="2"/>
    <x v="0"/>
    <s v="Third"/>
    <n v="2955"/>
    <s v="167.4"/>
    <s v="21.32"/>
    <n v="5"/>
    <s v="67563.96"/>
    <s v="2023"/>
    <s v="150k+"/>
    <x v="0"/>
    <s v="Manual"/>
    <s v=""/>
    <s v="Toyota"/>
    <n v="67563.960000000006"/>
  </r>
  <r>
    <n v="361"/>
    <x v="1"/>
    <x v="19"/>
    <n v="75119"/>
    <x v="3"/>
    <x v="1"/>
    <s v="First"/>
    <n v="1492"/>
    <s v="133.1"/>
    <s v="11.39"/>
    <n v="6"/>
    <s v="76917.66"/>
    <s v="2017"/>
    <s v="50k-100k"/>
    <x v="0"/>
    <s v="Auto"/>
    <s v=""/>
    <s v="BMW"/>
    <n v="76917.66"/>
  </r>
  <r>
    <n v="362"/>
    <x v="4"/>
    <x v="12"/>
    <n v="43714"/>
    <x v="3"/>
    <x v="1"/>
    <s v="Third"/>
    <n v="2278"/>
    <s v="226.3"/>
    <s v="14.11"/>
    <n v="4"/>
    <s v="33082.86"/>
    <s v="2018"/>
    <s v="&lt;50k"/>
    <x v="0"/>
    <s v="Auto"/>
    <s v=""/>
    <s v="Volkswagen"/>
    <n v="33082.86"/>
  </r>
  <r>
    <n v="363"/>
    <x v="6"/>
    <x v="8"/>
    <n v="190165"/>
    <x v="0"/>
    <x v="1"/>
    <s v="Third"/>
    <n v="1056"/>
    <s v="566.4"/>
    <s v="26.09"/>
    <n v="4"/>
    <s v="113992.53"/>
    <s v="2014"/>
    <s v="150k+"/>
    <x v="0"/>
    <s v="Auto"/>
    <s v=""/>
    <s v="Hyundai"/>
    <n v="113992.53"/>
  </r>
  <r>
    <n v="364"/>
    <x v="6"/>
    <x v="3"/>
    <n v="60419"/>
    <x v="1"/>
    <x v="0"/>
    <s v="Third"/>
    <n v="3230"/>
    <s v="232.1"/>
    <s v="9.87"/>
    <n v="2"/>
    <s v="22861.74"/>
    <s v="2015"/>
    <s v="50k-100k"/>
    <x v="0"/>
    <s v="Manual"/>
    <s v=""/>
    <s v="Hyundai"/>
    <n v="22861.74"/>
  </r>
  <r>
    <n v="365"/>
    <x v="3"/>
    <x v="16"/>
    <n v="185217"/>
    <x v="2"/>
    <x v="1"/>
    <s v="First"/>
    <n v="1241"/>
    <s v="593.3"/>
    <s v="25.67"/>
    <n v="7"/>
    <s v="115981.42"/>
    <s v="2006"/>
    <s v="150k+"/>
    <x v="0"/>
    <s v="Auto"/>
    <s v=""/>
    <s v="Mercedes"/>
    <n v="115981.42"/>
  </r>
  <r>
    <n v="366"/>
    <x v="8"/>
    <x v="10"/>
    <n v="110432"/>
    <x v="2"/>
    <x v="0"/>
    <s v="Third"/>
    <n v="2681"/>
    <s v="311.7"/>
    <s v="19.07"/>
    <n v="2"/>
    <s v="4738.17"/>
    <s v="2013"/>
    <s v="100k-150k"/>
    <x v="0"/>
    <s v="Manual"/>
    <s v=""/>
    <s v="Toyota"/>
    <n v="4738.17"/>
  </r>
  <r>
    <n v="367"/>
    <x v="2"/>
    <x v="9"/>
    <n v="97949"/>
    <x v="1"/>
    <x v="1"/>
    <s v="Third"/>
    <n v="3446"/>
    <s v="140.3"/>
    <s v="24.05"/>
    <n v="6"/>
    <s v="59291.71"/>
    <s v="2021"/>
    <s v="50k-100k"/>
    <x v="0"/>
    <s v="Auto"/>
    <s v=""/>
    <s v="Kia"/>
    <n v="59291.71"/>
  </r>
  <r>
    <n v="368"/>
    <x v="3"/>
    <x v="14"/>
    <n v="138533"/>
    <x v="1"/>
    <x v="0"/>
    <s v="First"/>
    <n v="4620"/>
    <s v="539.0"/>
    <s v="22.84"/>
    <n v="5"/>
    <s v="42004.04"/>
    <s v="2007"/>
    <s v="100k-150k"/>
    <x v="0"/>
    <s v="Manual"/>
    <s v=""/>
    <s v="Mercedes"/>
    <n v="42004.04"/>
  </r>
  <r>
    <n v="369"/>
    <x v="3"/>
    <x v="15"/>
    <n v="150363"/>
    <x v="0"/>
    <x v="0"/>
    <s v="Third"/>
    <n v="2535"/>
    <s v="297.8"/>
    <s v="10.19"/>
    <n v="5"/>
    <s v="55547.44"/>
    <s v="2010"/>
    <s v="150k+"/>
    <x v="0"/>
    <s v="Manual"/>
    <s v=""/>
    <s v="Mercedes"/>
    <n v="55547.44"/>
  </r>
  <r>
    <n v="370"/>
    <x v="0"/>
    <x v="7"/>
    <n v="182876"/>
    <x v="1"/>
    <x v="0"/>
    <s v="Third"/>
    <n v="4535"/>
    <s v="437.4"/>
    <s v="19.22"/>
    <n v="7"/>
    <s v="69767.76"/>
    <s v="2009"/>
    <s v="150k+"/>
    <x v="0"/>
    <s v="Manual"/>
    <s v=""/>
    <s v="Audi"/>
    <n v="69767.759999999995"/>
  </r>
  <r>
    <n v="371"/>
    <x v="1"/>
    <x v="7"/>
    <n v="81971"/>
    <x v="2"/>
    <x v="1"/>
    <s v="First"/>
    <n v="3445"/>
    <s v="590.9"/>
    <s v="26.69"/>
    <n v="2"/>
    <s v="53963.93"/>
    <s v="2009"/>
    <s v="50k-100k"/>
    <x v="0"/>
    <s v="Auto"/>
    <s v=""/>
    <s v="BMW"/>
    <n v="53963.93"/>
  </r>
  <r>
    <n v="372"/>
    <x v="6"/>
    <x v="1"/>
    <n v="98471"/>
    <x v="2"/>
    <x v="1"/>
    <s v="Second"/>
    <n v="818"/>
    <s v="68.1"/>
    <s v="15.8"/>
    <n v="2"/>
    <s v="51537.08"/>
    <s v="2019"/>
    <s v="50k-100k"/>
    <x v="0"/>
    <s v="Auto"/>
    <s v=""/>
    <s v="Hyundai"/>
    <n v="51537.08"/>
  </r>
  <r>
    <n v="373"/>
    <x v="1"/>
    <x v="9"/>
    <n v="69946"/>
    <x v="2"/>
    <x v="1"/>
    <s v="First"/>
    <n v="1924"/>
    <s v="94.1"/>
    <s v="29.16"/>
    <n v="6"/>
    <s v="88728.64"/>
    <s v="2021"/>
    <s v="50k-100k"/>
    <x v="0"/>
    <s v="Auto"/>
    <s v=""/>
    <s v="BMW"/>
    <n v="88728.639999999999"/>
  </r>
  <r>
    <n v="374"/>
    <x v="5"/>
    <x v="10"/>
    <n v="103989"/>
    <x v="2"/>
    <x v="0"/>
    <s v="Third"/>
    <n v="4785"/>
    <s v="443.5"/>
    <s v="16.31"/>
    <n v="5"/>
    <s v="83247.52"/>
    <s v="2013"/>
    <s v="100k-150k"/>
    <x v="0"/>
    <s v="Manual"/>
    <s v=""/>
    <s v="Ford"/>
    <n v="83247.520000000004"/>
  </r>
  <r>
    <n v="375"/>
    <x v="0"/>
    <x v="14"/>
    <n v="89080"/>
    <x v="2"/>
    <x v="0"/>
    <s v="Third"/>
    <n v="3454"/>
    <s v="197.8"/>
    <s v="8.57"/>
    <n v="2"/>
    <s v="100492.74"/>
    <s v="2007"/>
    <s v="50k-100k"/>
    <x v="0"/>
    <s v="Manual"/>
    <s v=""/>
    <s v="Audi"/>
    <n v="100492.74"/>
  </r>
  <r>
    <n v="376"/>
    <x v="2"/>
    <x v="13"/>
    <n v="197404"/>
    <x v="0"/>
    <x v="1"/>
    <s v="Third"/>
    <n v="2880"/>
    <s v="143.2"/>
    <s v="14.74"/>
    <n v="7"/>
    <s v="32245.2"/>
    <s v="2024"/>
    <s v="150k+"/>
    <x v="0"/>
    <s v="Auto"/>
    <s v=""/>
    <s v="Kia"/>
    <n v="32245.200000000001"/>
  </r>
  <r>
    <n v="377"/>
    <x v="1"/>
    <x v="9"/>
    <n v="82794"/>
    <x v="2"/>
    <x v="1"/>
    <s v="First"/>
    <n v="2347"/>
    <s v="62.0"/>
    <s v="28.79"/>
    <n v="5"/>
    <s v="74314.84"/>
    <s v="2021"/>
    <s v="50k-100k"/>
    <x v="0"/>
    <s v="Auto"/>
    <s v=""/>
    <s v="BMW"/>
    <n v="74314.84"/>
  </r>
  <r>
    <n v="378"/>
    <x v="7"/>
    <x v="8"/>
    <n v="35841"/>
    <x v="0"/>
    <x v="1"/>
    <s v="Third"/>
    <n v="1661"/>
    <s v="52.2"/>
    <s v="12.99"/>
    <n v="6"/>
    <s v="71467.79"/>
    <s v="2014"/>
    <s v="&lt;50k"/>
    <x v="0"/>
    <s v="Auto"/>
    <s v=""/>
    <s v="Honda"/>
    <n v="71467.789999999994"/>
  </r>
  <r>
    <n v="379"/>
    <x v="4"/>
    <x v="14"/>
    <n v="129447"/>
    <x v="2"/>
    <x v="0"/>
    <s v="Third"/>
    <n v="954"/>
    <s v="473.7"/>
    <s v="26.7"/>
    <n v="7"/>
    <s v="46259.32"/>
    <s v="2007"/>
    <s v="100k-150k"/>
    <x v="0"/>
    <s v="Manual"/>
    <s v=""/>
    <s v="Volkswagen"/>
    <n v="46259.32"/>
  </r>
  <r>
    <n v="380"/>
    <x v="5"/>
    <x v="18"/>
    <n v="125029"/>
    <x v="3"/>
    <x v="0"/>
    <s v="First"/>
    <n v="4294"/>
    <s v="115.3"/>
    <s v="27.03"/>
    <n v="4"/>
    <s v="59868.73"/>
    <s v="2022"/>
    <s v="100k-150k"/>
    <x v="0"/>
    <s v="Manual"/>
    <s v=""/>
    <s v="Ford"/>
    <n v="59868.73"/>
  </r>
  <r>
    <n v="381"/>
    <x v="8"/>
    <x v="18"/>
    <n v="184830"/>
    <x v="3"/>
    <x v="0"/>
    <s v="Second"/>
    <n v="1704"/>
    <s v="301.9"/>
    <s v="13.75"/>
    <n v="6"/>
    <s v="39712.51"/>
    <s v="2022"/>
    <s v="150k+"/>
    <x v="0"/>
    <s v="Manual"/>
    <s v=""/>
    <s v="Toyota"/>
    <n v="39712.51"/>
  </r>
  <r>
    <n v="382"/>
    <x v="2"/>
    <x v="9"/>
    <n v="81272"/>
    <x v="3"/>
    <x v="0"/>
    <s v="Second"/>
    <n v="2069"/>
    <s v="379.3"/>
    <s v="7.08"/>
    <n v="7"/>
    <s v="19595.79"/>
    <s v="2021"/>
    <s v="50k-100k"/>
    <x v="0"/>
    <s v="Manual"/>
    <s v=""/>
    <s v="Kia"/>
    <n v="19595.79"/>
  </r>
  <r>
    <n v="383"/>
    <x v="5"/>
    <x v="14"/>
    <n v="42643"/>
    <x v="3"/>
    <x v="0"/>
    <s v="Third"/>
    <n v="1204"/>
    <s v="279.9"/>
    <s v="23.11"/>
    <n v="2"/>
    <s v="28014.74"/>
    <s v="2007"/>
    <s v="&lt;50k"/>
    <x v="0"/>
    <s v="Manual"/>
    <s v=""/>
    <s v="Ford"/>
    <n v="28014.74"/>
  </r>
  <r>
    <n v="384"/>
    <x v="4"/>
    <x v="14"/>
    <n v="186480"/>
    <x v="0"/>
    <x v="1"/>
    <s v="First"/>
    <n v="1643"/>
    <s v="55.2"/>
    <s v="12.79"/>
    <n v="4"/>
    <s v="15345.1"/>
    <s v="2007"/>
    <s v="150k+"/>
    <x v="0"/>
    <s v="Auto"/>
    <s v=""/>
    <s v="Volkswagen"/>
    <n v="15345.1"/>
  </r>
  <r>
    <n v="385"/>
    <x v="0"/>
    <x v="15"/>
    <n v="48950"/>
    <x v="0"/>
    <x v="0"/>
    <s v="Third"/>
    <n v="2582"/>
    <s v="478.8"/>
    <s v="24.57"/>
    <n v="6"/>
    <s v="82919.14"/>
    <s v="2010"/>
    <s v="&lt;50k"/>
    <x v="0"/>
    <s v="Manual"/>
    <s v=""/>
    <s v="Audi"/>
    <n v="82919.14"/>
  </r>
  <r>
    <n v="386"/>
    <x v="4"/>
    <x v="19"/>
    <n v="192921"/>
    <x v="1"/>
    <x v="0"/>
    <s v="First"/>
    <n v="2364"/>
    <s v="45.9"/>
    <s v="16.07"/>
    <n v="2"/>
    <s v="80305.1"/>
    <s v="2017"/>
    <s v="150k+"/>
    <x v="0"/>
    <s v="Manual"/>
    <s v=""/>
    <s v="Volkswagen"/>
    <n v="80305.100000000006"/>
  </r>
  <r>
    <n v="387"/>
    <x v="3"/>
    <x v="1"/>
    <n v="105500"/>
    <x v="2"/>
    <x v="0"/>
    <s v="First"/>
    <n v="1984"/>
    <s v="466.7"/>
    <s v="17.13"/>
    <n v="4"/>
    <s v="114220.95"/>
    <s v="2019"/>
    <s v="100k-150k"/>
    <x v="0"/>
    <s v="Manual"/>
    <s v=""/>
    <s v="Mercedes"/>
    <n v="114220.95"/>
  </r>
  <r>
    <n v="388"/>
    <x v="4"/>
    <x v="10"/>
    <n v="164116"/>
    <x v="3"/>
    <x v="0"/>
    <s v="Second"/>
    <n v="1546"/>
    <s v="540.3"/>
    <s v="24.45"/>
    <n v="5"/>
    <s v="88372.37"/>
    <s v="2013"/>
    <s v="150k+"/>
    <x v="0"/>
    <s v="Manual"/>
    <s v=""/>
    <s v="Volkswagen"/>
    <n v="88372.37"/>
  </r>
  <r>
    <n v="389"/>
    <x v="3"/>
    <x v="5"/>
    <n v="130588"/>
    <x v="0"/>
    <x v="0"/>
    <s v="Second"/>
    <n v="2525"/>
    <s v="282.4"/>
    <s v="14.56"/>
    <n v="2"/>
    <s v="9089.36"/>
    <s v="2008"/>
    <s v="100k-150k"/>
    <x v="0"/>
    <s v="Manual"/>
    <s v=""/>
    <s v="Mercedes"/>
    <n v="9089.36"/>
  </r>
  <r>
    <n v="390"/>
    <x v="0"/>
    <x v="12"/>
    <n v="20997"/>
    <x v="2"/>
    <x v="1"/>
    <s v="First"/>
    <n v="3988"/>
    <s v="339.9"/>
    <s v="16.08"/>
    <n v="7"/>
    <s v="106456.69"/>
    <s v="2018"/>
    <s v="&lt;50k"/>
    <x v="0"/>
    <s v="Auto"/>
    <s v=""/>
    <s v="Audi"/>
    <n v="106456.69"/>
  </r>
  <r>
    <n v="391"/>
    <x v="9"/>
    <x v="7"/>
    <n v="84751"/>
    <x v="2"/>
    <x v="0"/>
    <s v="Third"/>
    <n v="1070"/>
    <s v="307.1"/>
    <s v="14.4"/>
    <n v="6"/>
    <s v="103932.99"/>
    <s v="2009"/>
    <s v="50k-100k"/>
    <x v="0"/>
    <s v="Manual"/>
    <s v=""/>
    <s v="Nissan"/>
    <n v="103932.99"/>
  </r>
  <r>
    <n v="392"/>
    <x v="3"/>
    <x v="16"/>
    <n v="103605"/>
    <x v="0"/>
    <x v="0"/>
    <s v="Second"/>
    <n v="4756"/>
    <s v="258.0"/>
    <s v="14.18"/>
    <n v="4"/>
    <s v="54868.48"/>
    <s v="2006"/>
    <s v="100k-150k"/>
    <x v="0"/>
    <s v="Manual"/>
    <s v=""/>
    <s v="Mercedes"/>
    <n v="54868.480000000003"/>
  </r>
  <r>
    <n v="393"/>
    <x v="8"/>
    <x v="3"/>
    <n v="159983"/>
    <x v="3"/>
    <x v="0"/>
    <s v="Third"/>
    <n v="971"/>
    <s v="537.0"/>
    <s v="18.15"/>
    <n v="2"/>
    <s v="71545.98"/>
    <s v="2015"/>
    <s v="150k+"/>
    <x v="0"/>
    <s v="Manual"/>
    <s v=""/>
    <s v="Toyota"/>
    <n v="71545.98"/>
  </r>
  <r>
    <n v="394"/>
    <x v="4"/>
    <x v="10"/>
    <n v="60533"/>
    <x v="1"/>
    <x v="1"/>
    <s v="Second"/>
    <n v="1073"/>
    <s v="540.6"/>
    <s v="25.22"/>
    <n v="5"/>
    <s v="117201.16"/>
    <s v="2013"/>
    <s v="50k-100k"/>
    <x v="0"/>
    <s v="Auto"/>
    <s v=""/>
    <s v="Volkswagen"/>
    <n v="117201.16"/>
  </r>
  <r>
    <n v="395"/>
    <x v="4"/>
    <x v="14"/>
    <n v="87566"/>
    <x v="2"/>
    <x v="1"/>
    <s v="Second"/>
    <n v="3106"/>
    <s v="228.1"/>
    <s v="14.04"/>
    <n v="6"/>
    <s v="65279.61"/>
    <s v="2007"/>
    <s v="50k-100k"/>
    <x v="0"/>
    <s v="Auto"/>
    <s v=""/>
    <s v="Volkswagen"/>
    <n v="65279.61"/>
  </r>
  <r>
    <n v="396"/>
    <x v="8"/>
    <x v="10"/>
    <n v="150643"/>
    <x v="1"/>
    <x v="1"/>
    <s v="Third"/>
    <n v="1958"/>
    <s v="384.4"/>
    <s v="18.11"/>
    <n v="6"/>
    <s v="108922.65"/>
    <s v="2013"/>
    <s v="150k+"/>
    <x v="0"/>
    <s v="Auto"/>
    <s v=""/>
    <s v="Toyota"/>
    <n v="108922.65"/>
  </r>
  <r>
    <n v="397"/>
    <x v="7"/>
    <x v="14"/>
    <n v="113255"/>
    <x v="3"/>
    <x v="0"/>
    <s v="Second"/>
    <n v="2506"/>
    <s v="559.1"/>
    <s v="21.77"/>
    <n v="2"/>
    <s v="12715.53"/>
    <s v="2007"/>
    <s v="100k-150k"/>
    <x v="0"/>
    <s v="Manual"/>
    <s v=""/>
    <s v="Honda"/>
    <n v="12715.53"/>
  </r>
  <r>
    <n v="398"/>
    <x v="6"/>
    <x v="16"/>
    <n v="194013"/>
    <x v="3"/>
    <x v="1"/>
    <s v="Second"/>
    <n v="2571"/>
    <s v="578.8"/>
    <s v="11.74"/>
    <n v="5"/>
    <s v="25353.07"/>
    <s v="2006"/>
    <s v="150k+"/>
    <x v="0"/>
    <s v="Auto"/>
    <s v=""/>
    <s v="Hyundai"/>
    <n v="25353.07"/>
  </r>
  <r>
    <n v="399"/>
    <x v="9"/>
    <x v="4"/>
    <n v="63005"/>
    <x v="1"/>
    <x v="0"/>
    <s v="Third"/>
    <n v="1221"/>
    <s v="325.0"/>
    <s v="11.94"/>
    <n v="4"/>
    <s v="54568.33"/>
    <s v="2016"/>
    <s v="50k-100k"/>
    <x v="0"/>
    <s v="Manual"/>
    <s v=""/>
    <s v="Nissan"/>
    <n v="54568.33"/>
  </r>
  <r>
    <n v="400"/>
    <x v="2"/>
    <x v="8"/>
    <n v="194784"/>
    <x v="3"/>
    <x v="0"/>
    <s v="Second"/>
    <n v="2009"/>
    <s v="293.6"/>
    <s v="28.34"/>
    <n v="2"/>
    <s v="71416.55"/>
    <s v="2014"/>
    <s v="150k+"/>
    <x v="0"/>
    <s v="Manual"/>
    <s v=""/>
    <s v="Kia"/>
    <n v="71416.55"/>
  </r>
  <r>
    <n v="401"/>
    <x v="3"/>
    <x v="10"/>
    <n v="48541"/>
    <x v="2"/>
    <x v="1"/>
    <s v="Second"/>
    <n v="1690"/>
    <s v="196.1"/>
    <s v="23.09"/>
    <n v="4"/>
    <s v="98498.66"/>
    <s v="2013"/>
    <s v="&lt;50k"/>
    <x v="0"/>
    <s v="Auto"/>
    <s v=""/>
    <s v="Mercedes"/>
    <n v="98498.66"/>
  </r>
  <r>
    <n v="402"/>
    <x v="8"/>
    <x v="1"/>
    <n v="28387"/>
    <x v="1"/>
    <x v="0"/>
    <s v="Second"/>
    <n v="4067"/>
    <s v="577.0"/>
    <s v="19.43"/>
    <n v="6"/>
    <s v="118626.67"/>
    <s v="2019"/>
    <s v="&lt;50k"/>
    <x v="0"/>
    <s v="Manual"/>
    <s v=""/>
    <s v="Toyota"/>
    <n v="118626.67"/>
  </r>
  <r>
    <n v="403"/>
    <x v="0"/>
    <x v="2"/>
    <n v="98980"/>
    <x v="3"/>
    <x v="0"/>
    <s v="Third"/>
    <n v="2273"/>
    <s v="120.0"/>
    <s v="21.19"/>
    <n v="4"/>
    <s v="48495.63"/>
    <s v="2012"/>
    <s v="50k-100k"/>
    <x v="0"/>
    <s v="Manual"/>
    <s v=""/>
    <s v="Audi"/>
    <n v="48495.63"/>
  </r>
  <r>
    <n v="404"/>
    <x v="3"/>
    <x v="7"/>
    <n v="184980"/>
    <x v="1"/>
    <x v="0"/>
    <s v="First"/>
    <n v="4043"/>
    <s v="364.7"/>
    <s v="5.73"/>
    <n v="5"/>
    <s v="8547.63"/>
    <s v="2009"/>
    <s v="150k+"/>
    <x v="0"/>
    <s v="Manual"/>
    <s v=""/>
    <s v="Mercedes"/>
    <n v="8547.6299999999992"/>
  </r>
  <r>
    <n v="405"/>
    <x v="6"/>
    <x v="3"/>
    <n v="90457"/>
    <x v="2"/>
    <x v="1"/>
    <s v="Third"/>
    <n v="2981"/>
    <s v="198.2"/>
    <s v="20.45"/>
    <n v="7"/>
    <s v="96737.07"/>
    <s v="2015"/>
    <s v="50k-100k"/>
    <x v="0"/>
    <s v="Auto"/>
    <s v=""/>
    <s v="Hyundai"/>
    <n v="96737.07"/>
  </r>
  <r>
    <n v="406"/>
    <x v="0"/>
    <x v="16"/>
    <n v="149129"/>
    <x v="3"/>
    <x v="0"/>
    <s v="First"/>
    <n v="2249"/>
    <s v="196.2"/>
    <s v="17.74"/>
    <n v="5"/>
    <s v="73712.54"/>
    <s v="2006"/>
    <s v="100k-150k"/>
    <x v="0"/>
    <s v="Manual"/>
    <s v=""/>
    <s v="Audi"/>
    <n v="73712.539999999994"/>
  </r>
  <r>
    <n v="407"/>
    <x v="5"/>
    <x v="1"/>
    <n v="69028"/>
    <x v="2"/>
    <x v="0"/>
    <s v="Second"/>
    <n v="3896"/>
    <s v="266.8"/>
    <s v="18.64"/>
    <n v="4"/>
    <s v="26229.51"/>
    <s v="2019"/>
    <s v="50k-100k"/>
    <x v="0"/>
    <s v="Manual"/>
    <s v=""/>
    <s v="Ford"/>
    <n v="26229.51"/>
  </r>
  <r>
    <n v="408"/>
    <x v="4"/>
    <x v="15"/>
    <n v="124246"/>
    <x v="3"/>
    <x v="1"/>
    <s v="First"/>
    <n v="4056"/>
    <s v="599.3"/>
    <s v="13.99"/>
    <n v="2"/>
    <s v="60894.93"/>
    <s v="2010"/>
    <s v="100k-150k"/>
    <x v="0"/>
    <s v="Auto"/>
    <s v=""/>
    <s v="Volkswagen"/>
    <n v="60894.93"/>
  </r>
  <r>
    <n v="409"/>
    <x v="5"/>
    <x v="2"/>
    <n v="60731"/>
    <x v="0"/>
    <x v="0"/>
    <s v="Third"/>
    <n v="3956"/>
    <s v="70.8"/>
    <s v="7.04"/>
    <n v="6"/>
    <s v="89850.3"/>
    <s v="2012"/>
    <s v="50k-100k"/>
    <x v="0"/>
    <s v="Manual"/>
    <s v=""/>
    <s v="Ford"/>
    <n v="89850.3"/>
  </r>
  <r>
    <n v="410"/>
    <x v="3"/>
    <x v="7"/>
    <n v="160930"/>
    <x v="3"/>
    <x v="0"/>
    <s v="Third"/>
    <n v="2390"/>
    <s v="364.0"/>
    <s v="9.83"/>
    <n v="7"/>
    <s v="93138.18"/>
    <s v="2009"/>
    <s v="150k+"/>
    <x v="0"/>
    <s v="Manual"/>
    <s v=""/>
    <s v="Mercedes"/>
    <n v="93138.18"/>
  </r>
  <r>
    <n v="411"/>
    <x v="6"/>
    <x v="6"/>
    <n v="184761"/>
    <x v="1"/>
    <x v="1"/>
    <s v="Second"/>
    <n v="4781"/>
    <s v="86.2"/>
    <s v="28.77"/>
    <n v="2"/>
    <s v="61455.35"/>
    <s v="2020"/>
    <s v="150k+"/>
    <x v="0"/>
    <s v="Auto"/>
    <s v=""/>
    <s v="Hyundai"/>
    <n v="61455.35"/>
  </r>
  <r>
    <n v="412"/>
    <x v="9"/>
    <x v="18"/>
    <n v="49638"/>
    <x v="3"/>
    <x v="0"/>
    <s v="First"/>
    <n v="2235"/>
    <s v="126.5"/>
    <s v="15.22"/>
    <n v="2"/>
    <s v="38710.1"/>
    <s v="2022"/>
    <s v="&lt;50k"/>
    <x v="0"/>
    <s v="Manual"/>
    <s v=""/>
    <s v="Nissan"/>
    <n v="38710.1"/>
  </r>
  <r>
    <n v="413"/>
    <x v="3"/>
    <x v="15"/>
    <n v="182558"/>
    <x v="2"/>
    <x v="0"/>
    <s v="Second"/>
    <n v="1023"/>
    <s v="286.2"/>
    <s v="16.67"/>
    <n v="5"/>
    <s v="116927.88"/>
    <s v="2010"/>
    <s v="150k+"/>
    <x v="0"/>
    <s v="Manual"/>
    <s v=""/>
    <s v="Mercedes"/>
    <n v="116927.88"/>
  </r>
  <r>
    <n v="414"/>
    <x v="8"/>
    <x v="7"/>
    <n v="25567"/>
    <x v="2"/>
    <x v="0"/>
    <s v="Second"/>
    <n v="1019"/>
    <s v="325.9"/>
    <s v="6.32"/>
    <n v="4"/>
    <s v="80613.43"/>
    <s v="2009"/>
    <s v="&lt;50k"/>
    <x v="0"/>
    <s v="Manual"/>
    <s v=""/>
    <s v="Toyota"/>
    <n v="80613.429999999993"/>
  </r>
  <r>
    <n v="415"/>
    <x v="1"/>
    <x v="6"/>
    <n v="165811"/>
    <x v="3"/>
    <x v="0"/>
    <s v="Third"/>
    <n v="2454"/>
    <s v="184.9"/>
    <s v="5.94"/>
    <n v="5"/>
    <s v="50763.79"/>
    <s v="2020"/>
    <s v="150k+"/>
    <x v="0"/>
    <s v="Manual"/>
    <s v=""/>
    <s v="BMW"/>
    <n v="50763.79"/>
  </r>
  <r>
    <n v="416"/>
    <x v="3"/>
    <x v="19"/>
    <n v="62804"/>
    <x v="1"/>
    <x v="0"/>
    <s v="First"/>
    <n v="1064"/>
    <s v="217.2"/>
    <s v="22.93"/>
    <n v="4"/>
    <s v="35814.2"/>
    <s v="2017"/>
    <s v="50k-100k"/>
    <x v="0"/>
    <s v="Manual"/>
    <s v=""/>
    <s v="Mercedes"/>
    <n v="35814.199999999997"/>
  </r>
  <r>
    <n v="417"/>
    <x v="4"/>
    <x v="7"/>
    <n v="113821"/>
    <x v="0"/>
    <x v="1"/>
    <s v="First"/>
    <n v="1753"/>
    <s v="88.7"/>
    <s v="18.45"/>
    <n v="5"/>
    <s v="88539.05"/>
    <s v="2009"/>
    <s v="100k-150k"/>
    <x v="0"/>
    <s v="Auto"/>
    <s v=""/>
    <s v="Volkswagen"/>
    <n v="88539.05"/>
  </r>
  <r>
    <n v="418"/>
    <x v="4"/>
    <x v="19"/>
    <n v="8754"/>
    <x v="1"/>
    <x v="1"/>
    <s v="First"/>
    <n v="4533"/>
    <s v="209.8"/>
    <s v="17.72"/>
    <n v="2"/>
    <s v="31335.46"/>
    <s v="2017"/>
    <s v="&lt;50k"/>
    <x v="0"/>
    <s v="Auto"/>
    <s v=""/>
    <s v="Volkswagen"/>
    <n v="31335.46"/>
  </r>
  <r>
    <n v="419"/>
    <x v="3"/>
    <x v="9"/>
    <n v="32044"/>
    <x v="0"/>
    <x v="1"/>
    <s v="First"/>
    <n v="3574"/>
    <s v="581.3"/>
    <s v="11.08"/>
    <n v="6"/>
    <s v="23090.07"/>
    <s v="2021"/>
    <s v="&lt;50k"/>
    <x v="0"/>
    <s v="Auto"/>
    <s v=""/>
    <s v="Mercedes"/>
    <n v="23090.07"/>
  </r>
  <r>
    <n v="420"/>
    <x v="0"/>
    <x v="18"/>
    <n v="72260"/>
    <x v="2"/>
    <x v="1"/>
    <s v="Second"/>
    <n v="3924"/>
    <s v="569.0"/>
    <s v="23.62"/>
    <n v="4"/>
    <s v="64990.57"/>
    <s v="2022"/>
    <s v="50k-100k"/>
    <x v="0"/>
    <s v="Auto"/>
    <s v=""/>
    <s v="Audi"/>
    <n v="64990.57"/>
  </r>
  <r>
    <n v="421"/>
    <x v="1"/>
    <x v="2"/>
    <n v="71912"/>
    <x v="1"/>
    <x v="0"/>
    <s v="Second"/>
    <n v="1279"/>
    <s v="227.5"/>
    <s v="9.21"/>
    <n v="7"/>
    <s v="36928.52"/>
    <s v="2012"/>
    <s v="50k-100k"/>
    <x v="0"/>
    <s v="Manual"/>
    <s v=""/>
    <s v="BMW"/>
    <n v="36928.519999999997"/>
  </r>
  <r>
    <n v="422"/>
    <x v="8"/>
    <x v="19"/>
    <n v="13706"/>
    <x v="0"/>
    <x v="0"/>
    <s v="Third"/>
    <n v="4314"/>
    <s v="359.7"/>
    <s v="9.75"/>
    <n v="7"/>
    <s v="76581.9"/>
    <s v="2017"/>
    <s v="&lt;50k"/>
    <x v="0"/>
    <s v="Manual"/>
    <s v=""/>
    <s v="Toyota"/>
    <n v="76581.899999999994"/>
  </r>
  <r>
    <n v="423"/>
    <x v="3"/>
    <x v="11"/>
    <n v="13894"/>
    <x v="3"/>
    <x v="0"/>
    <s v="Second"/>
    <n v="2153"/>
    <s v="549.4"/>
    <s v="16.52"/>
    <n v="2"/>
    <s v="16798.82"/>
    <s v="2023"/>
    <s v="&lt;50k"/>
    <x v="0"/>
    <s v="Manual"/>
    <s v=""/>
    <s v="Mercedes"/>
    <n v="16798.82"/>
  </r>
  <r>
    <n v="424"/>
    <x v="0"/>
    <x v="14"/>
    <n v="154109"/>
    <x v="2"/>
    <x v="0"/>
    <s v="Second"/>
    <n v="4122"/>
    <s v="43.5"/>
    <s v="12.16"/>
    <n v="5"/>
    <s v="79628.11"/>
    <s v="2007"/>
    <s v="150k+"/>
    <x v="0"/>
    <s v="Manual"/>
    <s v=""/>
    <s v="Audi"/>
    <n v="79628.11"/>
  </r>
  <r>
    <n v="425"/>
    <x v="4"/>
    <x v="2"/>
    <n v="88986"/>
    <x v="3"/>
    <x v="0"/>
    <s v="Third"/>
    <n v="4678"/>
    <s v="494.0"/>
    <s v="11.19"/>
    <n v="5"/>
    <s v="36145.69"/>
    <s v="2012"/>
    <s v="50k-100k"/>
    <x v="0"/>
    <s v="Manual"/>
    <s v=""/>
    <s v="Volkswagen"/>
    <n v="36145.69"/>
  </r>
  <r>
    <n v="426"/>
    <x v="4"/>
    <x v="16"/>
    <n v="86942"/>
    <x v="2"/>
    <x v="1"/>
    <s v="Third"/>
    <n v="1689"/>
    <s v="571.1"/>
    <s v="21.13"/>
    <n v="2"/>
    <s v="3028.42"/>
    <s v="2006"/>
    <s v="50k-100k"/>
    <x v="0"/>
    <s v="Auto"/>
    <s v=""/>
    <s v="Volkswagen"/>
    <n v="3028.42"/>
  </r>
  <r>
    <n v="427"/>
    <x v="6"/>
    <x v="2"/>
    <n v="187684"/>
    <x v="1"/>
    <x v="1"/>
    <s v="Third"/>
    <n v="4654"/>
    <s v="91.1"/>
    <s v="21.27"/>
    <n v="7"/>
    <s v="17851.52"/>
    <s v="2012"/>
    <s v="150k+"/>
    <x v="0"/>
    <s v="Auto"/>
    <s v=""/>
    <s v="Hyundai"/>
    <n v="17851.52"/>
  </r>
  <r>
    <n v="428"/>
    <x v="3"/>
    <x v="19"/>
    <n v="34725"/>
    <x v="1"/>
    <x v="0"/>
    <s v="Second"/>
    <n v="1724"/>
    <s v="130.4"/>
    <s v="25.61"/>
    <n v="7"/>
    <s v="112233.0"/>
    <s v="2017"/>
    <s v="&lt;50k"/>
    <x v="0"/>
    <s v="Manual"/>
    <s v=""/>
    <s v="Mercedes"/>
    <n v="112233"/>
  </r>
  <r>
    <n v="429"/>
    <x v="1"/>
    <x v="19"/>
    <n v="141998"/>
    <x v="2"/>
    <x v="0"/>
    <s v="Second"/>
    <n v="2970"/>
    <s v="578.0"/>
    <s v="15.44"/>
    <n v="5"/>
    <s v="104480.49"/>
    <s v="2017"/>
    <s v="100k-150k"/>
    <x v="0"/>
    <s v="Manual"/>
    <s v=""/>
    <s v="BMW"/>
    <n v="104480.49"/>
  </r>
  <r>
    <n v="430"/>
    <x v="7"/>
    <x v="0"/>
    <n v="109555"/>
    <x v="2"/>
    <x v="0"/>
    <s v="Third"/>
    <n v="2702"/>
    <s v="341.0"/>
    <s v="6.83"/>
    <n v="4"/>
    <s v="30332.26"/>
    <s v="2005"/>
    <s v="100k-150k"/>
    <x v="0"/>
    <s v="Manual"/>
    <s v=""/>
    <s v="Honda"/>
    <n v="30332.26"/>
  </r>
  <r>
    <n v="431"/>
    <x v="1"/>
    <x v="15"/>
    <n v="14496"/>
    <x v="2"/>
    <x v="1"/>
    <s v="Third"/>
    <n v="3195"/>
    <s v="48.0"/>
    <s v="11.84"/>
    <n v="6"/>
    <s v="94069.51"/>
    <s v="2010"/>
    <s v="&lt;50k"/>
    <x v="0"/>
    <s v="Auto"/>
    <s v=""/>
    <s v="BMW"/>
    <n v="94069.51"/>
  </r>
  <r>
    <n v="432"/>
    <x v="4"/>
    <x v="11"/>
    <n v="61447"/>
    <x v="1"/>
    <x v="0"/>
    <s v="Third"/>
    <n v="828"/>
    <s v="184.3"/>
    <s v="29.5"/>
    <n v="4"/>
    <s v="74202.88"/>
    <s v="2023"/>
    <s v="50k-100k"/>
    <x v="0"/>
    <s v="Manual"/>
    <s v=""/>
    <s v="Volkswagen"/>
    <n v="74202.880000000005"/>
  </r>
  <r>
    <n v="433"/>
    <x v="4"/>
    <x v="6"/>
    <n v="106604"/>
    <x v="0"/>
    <x v="0"/>
    <s v="Second"/>
    <n v="834"/>
    <s v="292.0"/>
    <s v="19.91"/>
    <n v="7"/>
    <s v="116595.85"/>
    <s v="2020"/>
    <s v="100k-150k"/>
    <x v="0"/>
    <s v="Manual"/>
    <s v=""/>
    <s v="Volkswagen"/>
    <n v="116595.85"/>
  </r>
  <r>
    <n v="434"/>
    <x v="5"/>
    <x v="2"/>
    <n v="165878"/>
    <x v="3"/>
    <x v="0"/>
    <s v="Second"/>
    <n v="4389"/>
    <s v="428.0"/>
    <s v="22.74"/>
    <n v="4"/>
    <s v="46711.86"/>
    <s v="2012"/>
    <s v="150k+"/>
    <x v="0"/>
    <s v="Manual"/>
    <s v=""/>
    <s v="Ford"/>
    <n v="46711.86"/>
  </r>
  <r>
    <n v="435"/>
    <x v="4"/>
    <x v="0"/>
    <n v="93199"/>
    <x v="3"/>
    <x v="1"/>
    <s v="First"/>
    <n v="3470"/>
    <s v="450.6"/>
    <s v="5.18"/>
    <n v="6"/>
    <s v="82730.89"/>
    <s v="2005"/>
    <s v="50k-100k"/>
    <x v="0"/>
    <s v="Auto"/>
    <s v=""/>
    <s v="Volkswagen"/>
    <n v="82730.89"/>
  </r>
  <r>
    <n v="436"/>
    <x v="8"/>
    <x v="6"/>
    <n v="46321"/>
    <x v="1"/>
    <x v="0"/>
    <s v="Second"/>
    <n v="4165"/>
    <s v="597.4"/>
    <s v="17.96"/>
    <n v="4"/>
    <s v="10433.68"/>
    <s v="2020"/>
    <s v="&lt;50k"/>
    <x v="0"/>
    <s v="Manual"/>
    <s v=""/>
    <s v="Toyota"/>
    <n v="10433.68"/>
  </r>
  <r>
    <n v="437"/>
    <x v="2"/>
    <x v="10"/>
    <n v="158728"/>
    <x v="3"/>
    <x v="1"/>
    <s v="Second"/>
    <n v="1388"/>
    <s v="201.0"/>
    <s v="5.94"/>
    <n v="4"/>
    <s v="49360.94"/>
    <s v="2013"/>
    <s v="150k+"/>
    <x v="0"/>
    <s v="Auto"/>
    <s v=""/>
    <s v="Kia"/>
    <n v="49360.94"/>
  </r>
  <r>
    <n v="438"/>
    <x v="3"/>
    <x v="19"/>
    <n v="60147"/>
    <x v="2"/>
    <x v="1"/>
    <s v="Second"/>
    <n v="4018"/>
    <s v="341.4"/>
    <s v="19.23"/>
    <n v="4"/>
    <s v="115766.67"/>
    <s v="2017"/>
    <s v="50k-100k"/>
    <x v="0"/>
    <s v="Auto"/>
    <s v=""/>
    <s v="Mercedes"/>
    <n v="115766.67"/>
  </r>
  <r>
    <n v="439"/>
    <x v="1"/>
    <x v="3"/>
    <n v="96396"/>
    <x v="0"/>
    <x v="1"/>
    <s v="Third"/>
    <n v="3938"/>
    <s v="338.7"/>
    <s v="28.02"/>
    <n v="4"/>
    <s v="66060.76"/>
    <s v="2015"/>
    <s v="50k-100k"/>
    <x v="0"/>
    <s v="Auto"/>
    <s v=""/>
    <s v="BMW"/>
    <n v="66060.759999999995"/>
  </r>
  <r>
    <n v="440"/>
    <x v="2"/>
    <x v="19"/>
    <n v="185738"/>
    <x v="3"/>
    <x v="1"/>
    <s v="Second"/>
    <n v="1703"/>
    <s v="267.2"/>
    <s v="29.21"/>
    <n v="2"/>
    <s v="36681.9"/>
    <s v="2017"/>
    <s v="150k+"/>
    <x v="0"/>
    <s v="Auto"/>
    <s v=""/>
    <s v="Kia"/>
    <n v="36681.9"/>
  </r>
  <r>
    <n v="441"/>
    <x v="0"/>
    <x v="8"/>
    <n v="43787"/>
    <x v="0"/>
    <x v="1"/>
    <s v="Third"/>
    <n v="4886"/>
    <s v="134.7"/>
    <s v="18.51"/>
    <n v="7"/>
    <s v="17071.7"/>
    <s v="2014"/>
    <s v="&lt;50k"/>
    <x v="0"/>
    <s v="Auto"/>
    <s v=""/>
    <s v="Audi"/>
    <n v="17071.7"/>
  </r>
  <r>
    <n v="442"/>
    <x v="7"/>
    <x v="5"/>
    <n v="199018"/>
    <x v="2"/>
    <x v="1"/>
    <s v="First"/>
    <n v="2969"/>
    <s v="587.4"/>
    <s v="16.46"/>
    <n v="6"/>
    <s v="85312.82"/>
    <s v="2008"/>
    <s v="150k+"/>
    <x v="0"/>
    <s v="Auto"/>
    <s v=""/>
    <s v="Honda"/>
    <n v="85312.82"/>
  </r>
  <r>
    <n v="443"/>
    <x v="8"/>
    <x v="15"/>
    <n v="26727"/>
    <x v="3"/>
    <x v="0"/>
    <s v="First"/>
    <n v="1139"/>
    <s v="517.9"/>
    <s v="28.63"/>
    <n v="7"/>
    <s v="78448.16"/>
    <s v="2010"/>
    <s v="&lt;50k"/>
    <x v="0"/>
    <s v="Manual"/>
    <s v=""/>
    <s v="Toyota"/>
    <n v="78448.160000000003"/>
  </r>
  <r>
    <n v="444"/>
    <x v="1"/>
    <x v="17"/>
    <n v="100081"/>
    <x v="1"/>
    <x v="0"/>
    <s v="Third"/>
    <n v="2514"/>
    <s v="319.1"/>
    <s v="21.84"/>
    <n v="2"/>
    <s v="46750.83"/>
    <s v="2011"/>
    <s v="100k-150k"/>
    <x v="0"/>
    <s v="Manual"/>
    <s v=""/>
    <s v="BMW"/>
    <n v="46750.83"/>
  </r>
  <r>
    <n v="445"/>
    <x v="2"/>
    <x v="7"/>
    <n v="127721"/>
    <x v="0"/>
    <x v="0"/>
    <s v="Third"/>
    <n v="1356"/>
    <s v="377.8"/>
    <s v="6.62"/>
    <n v="2"/>
    <s v="114260.14"/>
    <s v="2009"/>
    <s v="100k-150k"/>
    <x v="0"/>
    <s v="Manual"/>
    <s v=""/>
    <s v="Kia"/>
    <n v="114260.14"/>
  </r>
  <r>
    <n v="446"/>
    <x v="7"/>
    <x v="3"/>
    <n v="73056"/>
    <x v="2"/>
    <x v="1"/>
    <s v="Third"/>
    <n v="3887"/>
    <s v="167.3"/>
    <s v="16.64"/>
    <n v="2"/>
    <s v="5597.73"/>
    <s v="2015"/>
    <s v="50k-100k"/>
    <x v="0"/>
    <s v="Auto"/>
    <s v=""/>
    <s v="Honda"/>
    <n v="5597.73"/>
  </r>
  <r>
    <n v="447"/>
    <x v="5"/>
    <x v="19"/>
    <n v="139153"/>
    <x v="0"/>
    <x v="0"/>
    <s v="Second"/>
    <n v="4066"/>
    <s v="344.5"/>
    <s v="11.01"/>
    <n v="2"/>
    <s v="38535.69"/>
    <s v="2017"/>
    <s v="100k-150k"/>
    <x v="0"/>
    <s v="Manual"/>
    <s v=""/>
    <s v="Ford"/>
    <n v="38535.69"/>
  </r>
  <r>
    <n v="448"/>
    <x v="8"/>
    <x v="11"/>
    <n v="170268"/>
    <x v="3"/>
    <x v="1"/>
    <s v="First"/>
    <n v="4367"/>
    <s v="429.2"/>
    <s v="16.75"/>
    <n v="4"/>
    <s v="110765.13"/>
    <s v="2023"/>
    <s v="150k+"/>
    <x v="0"/>
    <s v="Auto"/>
    <s v=""/>
    <s v="Toyota"/>
    <n v="110765.13"/>
  </r>
  <r>
    <n v="449"/>
    <x v="8"/>
    <x v="8"/>
    <n v="172807"/>
    <x v="3"/>
    <x v="1"/>
    <s v="Third"/>
    <n v="2856"/>
    <s v="328.5"/>
    <s v="16.39"/>
    <n v="7"/>
    <s v="40549.45"/>
    <s v="2014"/>
    <s v="150k+"/>
    <x v="0"/>
    <s v="Auto"/>
    <s v=""/>
    <s v="Toyota"/>
    <n v="40549.449999999997"/>
  </r>
  <r>
    <n v="450"/>
    <x v="5"/>
    <x v="8"/>
    <n v="85102"/>
    <x v="1"/>
    <x v="1"/>
    <s v="Second"/>
    <n v="4699"/>
    <s v="594.6"/>
    <s v="19.55"/>
    <n v="5"/>
    <s v="32513.58"/>
    <s v="2014"/>
    <s v="50k-100k"/>
    <x v="0"/>
    <s v="Auto"/>
    <s v=""/>
    <s v="Ford"/>
    <n v="32513.58"/>
  </r>
  <r>
    <n v="451"/>
    <x v="3"/>
    <x v="3"/>
    <n v="161570"/>
    <x v="2"/>
    <x v="0"/>
    <s v="First"/>
    <n v="1816"/>
    <s v="382.4"/>
    <s v="13.92"/>
    <n v="6"/>
    <s v="65503.79"/>
    <s v="2015"/>
    <s v="150k+"/>
    <x v="0"/>
    <s v="Manual"/>
    <s v=""/>
    <s v="Mercedes"/>
    <n v="65503.79"/>
  </r>
  <r>
    <n v="452"/>
    <x v="5"/>
    <x v="17"/>
    <n v="81865"/>
    <x v="2"/>
    <x v="1"/>
    <s v="Second"/>
    <n v="2862"/>
    <s v="247.7"/>
    <s v="9.11"/>
    <n v="2"/>
    <s v="99384.8"/>
    <s v="2011"/>
    <s v="50k-100k"/>
    <x v="0"/>
    <s v="Auto"/>
    <s v=""/>
    <s v="Ford"/>
    <n v="99384.8"/>
  </r>
  <r>
    <n v="453"/>
    <x v="8"/>
    <x v="18"/>
    <n v="167728"/>
    <x v="1"/>
    <x v="1"/>
    <s v="First"/>
    <n v="1638"/>
    <s v="472.4"/>
    <s v="17.59"/>
    <n v="7"/>
    <s v="15068.17"/>
    <s v="2022"/>
    <s v="150k+"/>
    <x v="0"/>
    <s v="Auto"/>
    <s v=""/>
    <s v="Toyota"/>
    <n v="15068.17"/>
  </r>
  <r>
    <n v="454"/>
    <x v="8"/>
    <x v="5"/>
    <n v="72695"/>
    <x v="1"/>
    <x v="0"/>
    <s v="Second"/>
    <n v="2437"/>
    <s v="135.5"/>
    <s v="25.76"/>
    <n v="2"/>
    <s v="113333.42"/>
    <s v="2008"/>
    <s v="50k-100k"/>
    <x v="0"/>
    <s v="Manual"/>
    <s v=""/>
    <s v="Toyota"/>
    <n v="113333.42"/>
  </r>
  <r>
    <n v="455"/>
    <x v="2"/>
    <x v="16"/>
    <n v="173972"/>
    <x v="2"/>
    <x v="0"/>
    <s v="First"/>
    <n v="4296"/>
    <s v="255.3"/>
    <s v="21.6"/>
    <n v="2"/>
    <s v="96023.53"/>
    <s v="2006"/>
    <s v="150k+"/>
    <x v="0"/>
    <s v="Manual"/>
    <s v=""/>
    <s v="Kia"/>
    <n v="96023.53"/>
  </r>
  <r>
    <n v="456"/>
    <x v="4"/>
    <x v="12"/>
    <n v="122235"/>
    <x v="0"/>
    <x v="1"/>
    <s v="First"/>
    <n v="2613"/>
    <s v="234.3"/>
    <s v="13.46"/>
    <n v="2"/>
    <s v="24206.28"/>
    <s v="2018"/>
    <s v="100k-150k"/>
    <x v="0"/>
    <s v="Auto"/>
    <s v=""/>
    <s v="Volkswagen"/>
    <n v="24206.28"/>
  </r>
  <r>
    <n v="457"/>
    <x v="7"/>
    <x v="19"/>
    <n v="183773"/>
    <x v="0"/>
    <x v="1"/>
    <s v="Second"/>
    <n v="4279"/>
    <s v="281.8"/>
    <s v="28.39"/>
    <n v="2"/>
    <s v="86304.93"/>
    <s v="2017"/>
    <s v="150k+"/>
    <x v="0"/>
    <s v="Auto"/>
    <s v=""/>
    <s v="Honda"/>
    <n v="86304.93"/>
  </r>
  <r>
    <n v="458"/>
    <x v="5"/>
    <x v="4"/>
    <n v="113777"/>
    <x v="1"/>
    <x v="0"/>
    <s v="Third"/>
    <n v="2251"/>
    <s v="477.8"/>
    <s v="27.81"/>
    <n v="2"/>
    <s v="48040.17"/>
    <s v="2016"/>
    <s v="100k-150k"/>
    <x v="0"/>
    <s v="Manual"/>
    <s v=""/>
    <s v="Ford"/>
    <n v="48040.17"/>
  </r>
  <r>
    <n v="459"/>
    <x v="7"/>
    <x v="17"/>
    <n v="24033"/>
    <x v="0"/>
    <x v="0"/>
    <s v="First"/>
    <n v="3113"/>
    <s v="311.1"/>
    <s v="10.23"/>
    <n v="6"/>
    <s v="50068.48"/>
    <s v="2011"/>
    <s v="&lt;50k"/>
    <x v="0"/>
    <s v="Manual"/>
    <s v=""/>
    <s v="Honda"/>
    <n v="50068.480000000003"/>
  </r>
  <r>
    <n v="460"/>
    <x v="5"/>
    <x v="16"/>
    <n v="146877"/>
    <x v="2"/>
    <x v="0"/>
    <s v="Third"/>
    <n v="2314"/>
    <s v="484.6"/>
    <s v="5.99"/>
    <n v="7"/>
    <s v="94644.94"/>
    <s v="2006"/>
    <s v="100k-150k"/>
    <x v="0"/>
    <s v="Manual"/>
    <s v=""/>
    <s v="Ford"/>
    <n v="94644.94"/>
  </r>
  <r>
    <n v="461"/>
    <x v="0"/>
    <x v="19"/>
    <n v="171923"/>
    <x v="3"/>
    <x v="1"/>
    <s v="Second"/>
    <n v="2031"/>
    <s v="362.8"/>
    <s v="23.53"/>
    <n v="2"/>
    <s v="115645.82"/>
    <s v="2017"/>
    <s v="150k+"/>
    <x v="0"/>
    <s v="Auto"/>
    <s v=""/>
    <s v="Audi"/>
    <n v="115645.82"/>
  </r>
  <r>
    <n v="462"/>
    <x v="8"/>
    <x v="12"/>
    <n v="31832"/>
    <x v="3"/>
    <x v="0"/>
    <s v="Third"/>
    <n v="2445"/>
    <s v="231.6"/>
    <s v="25.69"/>
    <n v="2"/>
    <s v="17818.74"/>
    <s v="2018"/>
    <s v="&lt;50k"/>
    <x v="0"/>
    <s v="Manual"/>
    <s v=""/>
    <s v="Toyota"/>
    <n v="17818.740000000002"/>
  </r>
  <r>
    <n v="463"/>
    <x v="4"/>
    <x v="9"/>
    <n v="199509"/>
    <x v="0"/>
    <x v="0"/>
    <s v="Third"/>
    <n v="3799"/>
    <s v="493.6"/>
    <s v="29.2"/>
    <n v="2"/>
    <s v="52213.74"/>
    <s v="2021"/>
    <s v="150k+"/>
    <x v="0"/>
    <s v="Manual"/>
    <s v=""/>
    <s v="Volkswagen"/>
    <n v="52213.74"/>
  </r>
  <r>
    <n v="464"/>
    <x v="2"/>
    <x v="10"/>
    <n v="120725"/>
    <x v="1"/>
    <x v="0"/>
    <s v="Third"/>
    <n v="4240"/>
    <s v="173.4"/>
    <s v="27.25"/>
    <n v="2"/>
    <s v="59270.17"/>
    <s v="2013"/>
    <s v="100k-150k"/>
    <x v="0"/>
    <s v="Manual"/>
    <s v=""/>
    <s v="Kia"/>
    <n v="59270.17"/>
  </r>
  <r>
    <n v="465"/>
    <x v="4"/>
    <x v="9"/>
    <n v="150016"/>
    <x v="1"/>
    <x v="1"/>
    <s v="Third"/>
    <n v="4856"/>
    <s v="165.7"/>
    <s v="20.01"/>
    <n v="4"/>
    <s v="47028.48"/>
    <s v="2021"/>
    <s v="150k+"/>
    <x v="0"/>
    <s v="Auto"/>
    <s v=""/>
    <s v="Volkswagen"/>
    <n v="47028.480000000003"/>
  </r>
  <r>
    <n v="466"/>
    <x v="4"/>
    <x v="2"/>
    <n v="24873"/>
    <x v="1"/>
    <x v="0"/>
    <s v="Third"/>
    <n v="1105"/>
    <s v="322.5"/>
    <s v="18.25"/>
    <n v="4"/>
    <s v="45493.13"/>
    <s v="2012"/>
    <s v="&lt;50k"/>
    <x v="0"/>
    <s v="Manual"/>
    <s v=""/>
    <s v="Volkswagen"/>
    <n v="45493.13"/>
  </r>
  <r>
    <n v="467"/>
    <x v="4"/>
    <x v="16"/>
    <n v="45372"/>
    <x v="1"/>
    <x v="0"/>
    <s v="First"/>
    <n v="4336"/>
    <s v="186.1"/>
    <s v="5.7"/>
    <n v="5"/>
    <s v="9115.43"/>
    <s v="2006"/>
    <s v="&lt;50k"/>
    <x v="0"/>
    <s v="Manual"/>
    <s v=""/>
    <s v="Volkswagen"/>
    <n v="9115.43"/>
  </r>
  <r>
    <n v="468"/>
    <x v="7"/>
    <x v="19"/>
    <n v="94464"/>
    <x v="1"/>
    <x v="0"/>
    <s v="First"/>
    <n v="2523"/>
    <s v="45.1"/>
    <s v="11.17"/>
    <n v="2"/>
    <s v="83208.02"/>
    <s v="2017"/>
    <s v="50k-100k"/>
    <x v="0"/>
    <s v="Manual"/>
    <s v=""/>
    <s v="Honda"/>
    <n v="83208.02"/>
  </r>
  <r>
    <n v="469"/>
    <x v="5"/>
    <x v="14"/>
    <n v="151451"/>
    <x v="0"/>
    <x v="0"/>
    <s v="First"/>
    <n v="2489"/>
    <s v="403.0"/>
    <s v="16.49"/>
    <n v="5"/>
    <s v="54037.09"/>
    <s v="2007"/>
    <s v="150k+"/>
    <x v="0"/>
    <s v="Manual"/>
    <s v=""/>
    <s v="Ford"/>
    <n v="54037.09"/>
  </r>
  <r>
    <n v="470"/>
    <x v="9"/>
    <x v="6"/>
    <n v="122322"/>
    <x v="3"/>
    <x v="0"/>
    <s v="Second"/>
    <n v="2317"/>
    <s v="326.2"/>
    <s v="20.71"/>
    <n v="6"/>
    <s v="25790.87"/>
    <s v="2020"/>
    <s v="100k-150k"/>
    <x v="0"/>
    <s v="Manual"/>
    <s v=""/>
    <s v="Nissan"/>
    <n v="25790.87"/>
  </r>
  <r>
    <n v="471"/>
    <x v="0"/>
    <x v="15"/>
    <n v="172823"/>
    <x v="3"/>
    <x v="1"/>
    <s v="Third"/>
    <n v="4717"/>
    <s v="289.5"/>
    <s v="18.93"/>
    <n v="5"/>
    <s v="98475.92"/>
    <s v="2010"/>
    <s v="150k+"/>
    <x v="0"/>
    <s v="Auto"/>
    <s v=""/>
    <s v="Audi"/>
    <n v="98475.92"/>
  </r>
  <r>
    <n v="472"/>
    <x v="1"/>
    <x v="11"/>
    <n v="105082"/>
    <x v="0"/>
    <x v="1"/>
    <s v="First"/>
    <n v="1219"/>
    <s v="581.5"/>
    <s v="23.57"/>
    <n v="7"/>
    <s v="96899.61"/>
    <s v="2023"/>
    <s v="100k-150k"/>
    <x v="0"/>
    <s v="Auto"/>
    <s v=""/>
    <s v="BMW"/>
    <n v="96899.61"/>
  </r>
  <r>
    <n v="473"/>
    <x v="4"/>
    <x v="17"/>
    <n v="10110"/>
    <x v="1"/>
    <x v="1"/>
    <s v="Second"/>
    <n v="3736"/>
    <s v="359.9"/>
    <s v="11.99"/>
    <n v="4"/>
    <s v="59907.82"/>
    <s v="2011"/>
    <s v="&lt;50k"/>
    <x v="0"/>
    <s v="Auto"/>
    <s v=""/>
    <s v="Volkswagen"/>
    <n v="59907.82"/>
  </r>
  <r>
    <n v="474"/>
    <x v="3"/>
    <x v="8"/>
    <n v="190413"/>
    <x v="0"/>
    <x v="0"/>
    <s v="First"/>
    <n v="4662"/>
    <s v="523.5"/>
    <s v="19.12"/>
    <n v="4"/>
    <s v="37918.73"/>
    <s v="2014"/>
    <s v="150k+"/>
    <x v="0"/>
    <s v="Manual"/>
    <s v=""/>
    <s v="Mercedes"/>
    <n v="37918.730000000003"/>
  </r>
  <r>
    <n v="475"/>
    <x v="7"/>
    <x v="10"/>
    <n v="17087"/>
    <x v="3"/>
    <x v="1"/>
    <s v="First"/>
    <n v="2250"/>
    <s v="118.1"/>
    <s v="7.2"/>
    <n v="2"/>
    <s v="77656.85"/>
    <s v="2013"/>
    <s v="&lt;50k"/>
    <x v="0"/>
    <s v="Auto"/>
    <s v=""/>
    <s v="Honda"/>
    <n v="77656.850000000006"/>
  </r>
  <r>
    <n v="476"/>
    <x v="2"/>
    <x v="16"/>
    <n v="159834"/>
    <x v="2"/>
    <x v="1"/>
    <s v="Third"/>
    <n v="3896"/>
    <s v="358.8"/>
    <s v="15.34"/>
    <n v="2"/>
    <s v="36713.8"/>
    <s v="2006"/>
    <s v="150k+"/>
    <x v="0"/>
    <s v="Auto"/>
    <s v=""/>
    <s v="Kia"/>
    <n v="36713.800000000003"/>
  </r>
  <r>
    <n v="477"/>
    <x v="1"/>
    <x v="1"/>
    <n v="87617"/>
    <x v="0"/>
    <x v="1"/>
    <s v="Second"/>
    <n v="4061"/>
    <s v="526.1"/>
    <s v="23.75"/>
    <n v="6"/>
    <s v="30612.93"/>
    <s v="2019"/>
    <s v="50k-100k"/>
    <x v="0"/>
    <s v="Auto"/>
    <s v=""/>
    <s v="BMW"/>
    <n v="30612.93"/>
  </r>
  <r>
    <n v="478"/>
    <x v="9"/>
    <x v="7"/>
    <n v="105483"/>
    <x v="1"/>
    <x v="0"/>
    <s v="Third"/>
    <n v="1964"/>
    <s v="366.5"/>
    <s v="22.34"/>
    <n v="6"/>
    <s v="88470.21"/>
    <s v="2009"/>
    <s v="100k-150k"/>
    <x v="0"/>
    <s v="Manual"/>
    <s v=""/>
    <s v="Nissan"/>
    <n v="88470.21"/>
  </r>
  <r>
    <n v="479"/>
    <x v="3"/>
    <x v="5"/>
    <n v="14596"/>
    <x v="3"/>
    <x v="0"/>
    <s v="Third"/>
    <n v="2669"/>
    <s v="442.1"/>
    <s v="29.77"/>
    <n v="7"/>
    <s v="7718.05"/>
    <s v="2008"/>
    <s v="&lt;50k"/>
    <x v="0"/>
    <s v="Manual"/>
    <s v=""/>
    <s v="Mercedes"/>
    <n v="7718.05"/>
  </r>
  <r>
    <n v="480"/>
    <x v="9"/>
    <x v="13"/>
    <n v="112539"/>
    <x v="3"/>
    <x v="1"/>
    <s v="First"/>
    <n v="2619"/>
    <s v="248.3"/>
    <s v="11.95"/>
    <n v="2"/>
    <s v="14087.91"/>
    <s v="2024"/>
    <s v="100k-150k"/>
    <x v="0"/>
    <s v="Auto"/>
    <s v=""/>
    <s v="Nissan"/>
    <n v="14087.91"/>
  </r>
  <r>
    <n v="481"/>
    <x v="1"/>
    <x v="5"/>
    <n v="23313"/>
    <x v="3"/>
    <x v="1"/>
    <s v="Third"/>
    <n v="3505"/>
    <s v="91.8"/>
    <s v="17.45"/>
    <n v="2"/>
    <s v="3794.22"/>
    <s v="2008"/>
    <s v="&lt;50k"/>
    <x v="0"/>
    <s v="Auto"/>
    <s v=""/>
    <s v="BMW"/>
    <n v="3794.22"/>
  </r>
  <r>
    <n v="482"/>
    <x v="4"/>
    <x v="18"/>
    <n v="118175"/>
    <x v="3"/>
    <x v="0"/>
    <s v="Second"/>
    <n v="4315"/>
    <s v="296.4"/>
    <s v="13.24"/>
    <n v="6"/>
    <s v="20894.35"/>
    <s v="2022"/>
    <s v="100k-150k"/>
    <x v="0"/>
    <s v="Manual"/>
    <s v=""/>
    <s v="Volkswagen"/>
    <n v="20894.349999999999"/>
  </r>
  <r>
    <n v="483"/>
    <x v="3"/>
    <x v="5"/>
    <n v="119914"/>
    <x v="1"/>
    <x v="0"/>
    <s v="Third"/>
    <n v="2142"/>
    <s v="260.9"/>
    <s v="16.02"/>
    <n v="6"/>
    <s v="11071.83"/>
    <s v="2008"/>
    <s v="100k-150k"/>
    <x v="0"/>
    <s v="Manual"/>
    <s v=""/>
    <s v="Mercedes"/>
    <n v="11071.83"/>
  </r>
  <r>
    <n v="484"/>
    <x v="9"/>
    <x v="9"/>
    <n v="28705"/>
    <x v="2"/>
    <x v="1"/>
    <s v="Third"/>
    <n v="3026"/>
    <s v="525.6"/>
    <s v="26.42"/>
    <n v="6"/>
    <s v="119508.88"/>
    <s v="2021"/>
    <s v="&lt;50k"/>
    <x v="0"/>
    <s v="Auto"/>
    <s v=""/>
    <s v="Nissan"/>
    <n v="119508.88"/>
  </r>
  <r>
    <n v="485"/>
    <x v="2"/>
    <x v="4"/>
    <n v="78445"/>
    <x v="3"/>
    <x v="0"/>
    <s v="Third"/>
    <n v="1879"/>
    <s v="176.6"/>
    <s v="22.11"/>
    <n v="4"/>
    <s v="36790.77"/>
    <s v="2016"/>
    <s v="50k-100k"/>
    <x v="0"/>
    <s v="Manual"/>
    <s v=""/>
    <s v="Kia"/>
    <n v="36790.769999999997"/>
  </r>
  <r>
    <n v="486"/>
    <x v="5"/>
    <x v="9"/>
    <n v="108892"/>
    <x v="0"/>
    <x v="1"/>
    <s v="First"/>
    <n v="3579"/>
    <s v="581.4"/>
    <s v="27.06"/>
    <n v="5"/>
    <s v="20464.36"/>
    <s v="2021"/>
    <s v="100k-150k"/>
    <x v="0"/>
    <s v="Auto"/>
    <s v=""/>
    <s v="Ford"/>
    <n v="20464.36"/>
  </r>
  <r>
    <n v="487"/>
    <x v="8"/>
    <x v="8"/>
    <n v="7023"/>
    <x v="2"/>
    <x v="0"/>
    <s v="Second"/>
    <n v="3328"/>
    <s v="576.6"/>
    <s v="10.09"/>
    <n v="5"/>
    <s v="31196.56"/>
    <s v="2014"/>
    <s v="&lt;50k"/>
    <x v="0"/>
    <s v="Manual"/>
    <s v=""/>
    <s v="Toyota"/>
    <n v="31196.560000000001"/>
  </r>
  <r>
    <n v="488"/>
    <x v="5"/>
    <x v="0"/>
    <n v="124654"/>
    <x v="3"/>
    <x v="1"/>
    <s v="First"/>
    <n v="1613"/>
    <s v="178.7"/>
    <s v="26.83"/>
    <n v="2"/>
    <s v="112526.69"/>
    <s v="2005"/>
    <s v="100k-150k"/>
    <x v="0"/>
    <s v="Auto"/>
    <s v=""/>
    <s v="Ford"/>
    <n v="112526.69"/>
  </r>
  <r>
    <n v="489"/>
    <x v="1"/>
    <x v="18"/>
    <n v="195868"/>
    <x v="2"/>
    <x v="1"/>
    <s v="First"/>
    <n v="2831"/>
    <s v="234.9"/>
    <s v="6.49"/>
    <n v="4"/>
    <s v="63858.75"/>
    <s v="2022"/>
    <s v="150k+"/>
    <x v="0"/>
    <s v="Auto"/>
    <s v=""/>
    <s v="BMW"/>
    <n v="63858.75"/>
  </r>
  <r>
    <n v="490"/>
    <x v="7"/>
    <x v="18"/>
    <n v="85073"/>
    <x v="0"/>
    <x v="0"/>
    <s v="First"/>
    <n v="1122"/>
    <s v="541.5"/>
    <s v="27.21"/>
    <n v="6"/>
    <s v="45683.72"/>
    <s v="2022"/>
    <s v="50k-100k"/>
    <x v="0"/>
    <s v="Manual"/>
    <s v=""/>
    <s v="Honda"/>
    <n v="45683.72"/>
  </r>
  <r>
    <n v="491"/>
    <x v="8"/>
    <x v="12"/>
    <n v="97197"/>
    <x v="3"/>
    <x v="1"/>
    <s v="First"/>
    <n v="3769"/>
    <s v="581.3"/>
    <s v="13.23"/>
    <n v="2"/>
    <s v="105186.8"/>
    <s v="2018"/>
    <s v="50k-100k"/>
    <x v="0"/>
    <s v="Auto"/>
    <s v=""/>
    <s v="Toyota"/>
    <n v="105186.8"/>
  </r>
  <r>
    <n v="492"/>
    <x v="0"/>
    <x v="1"/>
    <n v="69429"/>
    <x v="0"/>
    <x v="1"/>
    <s v="First"/>
    <n v="1703"/>
    <s v="288.3"/>
    <s v="12.86"/>
    <n v="4"/>
    <s v="49213.86"/>
    <s v="2019"/>
    <s v="50k-100k"/>
    <x v="0"/>
    <s v="Auto"/>
    <s v=""/>
    <s v="Audi"/>
    <n v="49213.86"/>
  </r>
  <r>
    <n v="493"/>
    <x v="2"/>
    <x v="4"/>
    <n v="109195"/>
    <x v="1"/>
    <x v="1"/>
    <s v="Second"/>
    <n v="2341"/>
    <s v="219.8"/>
    <s v="17.8"/>
    <n v="7"/>
    <s v="42196.0"/>
    <s v="2016"/>
    <s v="100k-150k"/>
    <x v="0"/>
    <s v="Auto"/>
    <s v=""/>
    <s v="Kia"/>
    <n v="42196"/>
  </r>
  <r>
    <n v="494"/>
    <x v="0"/>
    <x v="5"/>
    <n v="197699"/>
    <x v="3"/>
    <x v="0"/>
    <s v="Third"/>
    <n v="4303"/>
    <s v="334.6"/>
    <s v="28.52"/>
    <n v="4"/>
    <s v="27252.06"/>
    <s v="2008"/>
    <s v="150k+"/>
    <x v="0"/>
    <s v="Manual"/>
    <s v=""/>
    <s v="Audi"/>
    <n v="27252.06"/>
  </r>
  <r>
    <n v="495"/>
    <x v="3"/>
    <x v="14"/>
    <n v="38848"/>
    <x v="3"/>
    <x v="0"/>
    <s v="First"/>
    <n v="3453"/>
    <s v="425.2"/>
    <s v="6.19"/>
    <n v="2"/>
    <s v="47202.23"/>
    <s v="2007"/>
    <s v="&lt;50k"/>
    <x v="0"/>
    <s v="Manual"/>
    <s v=""/>
    <s v="Mercedes"/>
    <n v="47202.23"/>
  </r>
  <r>
    <n v="496"/>
    <x v="8"/>
    <x v="13"/>
    <n v="173876"/>
    <x v="3"/>
    <x v="0"/>
    <s v="First"/>
    <n v="3276"/>
    <s v="193.1"/>
    <s v="13.81"/>
    <n v="5"/>
    <s v="40052.07"/>
    <s v="2024"/>
    <s v="150k+"/>
    <x v="0"/>
    <s v="Manual"/>
    <s v=""/>
    <s v="Toyota"/>
    <n v="40052.07"/>
  </r>
  <r>
    <n v="497"/>
    <x v="0"/>
    <x v="4"/>
    <n v="151451"/>
    <x v="3"/>
    <x v="1"/>
    <s v="Second"/>
    <n v="4140"/>
    <s v="452.4"/>
    <s v="26.41"/>
    <n v="6"/>
    <s v="82244.56"/>
    <s v="2016"/>
    <s v="150k+"/>
    <x v="0"/>
    <s v="Auto"/>
    <s v=""/>
    <s v="Audi"/>
    <n v="82244.56"/>
  </r>
  <r>
    <n v="498"/>
    <x v="0"/>
    <x v="17"/>
    <n v="195736"/>
    <x v="1"/>
    <x v="0"/>
    <s v="Second"/>
    <n v="1941"/>
    <s v="68.9"/>
    <s v="14.9"/>
    <n v="7"/>
    <s v="36881.18"/>
    <s v="2011"/>
    <s v="150k+"/>
    <x v="0"/>
    <s v="Manual"/>
    <s v=""/>
    <s v="Audi"/>
    <n v="36881.18"/>
  </r>
  <r>
    <n v="499"/>
    <x v="9"/>
    <x v="3"/>
    <n v="32766"/>
    <x v="3"/>
    <x v="1"/>
    <s v="Third"/>
    <n v="1649"/>
    <s v="67.6"/>
    <s v="9.98"/>
    <n v="4"/>
    <s v="70532.37"/>
    <s v="2015"/>
    <s v="&lt;50k"/>
    <x v="0"/>
    <s v="Auto"/>
    <s v=""/>
    <s v="Nissan"/>
    <n v="70532.37"/>
  </r>
  <r>
    <n v="500"/>
    <x v="5"/>
    <x v="0"/>
    <n v="73099"/>
    <x v="2"/>
    <x v="1"/>
    <s v="Second"/>
    <n v="1166"/>
    <s v="256.3"/>
    <s v="15.62"/>
    <n v="2"/>
    <s v="10709.38"/>
    <s v="2005"/>
    <s v="50k-100k"/>
    <x v="0"/>
    <s v="Auto"/>
    <s v=""/>
    <s v="Ford"/>
    <n v="10709.38"/>
  </r>
  <r>
    <n v="501"/>
    <x v="9"/>
    <x v="15"/>
    <n v="172132"/>
    <x v="3"/>
    <x v="0"/>
    <s v="Third"/>
    <n v="3697"/>
    <s v="237.9"/>
    <s v="14.64"/>
    <n v="2"/>
    <s v="25380.83"/>
    <s v="2010"/>
    <s v="150k+"/>
    <x v="0"/>
    <s v="Manual"/>
    <s v=""/>
    <s v="Nissan"/>
    <n v="25380.83"/>
  </r>
  <r>
    <n v="502"/>
    <x v="8"/>
    <x v="1"/>
    <n v="74122"/>
    <x v="1"/>
    <x v="0"/>
    <s v="First"/>
    <n v="1889"/>
    <s v="216.8"/>
    <s v="27.89"/>
    <n v="6"/>
    <s v="50666.42"/>
    <s v="2019"/>
    <s v="50k-100k"/>
    <x v="0"/>
    <s v="Manual"/>
    <s v=""/>
    <s v="Toyota"/>
    <n v="50666.42"/>
  </r>
  <r>
    <n v="503"/>
    <x v="8"/>
    <x v="1"/>
    <n v="152159"/>
    <x v="3"/>
    <x v="1"/>
    <s v="First"/>
    <n v="4841"/>
    <s v="315.0"/>
    <s v="24.05"/>
    <n v="2"/>
    <s v="112623.06"/>
    <s v="2019"/>
    <s v="150k+"/>
    <x v="0"/>
    <s v="Auto"/>
    <s v=""/>
    <s v="Toyota"/>
    <n v="112623.06"/>
  </r>
  <r>
    <n v="504"/>
    <x v="1"/>
    <x v="11"/>
    <n v="53868"/>
    <x v="2"/>
    <x v="1"/>
    <s v="Third"/>
    <n v="2838"/>
    <s v="219.6"/>
    <s v="17.63"/>
    <n v="2"/>
    <s v="47138.48"/>
    <s v="2023"/>
    <s v="50k-100k"/>
    <x v="0"/>
    <s v="Auto"/>
    <s v=""/>
    <s v="BMW"/>
    <n v="47138.48"/>
  </r>
  <r>
    <n v="505"/>
    <x v="9"/>
    <x v="3"/>
    <n v="124119"/>
    <x v="1"/>
    <x v="0"/>
    <s v="Second"/>
    <n v="3660"/>
    <s v="147.7"/>
    <s v="29.71"/>
    <n v="6"/>
    <s v="80696.67"/>
    <s v="2015"/>
    <s v="100k-150k"/>
    <x v="0"/>
    <s v="Manual"/>
    <s v=""/>
    <s v="Nissan"/>
    <n v="80696.67"/>
  </r>
  <r>
    <n v="506"/>
    <x v="6"/>
    <x v="16"/>
    <n v="159297"/>
    <x v="1"/>
    <x v="0"/>
    <s v="Third"/>
    <n v="2654"/>
    <s v="213.3"/>
    <s v="16.63"/>
    <n v="7"/>
    <s v="32845.21"/>
    <s v="2006"/>
    <s v="150k+"/>
    <x v="0"/>
    <s v="Manual"/>
    <s v=""/>
    <s v="Hyundai"/>
    <n v="32845.21"/>
  </r>
  <r>
    <n v="507"/>
    <x v="5"/>
    <x v="12"/>
    <n v="100286"/>
    <x v="2"/>
    <x v="0"/>
    <s v="Second"/>
    <n v="1294"/>
    <s v="585.9"/>
    <s v="6.46"/>
    <n v="5"/>
    <s v="17862.93"/>
    <s v="2018"/>
    <s v="100k-150k"/>
    <x v="0"/>
    <s v="Manual"/>
    <s v=""/>
    <s v="Ford"/>
    <n v="17862.93"/>
  </r>
  <r>
    <n v="508"/>
    <x v="8"/>
    <x v="16"/>
    <n v="11643"/>
    <x v="2"/>
    <x v="1"/>
    <s v="First"/>
    <n v="3982"/>
    <s v="270.2"/>
    <s v="11.56"/>
    <n v="5"/>
    <s v="9848.78"/>
    <s v="2006"/>
    <s v="&lt;50k"/>
    <x v="0"/>
    <s v="Auto"/>
    <s v=""/>
    <s v="Toyota"/>
    <n v="9848.7800000000007"/>
  </r>
  <r>
    <n v="509"/>
    <x v="1"/>
    <x v="5"/>
    <n v="41727"/>
    <x v="2"/>
    <x v="1"/>
    <s v="Second"/>
    <n v="2584"/>
    <s v="289.0"/>
    <s v="15.9"/>
    <n v="4"/>
    <s v="38733.38"/>
    <s v="2008"/>
    <s v="&lt;50k"/>
    <x v="0"/>
    <s v="Auto"/>
    <s v=""/>
    <s v="BMW"/>
    <n v="38733.379999999997"/>
  </r>
  <r>
    <n v="510"/>
    <x v="9"/>
    <x v="9"/>
    <n v="147077"/>
    <x v="2"/>
    <x v="1"/>
    <s v="Third"/>
    <n v="4310"/>
    <s v="362.9"/>
    <s v="8.92"/>
    <n v="7"/>
    <s v="21446.34"/>
    <s v="2021"/>
    <s v="100k-150k"/>
    <x v="0"/>
    <s v="Auto"/>
    <s v=""/>
    <s v="Nissan"/>
    <n v="21446.34"/>
  </r>
  <r>
    <n v="511"/>
    <x v="5"/>
    <x v="14"/>
    <n v="114079"/>
    <x v="2"/>
    <x v="1"/>
    <s v="Third"/>
    <n v="4586"/>
    <s v="590.7"/>
    <s v="28.69"/>
    <n v="4"/>
    <s v="23359.22"/>
    <s v="2007"/>
    <s v="100k-150k"/>
    <x v="0"/>
    <s v="Auto"/>
    <s v=""/>
    <s v="Ford"/>
    <n v="23359.22"/>
  </r>
  <r>
    <n v="512"/>
    <x v="9"/>
    <x v="19"/>
    <n v="70697"/>
    <x v="1"/>
    <x v="1"/>
    <s v="First"/>
    <n v="4930"/>
    <s v="175.3"/>
    <s v="24.17"/>
    <n v="5"/>
    <s v="92008.84"/>
    <s v="2017"/>
    <s v="50k-100k"/>
    <x v="0"/>
    <s v="Auto"/>
    <s v=""/>
    <s v="Nissan"/>
    <n v="92008.84"/>
  </r>
  <r>
    <n v="513"/>
    <x v="0"/>
    <x v="10"/>
    <n v="21029"/>
    <x v="1"/>
    <x v="0"/>
    <s v="Second"/>
    <n v="1798"/>
    <s v="421.5"/>
    <s v="11.71"/>
    <n v="6"/>
    <s v="4853.05"/>
    <s v="2013"/>
    <s v="&lt;50k"/>
    <x v="0"/>
    <s v="Manual"/>
    <s v=""/>
    <s v="Audi"/>
    <n v="4853.05"/>
  </r>
  <r>
    <n v="514"/>
    <x v="1"/>
    <x v="17"/>
    <n v="150298"/>
    <x v="3"/>
    <x v="0"/>
    <s v="Second"/>
    <n v="2251"/>
    <s v="441.0"/>
    <s v="19.77"/>
    <n v="2"/>
    <s v="68263.78"/>
    <s v="2011"/>
    <s v="150k+"/>
    <x v="0"/>
    <s v="Manual"/>
    <s v=""/>
    <s v="BMW"/>
    <n v="68263.78"/>
  </r>
  <r>
    <n v="515"/>
    <x v="5"/>
    <x v="1"/>
    <n v="199718"/>
    <x v="3"/>
    <x v="1"/>
    <s v="Second"/>
    <n v="2551"/>
    <s v="380.1"/>
    <s v="23.04"/>
    <n v="5"/>
    <s v="47396.98"/>
    <s v="2019"/>
    <s v="150k+"/>
    <x v="0"/>
    <s v="Auto"/>
    <s v=""/>
    <s v="Ford"/>
    <n v="47396.98"/>
  </r>
  <r>
    <n v="516"/>
    <x v="4"/>
    <x v="3"/>
    <n v="196675"/>
    <x v="0"/>
    <x v="1"/>
    <s v="First"/>
    <n v="3080"/>
    <s v="89.6"/>
    <s v="28.53"/>
    <n v="7"/>
    <s v="62266.35"/>
    <s v="2015"/>
    <s v="150k+"/>
    <x v="0"/>
    <s v="Auto"/>
    <s v=""/>
    <s v="Volkswagen"/>
    <n v="62266.35"/>
  </r>
  <r>
    <n v="517"/>
    <x v="3"/>
    <x v="13"/>
    <n v="164803"/>
    <x v="3"/>
    <x v="0"/>
    <s v="Second"/>
    <n v="3734"/>
    <s v="419.0"/>
    <s v="27.04"/>
    <n v="5"/>
    <s v="68851.14"/>
    <s v="2024"/>
    <s v="150k+"/>
    <x v="0"/>
    <s v="Manual"/>
    <s v=""/>
    <s v="Mercedes"/>
    <n v="68851.14"/>
  </r>
  <r>
    <n v="518"/>
    <x v="3"/>
    <x v="16"/>
    <n v="114458"/>
    <x v="3"/>
    <x v="0"/>
    <s v="Third"/>
    <n v="4534"/>
    <s v="75.9"/>
    <s v="17.88"/>
    <n v="7"/>
    <s v="39664.02"/>
    <s v="2006"/>
    <s v="100k-150k"/>
    <x v="0"/>
    <s v="Manual"/>
    <s v=""/>
    <s v="Mercedes"/>
    <n v="39664.019999999997"/>
  </r>
  <r>
    <n v="519"/>
    <x v="5"/>
    <x v="1"/>
    <n v="115384"/>
    <x v="2"/>
    <x v="0"/>
    <s v="Second"/>
    <n v="4146"/>
    <s v="373.8"/>
    <s v="24.37"/>
    <n v="7"/>
    <s v="37527.74"/>
    <s v="2019"/>
    <s v="100k-150k"/>
    <x v="0"/>
    <s v="Manual"/>
    <s v=""/>
    <s v="Ford"/>
    <n v="37527.74"/>
  </r>
  <r>
    <n v="520"/>
    <x v="9"/>
    <x v="12"/>
    <n v="73926"/>
    <x v="2"/>
    <x v="0"/>
    <s v="First"/>
    <n v="2673"/>
    <s v="454.2"/>
    <s v="19.05"/>
    <n v="7"/>
    <s v="88808.02"/>
    <s v="2018"/>
    <s v="50k-100k"/>
    <x v="0"/>
    <s v="Manual"/>
    <s v=""/>
    <s v="Nissan"/>
    <n v="88808.02"/>
  </r>
  <r>
    <n v="521"/>
    <x v="1"/>
    <x v="13"/>
    <n v="142069"/>
    <x v="3"/>
    <x v="1"/>
    <s v="Second"/>
    <n v="4603"/>
    <s v="158.1"/>
    <s v="18.82"/>
    <n v="4"/>
    <s v="104939.41"/>
    <s v="2024"/>
    <s v="100k-150k"/>
    <x v="0"/>
    <s v="Auto"/>
    <s v=""/>
    <s v="BMW"/>
    <n v="104939.41"/>
  </r>
  <r>
    <n v="522"/>
    <x v="3"/>
    <x v="3"/>
    <n v="60506"/>
    <x v="0"/>
    <x v="0"/>
    <s v="Second"/>
    <n v="2779"/>
    <s v="511.3"/>
    <s v="7.87"/>
    <n v="6"/>
    <s v="25532.05"/>
    <s v="2015"/>
    <s v="50k-100k"/>
    <x v="0"/>
    <s v="Manual"/>
    <s v=""/>
    <s v="Mercedes"/>
    <n v="25532.05"/>
  </r>
  <r>
    <n v="523"/>
    <x v="1"/>
    <x v="14"/>
    <n v="83229"/>
    <x v="2"/>
    <x v="1"/>
    <s v="Third"/>
    <n v="1498"/>
    <s v="57.0"/>
    <s v="8.15"/>
    <n v="5"/>
    <s v="14421.39"/>
    <s v="2007"/>
    <s v="50k-100k"/>
    <x v="0"/>
    <s v="Auto"/>
    <s v=""/>
    <s v="BMW"/>
    <n v="14421.39"/>
  </r>
  <r>
    <n v="524"/>
    <x v="3"/>
    <x v="9"/>
    <n v="185887"/>
    <x v="3"/>
    <x v="0"/>
    <s v="Second"/>
    <n v="2112"/>
    <s v="512.5"/>
    <s v="18.24"/>
    <n v="6"/>
    <s v="108042.11"/>
    <s v="2021"/>
    <s v="150k+"/>
    <x v="0"/>
    <s v="Manual"/>
    <s v=""/>
    <s v="Mercedes"/>
    <n v="108042.11"/>
  </r>
  <r>
    <n v="525"/>
    <x v="0"/>
    <x v="4"/>
    <n v="47092"/>
    <x v="3"/>
    <x v="0"/>
    <s v="Third"/>
    <n v="3762"/>
    <s v="297.8"/>
    <s v="11.72"/>
    <n v="2"/>
    <s v="43937.77"/>
    <s v="2016"/>
    <s v="&lt;50k"/>
    <x v="0"/>
    <s v="Manual"/>
    <s v=""/>
    <s v="Audi"/>
    <n v="43937.77"/>
  </r>
  <r>
    <n v="526"/>
    <x v="9"/>
    <x v="1"/>
    <n v="67539"/>
    <x v="1"/>
    <x v="0"/>
    <s v="Third"/>
    <n v="3738"/>
    <s v="161.8"/>
    <s v="5.53"/>
    <n v="5"/>
    <s v="67504.13"/>
    <s v="2019"/>
    <s v="50k-100k"/>
    <x v="0"/>
    <s v="Manual"/>
    <s v=""/>
    <s v="Nissan"/>
    <n v="67504.13"/>
  </r>
  <r>
    <n v="527"/>
    <x v="0"/>
    <x v="6"/>
    <n v="157889"/>
    <x v="0"/>
    <x v="1"/>
    <s v="First"/>
    <n v="3100"/>
    <s v="114.9"/>
    <s v="23.07"/>
    <n v="6"/>
    <s v="45066.55"/>
    <s v="2020"/>
    <s v="150k+"/>
    <x v="0"/>
    <s v="Auto"/>
    <s v=""/>
    <s v="Audi"/>
    <n v="45066.55"/>
  </r>
  <r>
    <n v="528"/>
    <x v="3"/>
    <x v="7"/>
    <n v="173933"/>
    <x v="1"/>
    <x v="1"/>
    <s v="Third"/>
    <n v="3997"/>
    <s v="573.9"/>
    <s v="5.81"/>
    <n v="6"/>
    <s v="17718.87"/>
    <s v="2009"/>
    <s v="150k+"/>
    <x v="0"/>
    <s v="Auto"/>
    <s v=""/>
    <s v="Mercedes"/>
    <n v="17718.87"/>
  </r>
  <r>
    <n v="529"/>
    <x v="4"/>
    <x v="13"/>
    <n v="18428"/>
    <x v="0"/>
    <x v="0"/>
    <s v="Third"/>
    <n v="926"/>
    <s v="80.7"/>
    <s v="19.88"/>
    <n v="2"/>
    <s v="71951.8"/>
    <s v="2024"/>
    <s v="&lt;50k"/>
    <x v="0"/>
    <s v="Manual"/>
    <s v=""/>
    <s v="Volkswagen"/>
    <n v="71951.8"/>
  </r>
  <r>
    <n v="530"/>
    <x v="4"/>
    <x v="15"/>
    <n v="180006"/>
    <x v="2"/>
    <x v="1"/>
    <s v="First"/>
    <n v="1991"/>
    <s v="151.5"/>
    <s v="18.48"/>
    <n v="7"/>
    <s v="64441.48"/>
    <s v="2010"/>
    <s v="150k+"/>
    <x v="0"/>
    <s v="Auto"/>
    <s v=""/>
    <s v="Volkswagen"/>
    <n v="64441.48"/>
  </r>
  <r>
    <n v="531"/>
    <x v="0"/>
    <x v="11"/>
    <n v="146330"/>
    <x v="0"/>
    <x v="1"/>
    <s v="Third"/>
    <n v="3439"/>
    <s v="234.8"/>
    <s v="29.22"/>
    <n v="5"/>
    <s v="26750.25"/>
    <s v="2023"/>
    <s v="100k-150k"/>
    <x v="0"/>
    <s v="Auto"/>
    <s v=""/>
    <s v="Audi"/>
    <n v="26750.25"/>
  </r>
  <r>
    <n v="532"/>
    <x v="4"/>
    <x v="7"/>
    <n v="62775"/>
    <x v="3"/>
    <x v="0"/>
    <s v="First"/>
    <n v="4716"/>
    <s v="387.3"/>
    <s v="17.11"/>
    <n v="5"/>
    <s v="55868.68"/>
    <s v="2009"/>
    <s v="50k-100k"/>
    <x v="0"/>
    <s v="Manual"/>
    <s v=""/>
    <s v="Volkswagen"/>
    <n v="55868.68"/>
  </r>
  <r>
    <n v="533"/>
    <x v="3"/>
    <x v="14"/>
    <n v="10469"/>
    <x v="3"/>
    <x v="0"/>
    <s v="Second"/>
    <n v="2166"/>
    <s v="345.1"/>
    <s v="6.59"/>
    <n v="2"/>
    <s v="96242.86"/>
    <s v="2007"/>
    <s v="&lt;50k"/>
    <x v="0"/>
    <s v="Manual"/>
    <s v=""/>
    <s v="Mercedes"/>
    <n v="96242.86"/>
  </r>
  <r>
    <n v="534"/>
    <x v="5"/>
    <x v="0"/>
    <n v="33854"/>
    <x v="0"/>
    <x v="1"/>
    <s v="First"/>
    <n v="1819"/>
    <s v="110.4"/>
    <s v="18.79"/>
    <n v="7"/>
    <s v="72079.85"/>
    <s v="2005"/>
    <s v="&lt;50k"/>
    <x v="0"/>
    <s v="Auto"/>
    <s v=""/>
    <s v="Ford"/>
    <n v="72079.850000000006"/>
  </r>
  <r>
    <n v="535"/>
    <x v="0"/>
    <x v="15"/>
    <n v="142328"/>
    <x v="0"/>
    <x v="1"/>
    <s v="Third"/>
    <n v="4879"/>
    <s v="202.2"/>
    <s v="26.03"/>
    <n v="5"/>
    <s v="14339.33"/>
    <s v="2010"/>
    <s v="100k-150k"/>
    <x v="0"/>
    <s v="Auto"/>
    <s v=""/>
    <s v="Audi"/>
    <n v="14339.33"/>
  </r>
  <r>
    <n v="536"/>
    <x v="7"/>
    <x v="1"/>
    <n v="81256"/>
    <x v="0"/>
    <x v="1"/>
    <s v="First"/>
    <n v="1484"/>
    <s v="173.7"/>
    <s v="29.92"/>
    <n v="5"/>
    <s v="67118.52"/>
    <s v="2019"/>
    <s v="50k-100k"/>
    <x v="0"/>
    <s v="Auto"/>
    <s v=""/>
    <s v="Honda"/>
    <n v="67118.52"/>
  </r>
  <r>
    <n v="537"/>
    <x v="9"/>
    <x v="16"/>
    <n v="170009"/>
    <x v="1"/>
    <x v="0"/>
    <s v="Third"/>
    <n v="4429"/>
    <s v="159.6"/>
    <s v="15.76"/>
    <n v="5"/>
    <s v="85220.38"/>
    <s v="2006"/>
    <s v="150k+"/>
    <x v="0"/>
    <s v="Manual"/>
    <s v=""/>
    <s v="Nissan"/>
    <n v="85220.38"/>
  </r>
  <r>
    <n v="538"/>
    <x v="4"/>
    <x v="14"/>
    <n v="104134"/>
    <x v="0"/>
    <x v="0"/>
    <s v="Second"/>
    <n v="3687"/>
    <s v="270.2"/>
    <s v="13.01"/>
    <n v="7"/>
    <s v="95746.3"/>
    <s v="2007"/>
    <s v="100k-150k"/>
    <x v="0"/>
    <s v="Manual"/>
    <s v=""/>
    <s v="Volkswagen"/>
    <n v="95746.3"/>
  </r>
  <r>
    <n v="539"/>
    <x v="4"/>
    <x v="9"/>
    <n v="137723"/>
    <x v="2"/>
    <x v="1"/>
    <s v="First"/>
    <n v="2262"/>
    <s v="434.3"/>
    <s v="27.67"/>
    <n v="2"/>
    <s v="76606.76"/>
    <s v="2021"/>
    <s v="100k-150k"/>
    <x v="0"/>
    <s v="Auto"/>
    <s v=""/>
    <s v="Volkswagen"/>
    <n v="76606.759999999995"/>
  </r>
  <r>
    <n v="540"/>
    <x v="8"/>
    <x v="4"/>
    <n v="186360"/>
    <x v="1"/>
    <x v="0"/>
    <s v="Second"/>
    <n v="4886"/>
    <s v="161.8"/>
    <s v="9.78"/>
    <n v="5"/>
    <s v="20861.01"/>
    <s v="2016"/>
    <s v="150k+"/>
    <x v="0"/>
    <s v="Manual"/>
    <s v=""/>
    <s v="Toyota"/>
    <n v="20861.009999999998"/>
  </r>
  <r>
    <n v="541"/>
    <x v="6"/>
    <x v="18"/>
    <n v="89730"/>
    <x v="1"/>
    <x v="0"/>
    <s v="Third"/>
    <n v="3061"/>
    <s v="245.3"/>
    <s v="20.39"/>
    <n v="6"/>
    <s v="86090.27"/>
    <s v="2022"/>
    <s v="50k-100k"/>
    <x v="0"/>
    <s v="Manual"/>
    <s v=""/>
    <s v="Hyundai"/>
    <n v="86090.27"/>
  </r>
  <r>
    <n v="542"/>
    <x v="0"/>
    <x v="1"/>
    <n v="161123"/>
    <x v="0"/>
    <x v="1"/>
    <s v="Third"/>
    <n v="4980"/>
    <s v="258.9"/>
    <s v="15.14"/>
    <n v="7"/>
    <s v="82249.0"/>
    <s v="2019"/>
    <s v="150k+"/>
    <x v="0"/>
    <s v="Auto"/>
    <s v=""/>
    <s v="Audi"/>
    <n v="82249"/>
  </r>
  <r>
    <n v="543"/>
    <x v="2"/>
    <x v="4"/>
    <n v="32386"/>
    <x v="2"/>
    <x v="1"/>
    <s v="Second"/>
    <n v="3641"/>
    <s v="586.8"/>
    <s v="6.03"/>
    <n v="4"/>
    <s v="5857.95"/>
    <s v="2016"/>
    <s v="&lt;50k"/>
    <x v="0"/>
    <s v="Auto"/>
    <s v=""/>
    <s v="Kia"/>
    <n v="5857.95"/>
  </r>
  <r>
    <n v="544"/>
    <x v="4"/>
    <x v="6"/>
    <n v="152256"/>
    <x v="1"/>
    <x v="0"/>
    <s v="First"/>
    <n v="2567"/>
    <s v="574.6"/>
    <s v="13.68"/>
    <n v="2"/>
    <s v="51174.48"/>
    <s v="2020"/>
    <s v="150k+"/>
    <x v="0"/>
    <s v="Manual"/>
    <s v=""/>
    <s v="Volkswagen"/>
    <n v="51174.48"/>
  </r>
  <r>
    <n v="545"/>
    <x v="9"/>
    <x v="2"/>
    <n v="38787"/>
    <x v="3"/>
    <x v="0"/>
    <s v="First"/>
    <n v="4980"/>
    <s v="488.1"/>
    <s v="11.63"/>
    <n v="6"/>
    <s v="41955.18"/>
    <s v="2012"/>
    <s v="&lt;50k"/>
    <x v="0"/>
    <s v="Manual"/>
    <s v=""/>
    <s v="Nissan"/>
    <n v="41955.18"/>
  </r>
  <r>
    <n v="546"/>
    <x v="7"/>
    <x v="12"/>
    <n v="26621"/>
    <x v="1"/>
    <x v="1"/>
    <s v="Third"/>
    <n v="4360"/>
    <s v="175.3"/>
    <s v="22.15"/>
    <n v="5"/>
    <s v="81321.21"/>
    <s v="2018"/>
    <s v="&lt;50k"/>
    <x v="0"/>
    <s v="Auto"/>
    <s v=""/>
    <s v="Honda"/>
    <n v="81321.210000000006"/>
  </r>
  <r>
    <n v="547"/>
    <x v="4"/>
    <x v="9"/>
    <n v="82984"/>
    <x v="0"/>
    <x v="0"/>
    <s v="Second"/>
    <n v="2912"/>
    <s v="78.1"/>
    <s v="28.72"/>
    <n v="4"/>
    <s v="28287.89"/>
    <s v="2021"/>
    <s v="50k-100k"/>
    <x v="0"/>
    <s v="Manual"/>
    <s v=""/>
    <s v="Volkswagen"/>
    <n v="28287.89"/>
  </r>
  <r>
    <n v="548"/>
    <x v="7"/>
    <x v="2"/>
    <n v="195864"/>
    <x v="2"/>
    <x v="0"/>
    <s v="Second"/>
    <n v="1426"/>
    <s v="217.5"/>
    <s v="11.7"/>
    <n v="2"/>
    <s v="72132.01"/>
    <s v="2012"/>
    <s v="150k+"/>
    <x v="0"/>
    <s v="Manual"/>
    <s v=""/>
    <s v="Honda"/>
    <n v="72132.009999999995"/>
  </r>
  <r>
    <n v="549"/>
    <x v="3"/>
    <x v="1"/>
    <n v="181325"/>
    <x v="0"/>
    <x v="1"/>
    <s v="First"/>
    <n v="4959"/>
    <s v="189.4"/>
    <s v="25.29"/>
    <n v="7"/>
    <s v="109845.1"/>
    <s v="2019"/>
    <s v="150k+"/>
    <x v="0"/>
    <s v="Auto"/>
    <s v=""/>
    <s v="Mercedes"/>
    <n v="109845.1"/>
  </r>
  <r>
    <n v="550"/>
    <x v="3"/>
    <x v="12"/>
    <n v="39051"/>
    <x v="3"/>
    <x v="1"/>
    <s v="First"/>
    <n v="4214"/>
    <s v="323.3"/>
    <s v="6.38"/>
    <n v="4"/>
    <s v="96342.88"/>
    <s v="2018"/>
    <s v="&lt;50k"/>
    <x v="0"/>
    <s v="Auto"/>
    <s v=""/>
    <s v="Mercedes"/>
    <n v="96342.88"/>
  </r>
  <r>
    <n v="551"/>
    <x v="6"/>
    <x v="18"/>
    <n v="54811"/>
    <x v="3"/>
    <x v="0"/>
    <s v="First"/>
    <n v="2175"/>
    <s v="475.5"/>
    <s v="18.45"/>
    <n v="4"/>
    <s v="110810.56"/>
    <s v="2022"/>
    <s v="50k-100k"/>
    <x v="0"/>
    <s v="Manual"/>
    <s v=""/>
    <s v="Hyundai"/>
    <n v="110810.56"/>
  </r>
  <r>
    <n v="552"/>
    <x v="5"/>
    <x v="13"/>
    <n v="35447"/>
    <x v="3"/>
    <x v="0"/>
    <s v="Second"/>
    <n v="1981"/>
    <s v="520.7"/>
    <s v="6.76"/>
    <n v="6"/>
    <s v="117485.2"/>
    <s v="2024"/>
    <s v="&lt;50k"/>
    <x v="0"/>
    <s v="Manual"/>
    <s v=""/>
    <s v="Ford"/>
    <n v="117485.2"/>
  </r>
  <r>
    <n v="553"/>
    <x v="2"/>
    <x v="17"/>
    <n v="133046"/>
    <x v="0"/>
    <x v="0"/>
    <s v="First"/>
    <n v="1290"/>
    <s v="513.1"/>
    <s v="28.35"/>
    <n v="2"/>
    <s v="4248.4"/>
    <s v="2011"/>
    <s v="100k-150k"/>
    <x v="0"/>
    <s v="Manual"/>
    <s v=""/>
    <s v="Kia"/>
    <n v="4248.3999999999996"/>
  </r>
  <r>
    <n v="554"/>
    <x v="8"/>
    <x v="14"/>
    <n v="166326"/>
    <x v="1"/>
    <x v="1"/>
    <s v="First"/>
    <n v="4529"/>
    <s v="241.4"/>
    <s v="24.16"/>
    <n v="6"/>
    <s v="75860.73"/>
    <s v="2007"/>
    <s v="150k+"/>
    <x v="0"/>
    <s v="Auto"/>
    <s v=""/>
    <s v="Toyota"/>
    <n v="75860.73"/>
  </r>
  <r>
    <n v="555"/>
    <x v="6"/>
    <x v="4"/>
    <n v="89045"/>
    <x v="0"/>
    <x v="0"/>
    <s v="Third"/>
    <n v="4334"/>
    <s v="424.9"/>
    <s v="21.45"/>
    <n v="6"/>
    <s v="51302.21"/>
    <s v="2016"/>
    <s v="50k-100k"/>
    <x v="0"/>
    <s v="Manual"/>
    <s v=""/>
    <s v="Hyundai"/>
    <n v="51302.21"/>
  </r>
  <r>
    <n v="556"/>
    <x v="1"/>
    <x v="14"/>
    <n v="121859"/>
    <x v="2"/>
    <x v="0"/>
    <s v="First"/>
    <n v="4096"/>
    <s v="215.2"/>
    <s v="25.6"/>
    <n v="5"/>
    <s v="103602.98"/>
    <s v="2007"/>
    <s v="100k-150k"/>
    <x v="0"/>
    <s v="Manual"/>
    <s v=""/>
    <s v="BMW"/>
    <n v="103602.98"/>
  </r>
  <r>
    <n v="557"/>
    <x v="8"/>
    <x v="13"/>
    <n v="193490"/>
    <x v="1"/>
    <x v="1"/>
    <s v="First"/>
    <n v="2740"/>
    <s v="74.1"/>
    <s v="21.19"/>
    <n v="7"/>
    <s v="32462.32"/>
    <s v="2024"/>
    <s v="150k+"/>
    <x v="0"/>
    <s v="Auto"/>
    <s v=""/>
    <s v="Toyota"/>
    <n v="32462.32"/>
  </r>
  <r>
    <n v="558"/>
    <x v="0"/>
    <x v="12"/>
    <n v="150544"/>
    <x v="3"/>
    <x v="1"/>
    <s v="Second"/>
    <n v="2682"/>
    <s v="432.9"/>
    <s v="29.22"/>
    <n v="4"/>
    <s v="117780.45"/>
    <s v="2018"/>
    <s v="150k+"/>
    <x v="0"/>
    <s v="Auto"/>
    <s v=""/>
    <s v="Audi"/>
    <n v="117780.45"/>
  </r>
  <r>
    <n v="559"/>
    <x v="9"/>
    <x v="1"/>
    <n v="8471"/>
    <x v="0"/>
    <x v="0"/>
    <s v="Second"/>
    <n v="3787"/>
    <s v="45.5"/>
    <s v="22.85"/>
    <n v="2"/>
    <s v="74803.83"/>
    <s v="2019"/>
    <s v="&lt;50k"/>
    <x v="0"/>
    <s v="Manual"/>
    <s v=""/>
    <s v="Nissan"/>
    <n v="74803.83"/>
  </r>
  <r>
    <n v="560"/>
    <x v="1"/>
    <x v="12"/>
    <n v="125312"/>
    <x v="3"/>
    <x v="1"/>
    <s v="Third"/>
    <n v="3959"/>
    <s v="269.1"/>
    <s v="28.12"/>
    <n v="7"/>
    <s v="95843.88"/>
    <s v="2018"/>
    <s v="100k-150k"/>
    <x v="0"/>
    <s v="Auto"/>
    <s v=""/>
    <s v="BMW"/>
    <n v="95843.88"/>
  </r>
  <r>
    <n v="561"/>
    <x v="1"/>
    <x v="17"/>
    <n v="144401"/>
    <x v="3"/>
    <x v="1"/>
    <s v="First"/>
    <n v="1481"/>
    <s v="224.5"/>
    <s v="17.93"/>
    <n v="7"/>
    <s v="13015.15"/>
    <s v="2011"/>
    <s v="100k-150k"/>
    <x v="0"/>
    <s v="Auto"/>
    <s v=""/>
    <s v="BMW"/>
    <n v="13015.15"/>
  </r>
  <r>
    <n v="562"/>
    <x v="6"/>
    <x v="9"/>
    <n v="170937"/>
    <x v="2"/>
    <x v="0"/>
    <s v="Third"/>
    <n v="1873"/>
    <s v="428.3"/>
    <s v="7.93"/>
    <n v="2"/>
    <s v="24464.57"/>
    <s v="2021"/>
    <s v="150k+"/>
    <x v="0"/>
    <s v="Manual"/>
    <s v=""/>
    <s v="Hyundai"/>
    <n v="24464.57"/>
  </r>
  <r>
    <n v="563"/>
    <x v="5"/>
    <x v="4"/>
    <n v="51850"/>
    <x v="1"/>
    <x v="1"/>
    <s v="Second"/>
    <n v="3187"/>
    <s v="469.1"/>
    <s v="18.2"/>
    <n v="7"/>
    <s v="91733.23"/>
    <s v="2016"/>
    <s v="50k-100k"/>
    <x v="0"/>
    <s v="Auto"/>
    <s v=""/>
    <s v="Ford"/>
    <n v="91733.23"/>
  </r>
  <r>
    <n v="564"/>
    <x v="6"/>
    <x v="13"/>
    <n v="59220"/>
    <x v="2"/>
    <x v="1"/>
    <s v="Third"/>
    <n v="3194"/>
    <s v="210.3"/>
    <s v="8.17"/>
    <n v="5"/>
    <s v="5572.42"/>
    <s v="2024"/>
    <s v="50k-100k"/>
    <x v="0"/>
    <s v="Auto"/>
    <s v=""/>
    <s v="Hyundai"/>
    <n v="5572.42"/>
  </r>
  <r>
    <n v="565"/>
    <x v="0"/>
    <x v="5"/>
    <n v="98808"/>
    <x v="2"/>
    <x v="0"/>
    <s v="Second"/>
    <n v="3493"/>
    <s v="494.5"/>
    <s v="19.81"/>
    <n v="7"/>
    <s v="98574.72"/>
    <s v="2008"/>
    <s v="50k-100k"/>
    <x v="0"/>
    <s v="Manual"/>
    <s v=""/>
    <s v="Audi"/>
    <n v="98574.720000000001"/>
  </r>
  <r>
    <n v="566"/>
    <x v="4"/>
    <x v="10"/>
    <n v="142469"/>
    <x v="2"/>
    <x v="1"/>
    <s v="Third"/>
    <n v="2170"/>
    <s v="204.6"/>
    <s v="17.06"/>
    <n v="5"/>
    <s v="4632.04"/>
    <s v="2013"/>
    <s v="100k-150k"/>
    <x v="0"/>
    <s v="Auto"/>
    <s v=""/>
    <s v="Volkswagen"/>
    <n v="4632.04"/>
  </r>
  <r>
    <n v="567"/>
    <x v="4"/>
    <x v="15"/>
    <n v="171597"/>
    <x v="3"/>
    <x v="0"/>
    <s v="Third"/>
    <n v="2956"/>
    <s v="289.9"/>
    <s v="20.56"/>
    <n v="4"/>
    <s v="79882.9"/>
    <s v="2010"/>
    <s v="150k+"/>
    <x v="0"/>
    <s v="Manual"/>
    <s v=""/>
    <s v="Volkswagen"/>
    <n v="79882.899999999994"/>
  </r>
  <r>
    <n v="568"/>
    <x v="5"/>
    <x v="6"/>
    <n v="58072"/>
    <x v="2"/>
    <x v="0"/>
    <s v="First"/>
    <n v="3380"/>
    <s v="447.1"/>
    <s v="5.25"/>
    <n v="4"/>
    <s v="45715.99"/>
    <s v="2020"/>
    <s v="50k-100k"/>
    <x v="0"/>
    <s v="Manual"/>
    <s v=""/>
    <s v="Ford"/>
    <n v="45715.99"/>
  </r>
  <r>
    <n v="569"/>
    <x v="0"/>
    <x v="16"/>
    <n v="88820"/>
    <x v="2"/>
    <x v="1"/>
    <s v="Third"/>
    <n v="2959"/>
    <s v="428.0"/>
    <s v="9.87"/>
    <n v="6"/>
    <s v="74544.9"/>
    <s v="2006"/>
    <s v="50k-100k"/>
    <x v="0"/>
    <s v="Auto"/>
    <s v=""/>
    <s v="Audi"/>
    <n v="74544.899999999994"/>
  </r>
  <r>
    <n v="570"/>
    <x v="5"/>
    <x v="2"/>
    <n v="28284"/>
    <x v="1"/>
    <x v="1"/>
    <s v="First"/>
    <n v="4048"/>
    <s v="592.9"/>
    <s v="17.28"/>
    <n v="5"/>
    <s v="84435.67"/>
    <s v="2012"/>
    <s v="&lt;50k"/>
    <x v="0"/>
    <s v="Auto"/>
    <s v=""/>
    <s v="Ford"/>
    <n v="84435.67"/>
  </r>
  <r>
    <n v="571"/>
    <x v="7"/>
    <x v="3"/>
    <n v="197402"/>
    <x v="1"/>
    <x v="1"/>
    <s v="First"/>
    <n v="4531"/>
    <s v="166.1"/>
    <s v="28.76"/>
    <n v="4"/>
    <s v="43069.6"/>
    <s v="2015"/>
    <s v="150k+"/>
    <x v="0"/>
    <s v="Auto"/>
    <s v=""/>
    <s v="Honda"/>
    <n v="43069.599999999999"/>
  </r>
  <r>
    <n v="572"/>
    <x v="4"/>
    <x v="19"/>
    <n v="88369"/>
    <x v="2"/>
    <x v="0"/>
    <s v="First"/>
    <n v="4629"/>
    <s v="410.9"/>
    <s v="14.59"/>
    <n v="7"/>
    <s v="15631.61"/>
    <s v="2017"/>
    <s v="50k-100k"/>
    <x v="0"/>
    <s v="Manual"/>
    <s v=""/>
    <s v="Volkswagen"/>
    <n v="15631.61"/>
  </r>
  <r>
    <n v="573"/>
    <x v="1"/>
    <x v="9"/>
    <n v="30122"/>
    <x v="1"/>
    <x v="1"/>
    <s v="First"/>
    <n v="2427"/>
    <s v="381.4"/>
    <s v="15.61"/>
    <n v="2"/>
    <s v="11148.57"/>
    <s v="2021"/>
    <s v="&lt;50k"/>
    <x v="0"/>
    <s v="Auto"/>
    <s v=""/>
    <s v="BMW"/>
    <n v="11148.57"/>
  </r>
  <r>
    <n v="574"/>
    <x v="2"/>
    <x v="2"/>
    <n v="135349"/>
    <x v="1"/>
    <x v="0"/>
    <s v="Third"/>
    <n v="4272"/>
    <s v="552.5"/>
    <s v="22.87"/>
    <n v="2"/>
    <s v="71905.51"/>
    <s v="2012"/>
    <s v="100k-150k"/>
    <x v="0"/>
    <s v="Manual"/>
    <s v=""/>
    <s v="Kia"/>
    <n v="71905.509999999995"/>
  </r>
  <r>
    <n v="575"/>
    <x v="9"/>
    <x v="18"/>
    <n v="75553"/>
    <x v="2"/>
    <x v="1"/>
    <s v="Second"/>
    <n v="827"/>
    <s v="127.6"/>
    <s v="20.09"/>
    <n v="5"/>
    <s v="63916.68"/>
    <s v="2022"/>
    <s v="50k-100k"/>
    <x v="0"/>
    <s v="Auto"/>
    <s v=""/>
    <s v="Nissan"/>
    <n v="63916.68"/>
  </r>
  <r>
    <n v="576"/>
    <x v="0"/>
    <x v="18"/>
    <n v="99788"/>
    <x v="3"/>
    <x v="1"/>
    <s v="Second"/>
    <n v="2785"/>
    <s v="461.0"/>
    <s v="12.47"/>
    <n v="6"/>
    <s v="89837.52"/>
    <s v="2022"/>
    <s v="50k-100k"/>
    <x v="0"/>
    <s v="Auto"/>
    <s v=""/>
    <s v="Audi"/>
    <n v="89837.52"/>
  </r>
  <r>
    <n v="577"/>
    <x v="8"/>
    <x v="12"/>
    <n v="67812"/>
    <x v="2"/>
    <x v="1"/>
    <s v="Second"/>
    <n v="4953"/>
    <s v="358.2"/>
    <s v="15.27"/>
    <n v="7"/>
    <s v="62639.05"/>
    <s v="2018"/>
    <s v="50k-100k"/>
    <x v="0"/>
    <s v="Auto"/>
    <s v=""/>
    <s v="Toyota"/>
    <n v="62639.05"/>
  </r>
  <r>
    <n v="578"/>
    <x v="5"/>
    <x v="1"/>
    <n v="12999"/>
    <x v="1"/>
    <x v="0"/>
    <s v="Third"/>
    <n v="2321"/>
    <s v="193.8"/>
    <s v="10.44"/>
    <n v="5"/>
    <s v="52426.16"/>
    <s v="2019"/>
    <s v="&lt;50k"/>
    <x v="0"/>
    <s v="Manual"/>
    <s v=""/>
    <s v="Ford"/>
    <n v="52426.16"/>
  </r>
  <r>
    <n v="579"/>
    <x v="9"/>
    <x v="15"/>
    <n v="27436"/>
    <x v="3"/>
    <x v="1"/>
    <s v="First"/>
    <n v="1096"/>
    <s v="305.7"/>
    <s v="29.15"/>
    <n v="2"/>
    <s v="49576.2"/>
    <s v="2010"/>
    <s v="&lt;50k"/>
    <x v="0"/>
    <s v="Auto"/>
    <s v=""/>
    <s v="Nissan"/>
    <n v="49576.2"/>
  </r>
  <r>
    <n v="580"/>
    <x v="8"/>
    <x v="3"/>
    <n v="47963"/>
    <x v="0"/>
    <x v="1"/>
    <s v="Second"/>
    <n v="2981"/>
    <s v="226.9"/>
    <s v="8.27"/>
    <n v="5"/>
    <s v="6094.29"/>
    <s v="2015"/>
    <s v="&lt;50k"/>
    <x v="0"/>
    <s v="Auto"/>
    <s v=""/>
    <s v="Toyota"/>
    <n v="6094.29"/>
  </r>
  <r>
    <n v="581"/>
    <x v="9"/>
    <x v="19"/>
    <n v="138168"/>
    <x v="3"/>
    <x v="0"/>
    <s v="Third"/>
    <n v="4202"/>
    <s v="364.4"/>
    <s v="14.3"/>
    <n v="7"/>
    <s v="42260.19"/>
    <s v="2017"/>
    <s v="100k-150k"/>
    <x v="0"/>
    <s v="Manual"/>
    <s v=""/>
    <s v="Nissan"/>
    <n v="42260.19"/>
  </r>
  <r>
    <n v="582"/>
    <x v="2"/>
    <x v="0"/>
    <n v="161351"/>
    <x v="1"/>
    <x v="0"/>
    <s v="First"/>
    <n v="3096"/>
    <s v="537.8"/>
    <s v="5.65"/>
    <n v="4"/>
    <s v="117194.36"/>
    <s v="2005"/>
    <s v="150k+"/>
    <x v="0"/>
    <s v="Manual"/>
    <s v=""/>
    <s v="Kia"/>
    <n v="117194.36"/>
  </r>
  <r>
    <n v="583"/>
    <x v="8"/>
    <x v="15"/>
    <n v="113899"/>
    <x v="3"/>
    <x v="1"/>
    <s v="Second"/>
    <n v="3397"/>
    <s v="358.8"/>
    <s v="10.54"/>
    <n v="7"/>
    <s v="105206.0"/>
    <s v="2010"/>
    <s v="100k-150k"/>
    <x v="0"/>
    <s v="Auto"/>
    <s v=""/>
    <s v="Toyota"/>
    <n v="105206"/>
  </r>
  <r>
    <n v="584"/>
    <x v="6"/>
    <x v="10"/>
    <n v="31201"/>
    <x v="2"/>
    <x v="1"/>
    <s v="First"/>
    <n v="1701"/>
    <s v="393.8"/>
    <s v="24.51"/>
    <n v="4"/>
    <s v="41537.23"/>
    <s v="2013"/>
    <s v="&lt;50k"/>
    <x v="0"/>
    <s v="Auto"/>
    <s v=""/>
    <s v="Hyundai"/>
    <n v="41537.230000000003"/>
  </r>
  <r>
    <n v="585"/>
    <x v="3"/>
    <x v="2"/>
    <n v="155787"/>
    <x v="0"/>
    <x v="1"/>
    <s v="Second"/>
    <n v="1898"/>
    <s v="330.5"/>
    <s v="10.03"/>
    <n v="4"/>
    <s v="71772.06"/>
    <s v="2012"/>
    <s v="150k+"/>
    <x v="0"/>
    <s v="Auto"/>
    <s v=""/>
    <s v="Mercedes"/>
    <n v="71772.06"/>
  </r>
  <r>
    <n v="586"/>
    <x v="6"/>
    <x v="3"/>
    <n v="165381"/>
    <x v="0"/>
    <x v="0"/>
    <s v="Second"/>
    <n v="2477"/>
    <s v="68.7"/>
    <s v="7.0"/>
    <n v="4"/>
    <s v="102133.72"/>
    <s v="2015"/>
    <s v="150k+"/>
    <x v="0"/>
    <s v="Manual"/>
    <s v=""/>
    <s v="Hyundai"/>
    <n v="102133.72"/>
  </r>
  <r>
    <n v="587"/>
    <x v="4"/>
    <x v="11"/>
    <n v="151150"/>
    <x v="0"/>
    <x v="0"/>
    <s v="Second"/>
    <n v="3681"/>
    <s v="170.4"/>
    <s v="16.86"/>
    <n v="5"/>
    <s v="54629.1"/>
    <s v="2023"/>
    <s v="150k+"/>
    <x v="0"/>
    <s v="Manual"/>
    <s v=""/>
    <s v="Volkswagen"/>
    <n v="54629.1"/>
  </r>
  <r>
    <n v="588"/>
    <x v="3"/>
    <x v="10"/>
    <n v="192686"/>
    <x v="1"/>
    <x v="0"/>
    <s v="First"/>
    <n v="2178"/>
    <s v="315.5"/>
    <s v="5.25"/>
    <n v="2"/>
    <s v="5101.07"/>
    <s v="2013"/>
    <s v="150k+"/>
    <x v="0"/>
    <s v="Manual"/>
    <s v=""/>
    <s v="Mercedes"/>
    <n v="5101.07"/>
  </r>
  <r>
    <n v="589"/>
    <x v="6"/>
    <x v="9"/>
    <n v="10105"/>
    <x v="1"/>
    <x v="0"/>
    <s v="Third"/>
    <n v="2048"/>
    <s v="213.7"/>
    <s v="7.12"/>
    <n v="5"/>
    <s v="11717.72"/>
    <s v="2021"/>
    <s v="&lt;50k"/>
    <x v="0"/>
    <s v="Manual"/>
    <s v=""/>
    <s v="Hyundai"/>
    <n v="11717.72"/>
  </r>
  <r>
    <n v="590"/>
    <x v="3"/>
    <x v="4"/>
    <n v="122666"/>
    <x v="0"/>
    <x v="1"/>
    <s v="First"/>
    <n v="4535"/>
    <s v="141.8"/>
    <s v="25.19"/>
    <n v="2"/>
    <s v="62715.95"/>
    <s v="2016"/>
    <s v="100k-150k"/>
    <x v="0"/>
    <s v="Auto"/>
    <s v=""/>
    <s v="Mercedes"/>
    <n v="62715.95"/>
  </r>
  <r>
    <n v="591"/>
    <x v="3"/>
    <x v="12"/>
    <n v="99848"/>
    <x v="3"/>
    <x v="0"/>
    <s v="Second"/>
    <n v="2064"/>
    <s v="322.3"/>
    <s v="24.29"/>
    <n v="7"/>
    <s v="116424.41"/>
    <s v="2018"/>
    <s v="50k-100k"/>
    <x v="0"/>
    <s v="Manual"/>
    <s v=""/>
    <s v="Mercedes"/>
    <n v="116424.41"/>
  </r>
  <r>
    <n v="592"/>
    <x v="1"/>
    <x v="1"/>
    <n v="7839"/>
    <x v="0"/>
    <x v="0"/>
    <s v="First"/>
    <n v="2707"/>
    <s v="220.8"/>
    <s v="27.88"/>
    <n v="6"/>
    <s v="84105.52"/>
    <s v="2019"/>
    <s v="&lt;50k"/>
    <x v="0"/>
    <s v="Manual"/>
    <s v=""/>
    <s v="BMW"/>
    <n v="84105.52"/>
  </r>
  <r>
    <n v="593"/>
    <x v="5"/>
    <x v="6"/>
    <n v="73920"/>
    <x v="3"/>
    <x v="0"/>
    <s v="Third"/>
    <n v="1858"/>
    <s v="184.5"/>
    <s v="26.36"/>
    <n v="7"/>
    <s v="11297.19"/>
    <s v="2020"/>
    <s v="50k-100k"/>
    <x v="0"/>
    <s v="Manual"/>
    <s v=""/>
    <s v="Ford"/>
    <n v="11297.19"/>
  </r>
  <r>
    <n v="594"/>
    <x v="5"/>
    <x v="13"/>
    <n v="48619"/>
    <x v="3"/>
    <x v="1"/>
    <s v="First"/>
    <n v="3549"/>
    <s v="299.8"/>
    <s v="22.08"/>
    <n v="5"/>
    <s v="25155.22"/>
    <s v="2024"/>
    <s v="&lt;50k"/>
    <x v="0"/>
    <s v="Auto"/>
    <s v=""/>
    <s v="Ford"/>
    <n v="25155.22"/>
  </r>
  <r>
    <n v="595"/>
    <x v="1"/>
    <x v="0"/>
    <n v="47821"/>
    <x v="1"/>
    <x v="1"/>
    <s v="Third"/>
    <n v="2848"/>
    <s v="114.6"/>
    <s v="6.31"/>
    <n v="5"/>
    <s v="93244.81"/>
    <s v="2005"/>
    <s v="&lt;50k"/>
    <x v="0"/>
    <s v="Auto"/>
    <s v=""/>
    <s v="BMW"/>
    <n v="93244.81"/>
  </r>
  <r>
    <n v="596"/>
    <x v="9"/>
    <x v="8"/>
    <n v="130736"/>
    <x v="3"/>
    <x v="0"/>
    <s v="Third"/>
    <n v="3276"/>
    <s v="559.5"/>
    <s v="24.57"/>
    <n v="2"/>
    <s v="101448.45"/>
    <s v="2014"/>
    <s v="100k-150k"/>
    <x v="0"/>
    <s v="Manual"/>
    <s v=""/>
    <s v="Nissan"/>
    <n v="101448.45"/>
  </r>
  <r>
    <n v="597"/>
    <x v="7"/>
    <x v="2"/>
    <n v="149565"/>
    <x v="0"/>
    <x v="0"/>
    <s v="First"/>
    <n v="4816"/>
    <s v="525.9"/>
    <s v="26.14"/>
    <n v="5"/>
    <s v="75270.27"/>
    <s v="2012"/>
    <s v="100k-150k"/>
    <x v="0"/>
    <s v="Manual"/>
    <s v=""/>
    <s v="Honda"/>
    <n v="75270.27"/>
  </r>
  <r>
    <n v="598"/>
    <x v="9"/>
    <x v="18"/>
    <n v="22069"/>
    <x v="1"/>
    <x v="1"/>
    <s v="Second"/>
    <n v="3997"/>
    <s v="436.3"/>
    <s v="24.98"/>
    <n v="4"/>
    <s v="78397.51"/>
    <s v="2022"/>
    <s v="&lt;50k"/>
    <x v="0"/>
    <s v="Auto"/>
    <s v=""/>
    <s v="Nissan"/>
    <n v="78397.509999999995"/>
  </r>
  <r>
    <n v="599"/>
    <x v="8"/>
    <x v="0"/>
    <n v="12531"/>
    <x v="2"/>
    <x v="1"/>
    <s v="Third"/>
    <n v="4353"/>
    <s v="99.5"/>
    <s v="17.71"/>
    <n v="5"/>
    <s v="6315.48"/>
    <s v="2005"/>
    <s v="&lt;50k"/>
    <x v="0"/>
    <s v="Auto"/>
    <s v=""/>
    <s v="Toyota"/>
    <n v="6315.48"/>
  </r>
  <r>
    <n v="600"/>
    <x v="8"/>
    <x v="16"/>
    <n v="173123"/>
    <x v="2"/>
    <x v="1"/>
    <s v="First"/>
    <n v="2561"/>
    <s v="474.5"/>
    <s v="10.82"/>
    <n v="2"/>
    <s v="99938.04"/>
    <s v="2006"/>
    <s v="150k+"/>
    <x v="0"/>
    <s v="Auto"/>
    <s v=""/>
    <s v="Toyota"/>
    <n v="99938.04"/>
  </r>
  <r>
    <n v="601"/>
    <x v="3"/>
    <x v="0"/>
    <n v="143808"/>
    <x v="1"/>
    <x v="1"/>
    <s v="Third"/>
    <n v="1020"/>
    <s v="492.5"/>
    <s v="26.13"/>
    <n v="2"/>
    <s v="95228.2"/>
    <s v="2005"/>
    <s v="100k-150k"/>
    <x v="0"/>
    <s v="Auto"/>
    <s v=""/>
    <s v="Mercedes"/>
    <n v="95228.2"/>
  </r>
  <r>
    <n v="602"/>
    <x v="6"/>
    <x v="0"/>
    <n v="143782"/>
    <x v="0"/>
    <x v="1"/>
    <s v="Second"/>
    <n v="3688"/>
    <s v="469.9"/>
    <s v="23.18"/>
    <n v="4"/>
    <s v="33307.11"/>
    <s v="2005"/>
    <s v="100k-150k"/>
    <x v="0"/>
    <s v="Auto"/>
    <s v=""/>
    <s v="Hyundai"/>
    <n v="33307.11"/>
  </r>
  <r>
    <n v="603"/>
    <x v="6"/>
    <x v="10"/>
    <n v="72155"/>
    <x v="2"/>
    <x v="1"/>
    <s v="First"/>
    <n v="2464"/>
    <s v="103.8"/>
    <s v="29.52"/>
    <n v="2"/>
    <s v="85915.18"/>
    <s v="2013"/>
    <s v="50k-100k"/>
    <x v="0"/>
    <s v="Auto"/>
    <s v=""/>
    <s v="Hyundai"/>
    <n v="85915.18"/>
  </r>
  <r>
    <n v="604"/>
    <x v="5"/>
    <x v="19"/>
    <n v="150047"/>
    <x v="2"/>
    <x v="1"/>
    <s v="First"/>
    <n v="4786"/>
    <s v="400.6"/>
    <s v="8.89"/>
    <n v="6"/>
    <s v="28137.99"/>
    <s v="2017"/>
    <s v="150k+"/>
    <x v="0"/>
    <s v="Auto"/>
    <s v=""/>
    <s v="Ford"/>
    <n v="28137.99"/>
  </r>
  <r>
    <n v="605"/>
    <x v="0"/>
    <x v="0"/>
    <n v="67424"/>
    <x v="3"/>
    <x v="1"/>
    <s v="First"/>
    <n v="3777"/>
    <s v="507.2"/>
    <s v="10.64"/>
    <n v="7"/>
    <s v="7718.63"/>
    <s v="2005"/>
    <s v="50k-100k"/>
    <x v="0"/>
    <s v="Auto"/>
    <s v=""/>
    <s v="Audi"/>
    <n v="7718.63"/>
  </r>
  <r>
    <n v="606"/>
    <x v="9"/>
    <x v="19"/>
    <n v="50603"/>
    <x v="3"/>
    <x v="0"/>
    <s v="Second"/>
    <n v="2671"/>
    <s v="363.3"/>
    <s v="10.29"/>
    <n v="5"/>
    <s v="26532.98"/>
    <s v="2017"/>
    <s v="50k-100k"/>
    <x v="0"/>
    <s v="Manual"/>
    <s v=""/>
    <s v="Nissan"/>
    <n v="26532.98"/>
  </r>
  <r>
    <n v="607"/>
    <x v="4"/>
    <x v="13"/>
    <n v="159324"/>
    <x v="0"/>
    <x v="0"/>
    <s v="Third"/>
    <n v="2262"/>
    <s v="402.0"/>
    <s v="24.81"/>
    <n v="6"/>
    <s v="23899.58"/>
    <s v="2024"/>
    <s v="150k+"/>
    <x v="0"/>
    <s v="Manual"/>
    <s v=""/>
    <s v="Volkswagen"/>
    <n v="23899.58"/>
  </r>
  <r>
    <n v="608"/>
    <x v="2"/>
    <x v="17"/>
    <n v="137503"/>
    <x v="1"/>
    <x v="0"/>
    <s v="First"/>
    <n v="1144"/>
    <s v="296.7"/>
    <s v="9.67"/>
    <n v="5"/>
    <s v="42516.52"/>
    <s v="2011"/>
    <s v="100k-150k"/>
    <x v="0"/>
    <s v="Manual"/>
    <s v=""/>
    <s v="Kia"/>
    <n v="42516.52"/>
  </r>
  <r>
    <n v="609"/>
    <x v="6"/>
    <x v="16"/>
    <n v="173553"/>
    <x v="0"/>
    <x v="0"/>
    <s v="Third"/>
    <n v="844"/>
    <s v="336.1"/>
    <s v="6.67"/>
    <n v="6"/>
    <s v="51958.59"/>
    <s v="2006"/>
    <s v="150k+"/>
    <x v="0"/>
    <s v="Manual"/>
    <s v=""/>
    <s v="Hyundai"/>
    <n v="51958.59"/>
  </r>
  <r>
    <n v="610"/>
    <x v="2"/>
    <x v="15"/>
    <n v="97573"/>
    <x v="1"/>
    <x v="0"/>
    <s v="Third"/>
    <n v="2868"/>
    <s v="59.3"/>
    <s v="29.96"/>
    <n v="5"/>
    <s v="62499.05"/>
    <s v="2010"/>
    <s v="50k-100k"/>
    <x v="0"/>
    <s v="Manual"/>
    <s v=""/>
    <s v="Kia"/>
    <n v="62499.05"/>
  </r>
  <r>
    <n v="611"/>
    <x v="3"/>
    <x v="17"/>
    <n v="145629"/>
    <x v="2"/>
    <x v="0"/>
    <s v="Second"/>
    <n v="2314"/>
    <s v="397.8"/>
    <s v="5.62"/>
    <n v="4"/>
    <s v="58780.2"/>
    <s v="2011"/>
    <s v="100k-150k"/>
    <x v="0"/>
    <s v="Manual"/>
    <s v=""/>
    <s v="Mercedes"/>
    <n v="58780.2"/>
  </r>
  <r>
    <n v="612"/>
    <x v="2"/>
    <x v="12"/>
    <n v="108302"/>
    <x v="3"/>
    <x v="1"/>
    <s v="First"/>
    <n v="3398"/>
    <s v="85.6"/>
    <s v="25.88"/>
    <n v="2"/>
    <s v="34668.93"/>
    <s v="2018"/>
    <s v="100k-150k"/>
    <x v="0"/>
    <s v="Auto"/>
    <s v=""/>
    <s v="Kia"/>
    <n v="34668.93"/>
  </r>
  <r>
    <n v="613"/>
    <x v="4"/>
    <x v="18"/>
    <n v="136234"/>
    <x v="0"/>
    <x v="1"/>
    <s v="Third"/>
    <n v="1801"/>
    <s v="283.6"/>
    <s v="14.13"/>
    <n v="2"/>
    <s v="6412.97"/>
    <s v="2022"/>
    <s v="100k-150k"/>
    <x v="0"/>
    <s v="Auto"/>
    <s v=""/>
    <s v="Volkswagen"/>
    <n v="6412.97"/>
  </r>
  <r>
    <n v="614"/>
    <x v="1"/>
    <x v="1"/>
    <n v="170814"/>
    <x v="0"/>
    <x v="0"/>
    <s v="First"/>
    <n v="1833"/>
    <s v="203.9"/>
    <s v="26.04"/>
    <n v="4"/>
    <s v="73796.89"/>
    <s v="2019"/>
    <s v="150k+"/>
    <x v="0"/>
    <s v="Manual"/>
    <s v=""/>
    <s v="BMW"/>
    <n v="73796.89"/>
  </r>
  <r>
    <n v="615"/>
    <x v="4"/>
    <x v="16"/>
    <n v="24675"/>
    <x v="1"/>
    <x v="0"/>
    <s v="First"/>
    <n v="2840"/>
    <s v="345.4"/>
    <s v="18.87"/>
    <n v="6"/>
    <s v="49302.15"/>
    <s v="2006"/>
    <s v="&lt;50k"/>
    <x v="0"/>
    <s v="Manual"/>
    <s v=""/>
    <s v="Volkswagen"/>
    <n v="49302.15"/>
  </r>
  <r>
    <n v="616"/>
    <x v="2"/>
    <x v="8"/>
    <n v="78997"/>
    <x v="1"/>
    <x v="1"/>
    <s v="Second"/>
    <n v="1073"/>
    <s v="114.7"/>
    <s v="27.54"/>
    <n v="7"/>
    <s v="37944.64"/>
    <s v="2014"/>
    <s v="50k-100k"/>
    <x v="0"/>
    <s v="Auto"/>
    <s v=""/>
    <s v="Kia"/>
    <n v="37944.639999999999"/>
  </r>
  <r>
    <n v="617"/>
    <x v="4"/>
    <x v="4"/>
    <n v="153087"/>
    <x v="0"/>
    <x v="1"/>
    <s v="First"/>
    <n v="3447"/>
    <s v="427.3"/>
    <s v="28.15"/>
    <n v="6"/>
    <s v="104432.1"/>
    <s v="2016"/>
    <s v="150k+"/>
    <x v="0"/>
    <s v="Auto"/>
    <s v=""/>
    <s v="Volkswagen"/>
    <n v="104432.1"/>
  </r>
  <r>
    <n v="618"/>
    <x v="7"/>
    <x v="9"/>
    <n v="186129"/>
    <x v="1"/>
    <x v="1"/>
    <s v="First"/>
    <n v="2579"/>
    <s v="485.2"/>
    <s v="5.23"/>
    <n v="2"/>
    <s v="90368.97"/>
    <s v="2021"/>
    <s v="150k+"/>
    <x v="0"/>
    <s v="Auto"/>
    <s v=""/>
    <s v="Honda"/>
    <n v="90368.97"/>
  </r>
  <r>
    <n v="619"/>
    <x v="3"/>
    <x v="2"/>
    <n v="168663"/>
    <x v="0"/>
    <x v="0"/>
    <s v="Third"/>
    <n v="1278"/>
    <s v="131.5"/>
    <s v="6.89"/>
    <n v="7"/>
    <s v="103358.57"/>
    <s v="2012"/>
    <s v="150k+"/>
    <x v="0"/>
    <s v="Manual"/>
    <s v=""/>
    <s v="Mercedes"/>
    <n v="103358.57"/>
  </r>
  <r>
    <n v="620"/>
    <x v="9"/>
    <x v="3"/>
    <n v="145905"/>
    <x v="0"/>
    <x v="1"/>
    <s v="Second"/>
    <n v="1315"/>
    <s v="98.4"/>
    <s v="11.26"/>
    <n v="5"/>
    <s v="60912.99"/>
    <s v="2015"/>
    <s v="100k-150k"/>
    <x v="0"/>
    <s v="Auto"/>
    <s v=""/>
    <s v="Nissan"/>
    <n v="60912.99"/>
  </r>
  <r>
    <n v="621"/>
    <x v="1"/>
    <x v="14"/>
    <n v="12896"/>
    <x v="0"/>
    <x v="0"/>
    <s v="First"/>
    <n v="1991"/>
    <s v="121.5"/>
    <s v="21.73"/>
    <n v="7"/>
    <s v="18318.96"/>
    <s v="2007"/>
    <s v="&lt;50k"/>
    <x v="0"/>
    <s v="Manual"/>
    <s v=""/>
    <s v="BMW"/>
    <n v="18318.96"/>
  </r>
  <r>
    <n v="622"/>
    <x v="6"/>
    <x v="15"/>
    <n v="169044"/>
    <x v="2"/>
    <x v="0"/>
    <s v="Third"/>
    <n v="3468"/>
    <s v="531.2"/>
    <s v="27.21"/>
    <n v="6"/>
    <s v="84457.91"/>
    <s v="2010"/>
    <s v="150k+"/>
    <x v="0"/>
    <s v="Manual"/>
    <s v=""/>
    <s v="Hyundai"/>
    <n v="84457.91"/>
  </r>
  <r>
    <n v="623"/>
    <x v="8"/>
    <x v="10"/>
    <n v="54733"/>
    <x v="1"/>
    <x v="1"/>
    <s v="Second"/>
    <n v="2211"/>
    <s v="335.8"/>
    <s v="16.5"/>
    <n v="4"/>
    <s v="27110.63"/>
    <s v="2013"/>
    <s v="50k-100k"/>
    <x v="0"/>
    <s v="Auto"/>
    <s v=""/>
    <s v="Toyota"/>
    <n v="27110.63"/>
  </r>
  <r>
    <n v="624"/>
    <x v="9"/>
    <x v="15"/>
    <n v="46800"/>
    <x v="3"/>
    <x v="1"/>
    <s v="Second"/>
    <n v="4080"/>
    <s v="301.7"/>
    <s v="20.17"/>
    <n v="5"/>
    <s v="54623.87"/>
    <s v="2010"/>
    <s v="&lt;50k"/>
    <x v="0"/>
    <s v="Auto"/>
    <s v=""/>
    <s v="Nissan"/>
    <n v="54623.87"/>
  </r>
  <r>
    <n v="625"/>
    <x v="8"/>
    <x v="10"/>
    <n v="101044"/>
    <x v="3"/>
    <x v="0"/>
    <s v="Third"/>
    <n v="1071"/>
    <s v="99.8"/>
    <s v="9.71"/>
    <n v="6"/>
    <s v="10605.09"/>
    <s v="2013"/>
    <s v="100k-150k"/>
    <x v="0"/>
    <s v="Manual"/>
    <s v=""/>
    <s v="Toyota"/>
    <n v="10605.09"/>
  </r>
  <r>
    <n v="626"/>
    <x v="3"/>
    <x v="17"/>
    <n v="10347"/>
    <x v="1"/>
    <x v="1"/>
    <s v="Third"/>
    <n v="942"/>
    <s v="403.8"/>
    <s v="25.12"/>
    <n v="5"/>
    <s v="99561.08"/>
    <s v="2011"/>
    <s v="&lt;50k"/>
    <x v="0"/>
    <s v="Auto"/>
    <s v=""/>
    <s v="Mercedes"/>
    <n v="99561.08"/>
  </r>
  <r>
    <n v="627"/>
    <x v="1"/>
    <x v="10"/>
    <n v="195135"/>
    <x v="0"/>
    <x v="1"/>
    <s v="Third"/>
    <n v="4132"/>
    <s v="526.1"/>
    <s v="29.18"/>
    <n v="7"/>
    <s v="17735.06"/>
    <s v="2013"/>
    <s v="150k+"/>
    <x v="0"/>
    <s v="Auto"/>
    <s v=""/>
    <s v="BMW"/>
    <n v="17735.060000000001"/>
  </r>
  <r>
    <n v="628"/>
    <x v="5"/>
    <x v="18"/>
    <n v="138715"/>
    <x v="3"/>
    <x v="0"/>
    <s v="Third"/>
    <n v="1587"/>
    <s v="503.8"/>
    <s v="11.71"/>
    <n v="2"/>
    <s v="108662.41"/>
    <s v="2022"/>
    <s v="100k-150k"/>
    <x v="0"/>
    <s v="Manual"/>
    <s v=""/>
    <s v="Ford"/>
    <n v="108662.41"/>
  </r>
  <r>
    <n v="629"/>
    <x v="6"/>
    <x v="4"/>
    <n v="45785"/>
    <x v="3"/>
    <x v="1"/>
    <s v="Third"/>
    <n v="2481"/>
    <s v="390.6"/>
    <s v="17.37"/>
    <n v="6"/>
    <s v="104114.98"/>
    <s v="2016"/>
    <s v="&lt;50k"/>
    <x v="0"/>
    <s v="Auto"/>
    <s v=""/>
    <s v="Hyundai"/>
    <n v="104114.98"/>
  </r>
  <r>
    <n v="630"/>
    <x v="7"/>
    <x v="2"/>
    <n v="23681"/>
    <x v="1"/>
    <x v="0"/>
    <s v="First"/>
    <n v="1422"/>
    <s v="82.2"/>
    <s v="7.15"/>
    <n v="4"/>
    <s v="57356.18"/>
    <s v="2012"/>
    <s v="&lt;50k"/>
    <x v="0"/>
    <s v="Manual"/>
    <s v=""/>
    <s v="Honda"/>
    <n v="57356.18"/>
  </r>
  <r>
    <n v="631"/>
    <x v="5"/>
    <x v="2"/>
    <n v="186098"/>
    <x v="3"/>
    <x v="0"/>
    <s v="First"/>
    <n v="4641"/>
    <s v="102.9"/>
    <s v="18.98"/>
    <n v="7"/>
    <s v="90091.08"/>
    <s v="2012"/>
    <s v="150k+"/>
    <x v="0"/>
    <s v="Manual"/>
    <s v=""/>
    <s v="Ford"/>
    <n v="90091.08"/>
  </r>
  <r>
    <n v="632"/>
    <x v="3"/>
    <x v="18"/>
    <n v="108864"/>
    <x v="0"/>
    <x v="1"/>
    <s v="Second"/>
    <n v="4476"/>
    <s v="67.6"/>
    <s v="17.57"/>
    <n v="6"/>
    <s v="75475.07"/>
    <s v="2022"/>
    <s v="100k-150k"/>
    <x v="0"/>
    <s v="Auto"/>
    <s v=""/>
    <s v="Mercedes"/>
    <n v="75475.070000000007"/>
  </r>
  <r>
    <n v="633"/>
    <x v="9"/>
    <x v="13"/>
    <n v="151964"/>
    <x v="1"/>
    <x v="0"/>
    <s v="First"/>
    <n v="3372"/>
    <s v="184.2"/>
    <s v="8.61"/>
    <n v="4"/>
    <s v="96959.85"/>
    <s v="2024"/>
    <s v="150k+"/>
    <x v="0"/>
    <s v="Manual"/>
    <s v=""/>
    <s v="Nissan"/>
    <n v="96959.85"/>
  </r>
  <r>
    <n v="634"/>
    <x v="7"/>
    <x v="1"/>
    <n v="52299"/>
    <x v="0"/>
    <x v="0"/>
    <s v="First"/>
    <n v="4060"/>
    <s v="116.0"/>
    <s v="16.05"/>
    <n v="6"/>
    <s v="53521.2"/>
    <s v="2019"/>
    <s v="50k-100k"/>
    <x v="0"/>
    <s v="Manual"/>
    <s v=""/>
    <s v="Honda"/>
    <n v="53521.2"/>
  </r>
  <r>
    <n v="635"/>
    <x v="4"/>
    <x v="17"/>
    <n v="22073"/>
    <x v="3"/>
    <x v="1"/>
    <s v="First"/>
    <n v="866"/>
    <s v="185.6"/>
    <s v="13.35"/>
    <n v="7"/>
    <s v="94939.59"/>
    <s v="2011"/>
    <s v="&lt;50k"/>
    <x v="0"/>
    <s v="Auto"/>
    <s v=""/>
    <s v="Volkswagen"/>
    <n v="94939.59"/>
  </r>
  <r>
    <n v="636"/>
    <x v="2"/>
    <x v="3"/>
    <n v="107304"/>
    <x v="3"/>
    <x v="1"/>
    <s v="Third"/>
    <n v="1940"/>
    <s v="255.6"/>
    <s v="18.05"/>
    <n v="6"/>
    <s v="57107.45"/>
    <s v="2015"/>
    <s v="100k-150k"/>
    <x v="0"/>
    <s v="Auto"/>
    <s v=""/>
    <s v="Kia"/>
    <n v="57107.45"/>
  </r>
  <r>
    <n v="637"/>
    <x v="7"/>
    <x v="13"/>
    <n v="35682"/>
    <x v="0"/>
    <x v="1"/>
    <s v="Second"/>
    <n v="3114"/>
    <s v="568.1"/>
    <s v="19.64"/>
    <n v="5"/>
    <s v="113093.0"/>
    <s v="2024"/>
    <s v="&lt;50k"/>
    <x v="0"/>
    <s v="Auto"/>
    <s v=""/>
    <s v="Honda"/>
    <n v="113093"/>
  </r>
  <r>
    <n v="638"/>
    <x v="3"/>
    <x v="6"/>
    <n v="129302"/>
    <x v="2"/>
    <x v="0"/>
    <s v="Second"/>
    <n v="3332"/>
    <s v="381.8"/>
    <s v="5.21"/>
    <n v="7"/>
    <s v="59905.54"/>
    <s v="2020"/>
    <s v="100k-150k"/>
    <x v="0"/>
    <s v="Manual"/>
    <s v=""/>
    <s v="Mercedes"/>
    <n v="59905.54"/>
  </r>
  <r>
    <n v="639"/>
    <x v="0"/>
    <x v="5"/>
    <n v="150361"/>
    <x v="3"/>
    <x v="0"/>
    <s v="Second"/>
    <n v="4380"/>
    <s v="507.6"/>
    <s v="24.03"/>
    <n v="6"/>
    <s v="57126.45"/>
    <s v="2008"/>
    <s v="150k+"/>
    <x v="0"/>
    <s v="Manual"/>
    <s v=""/>
    <s v="Audi"/>
    <n v="57126.45"/>
  </r>
  <r>
    <n v="640"/>
    <x v="2"/>
    <x v="15"/>
    <n v="120359"/>
    <x v="2"/>
    <x v="1"/>
    <s v="Second"/>
    <n v="1987"/>
    <s v="437.8"/>
    <s v="22.83"/>
    <n v="2"/>
    <s v="94853.41"/>
    <s v="2010"/>
    <s v="100k-150k"/>
    <x v="0"/>
    <s v="Auto"/>
    <s v=""/>
    <s v="Kia"/>
    <n v="94853.41"/>
  </r>
  <r>
    <n v="641"/>
    <x v="8"/>
    <x v="14"/>
    <n v="143999"/>
    <x v="3"/>
    <x v="0"/>
    <s v="First"/>
    <n v="4139"/>
    <s v="103.0"/>
    <s v="14.16"/>
    <n v="6"/>
    <s v="99124.59"/>
    <s v="2007"/>
    <s v="100k-150k"/>
    <x v="0"/>
    <s v="Manual"/>
    <s v=""/>
    <s v="Toyota"/>
    <n v="99124.59"/>
  </r>
  <r>
    <n v="642"/>
    <x v="6"/>
    <x v="10"/>
    <n v="184402"/>
    <x v="2"/>
    <x v="1"/>
    <s v="First"/>
    <n v="1348"/>
    <s v="452.1"/>
    <s v="6.32"/>
    <n v="5"/>
    <s v="67875.23"/>
    <s v="2013"/>
    <s v="150k+"/>
    <x v="0"/>
    <s v="Auto"/>
    <s v=""/>
    <s v="Hyundai"/>
    <n v="67875.23"/>
  </r>
  <r>
    <n v="643"/>
    <x v="8"/>
    <x v="8"/>
    <n v="71707"/>
    <x v="2"/>
    <x v="1"/>
    <s v="Third"/>
    <n v="4887"/>
    <s v="194.1"/>
    <s v="23.87"/>
    <n v="4"/>
    <s v="24036.34"/>
    <s v="2014"/>
    <s v="50k-100k"/>
    <x v="0"/>
    <s v="Auto"/>
    <s v=""/>
    <s v="Toyota"/>
    <n v="24036.34"/>
  </r>
  <r>
    <n v="644"/>
    <x v="7"/>
    <x v="12"/>
    <n v="70428"/>
    <x v="2"/>
    <x v="0"/>
    <s v="Second"/>
    <n v="872"/>
    <s v="397.9"/>
    <s v="28.88"/>
    <n v="4"/>
    <s v="57727.71"/>
    <s v="2018"/>
    <s v="50k-100k"/>
    <x v="0"/>
    <s v="Manual"/>
    <s v=""/>
    <s v="Honda"/>
    <n v="57727.71"/>
  </r>
  <r>
    <n v="645"/>
    <x v="8"/>
    <x v="3"/>
    <n v="55601"/>
    <x v="0"/>
    <x v="1"/>
    <s v="First"/>
    <n v="998"/>
    <s v="230.9"/>
    <s v="11.0"/>
    <n v="4"/>
    <s v="116264.48"/>
    <s v="2015"/>
    <s v="50k-100k"/>
    <x v="0"/>
    <s v="Auto"/>
    <s v=""/>
    <s v="Toyota"/>
    <n v="116264.48"/>
  </r>
  <r>
    <n v="646"/>
    <x v="3"/>
    <x v="18"/>
    <n v="138611"/>
    <x v="2"/>
    <x v="0"/>
    <s v="First"/>
    <n v="4001"/>
    <s v="598.7"/>
    <s v="13.09"/>
    <n v="2"/>
    <s v="91099.38"/>
    <s v="2022"/>
    <s v="100k-150k"/>
    <x v="0"/>
    <s v="Manual"/>
    <s v=""/>
    <s v="Mercedes"/>
    <n v="91099.38"/>
  </r>
  <r>
    <n v="647"/>
    <x v="4"/>
    <x v="4"/>
    <n v="116487"/>
    <x v="2"/>
    <x v="0"/>
    <s v="Third"/>
    <n v="2581"/>
    <s v="187.6"/>
    <s v="9.6"/>
    <n v="5"/>
    <s v="97906.02"/>
    <s v="2016"/>
    <s v="100k-150k"/>
    <x v="0"/>
    <s v="Manual"/>
    <s v=""/>
    <s v="Volkswagen"/>
    <n v="97906.02"/>
  </r>
  <r>
    <n v="648"/>
    <x v="9"/>
    <x v="4"/>
    <n v="158741"/>
    <x v="2"/>
    <x v="1"/>
    <s v="Third"/>
    <n v="1371"/>
    <s v="196.3"/>
    <s v="19.42"/>
    <n v="7"/>
    <s v="6840.58"/>
    <s v="2016"/>
    <s v="150k+"/>
    <x v="0"/>
    <s v="Auto"/>
    <s v=""/>
    <s v="Nissan"/>
    <n v="6840.58"/>
  </r>
  <r>
    <n v="649"/>
    <x v="6"/>
    <x v="19"/>
    <n v="156716"/>
    <x v="3"/>
    <x v="0"/>
    <s v="Third"/>
    <n v="1590"/>
    <s v="561.2"/>
    <s v="8.87"/>
    <n v="4"/>
    <s v="57739.56"/>
    <s v="2017"/>
    <s v="150k+"/>
    <x v="0"/>
    <s v="Manual"/>
    <s v=""/>
    <s v="Hyundai"/>
    <n v="57739.56"/>
  </r>
  <r>
    <n v="650"/>
    <x v="8"/>
    <x v="19"/>
    <n v="154817"/>
    <x v="2"/>
    <x v="1"/>
    <s v="First"/>
    <n v="2438"/>
    <s v="53.8"/>
    <s v="13.9"/>
    <n v="5"/>
    <s v="78654.67"/>
    <s v="2017"/>
    <s v="150k+"/>
    <x v="0"/>
    <s v="Auto"/>
    <s v=""/>
    <s v="Toyota"/>
    <n v="78654.67"/>
  </r>
  <r>
    <n v="651"/>
    <x v="8"/>
    <x v="11"/>
    <n v="33228"/>
    <x v="3"/>
    <x v="0"/>
    <s v="First"/>
    <n v="2631"/>
    <s v="430.1"/>
    <s v="22.43"/>
    <n v="6"/>
    <s v="100113.82"/>
    <s v="2023"/>
    <s v="&lt;50k"/>
    <x v="0"/>
    <s v="Manual"/>
    <s v=""/>
    <s v="Toyota"/>
    <n v="100113.82"/>
  </r>
  <r>
    <n v="652"/>
    <x v="7"/>
    <x v="11"/>
    <n v="170593"/>
    <x v="2"/>
    <x v="0"/>
    <s v="Third"/>
    <n v="2655"/>
    <s v="446.2"/>
    <s v="19.0"/>
    <n v="2"/>
    <s v="8765.02"/>
    <s v="2023"/>
    <s v="150k+"/>
    <x v="0"/>
    <s v="Manual"/>
    <s v=""/>
    <s v="Honda"/>
    <n v="8765.02"/>
  </r>
  <r>
    <n v="653"/>
    <x v="9"/>
    <x v="12"/>
    <n v="127788"/>
    <x v="2"/>
    <x v="0"/>
    <s v="Second"/>
    <n v="1974"/>
    <s v="508.4"/>
    <s v="14.66"/>
    <n v="5"/>
    <s v="102735.35"/>
    <s v="2018"/>
    <s v="100k-150k"/>
    <x v="0"/>
    <s v="Manual"/>
    <s v=""/>
    <s v="Nissan"/>
    <n v="102735.35"/>
  </r>
  <r>
    <n v="654"/>
    <x v="5"/>
    <x v="5"/>
    <n v="102239"/>
    <x v="0"/>
    <x v="1"/>
    <s v="Third"/>
    <n v="4540"/>
    <s v="585.7"/>
    <s v="15.51"/>
    <n v="5"/>
    <s v="67162.91"/>
    <s v="2008"/>
    <s v="100k-150k"/>
    <x v="0"/>
    <s v="Auto"/>
    <s v=""/>
    <s v="Ford"/>
    <n v="67162.91"/>
  </r>
  <r>
    <n v="655"/>
    <x v="8"/>
    <x v="19"/>
    <n v="31928"/>
    <x v="3"/>
    <x v="0"/>
    <s v="Third"/>
    <n v="4077"/>
    <s v="586.3"/>
    <s v="19.05"/>
    <n v="7"/>
    <s v="26085.73"/>
    <s v="2017"/>
    <s v="&lt;50k"/>
    <x v="0"/>
    <s v="Manual"/>
    <s v=""/>
    <s v="Toyota"/>
    <n v="26085.73"/>
  </r>
  <r>
    <n v="656"/>
    <x v="3"/>
    <x v="2"/>
    <n v="23322"/>
    <x v="2"/>
    <x v="1"/>
    <s v="Third"/>
    <n v="978"/>
    <s v="76.6"/>
    <s v="5.15"/>
    <n v="5"/>
    <s v="40118.86"/>
    <s v="2012"/>
    <s v="&lt;50k"/>
    <x v="0"/>
    <s v="Auto"/>
    <s v=""/>
    <s v="Mercedes"/>
    <n v="40118.86"/>
  </r>
  <r>
    <n v="657"/>
    <x v="0"/>
    <x v="11"/>
    <n v="193786"/>
    <x v="3"/>
    <x v="0"/>
    <s v="Third"/>
    <n v="3044"/>
    <s v="500.2"/>
    <s v="6.96"/>
    <n v="7"/>
    <s v="35985.76"/>
    <s v="2023"/>
    <s v="150k+"/>
    <x v="0"/>
    <s v="Manual"/>
    <s v=""/>
    <s v="Audi"/>
    <n v="35985.760000000002"/>
  </r>
  <r>
    <n v="658"/>
    <x v="6"/>
    <x v="4"/>
    <n v="92896"/>
    <x v="3"/>
    <x v="0"/>
    <s v="First"/>
    <n v="4886"/>
    <s v="401.9"/>
    <s v="27.03"/>
    <n v="2"/>
    <s v="65110.51"/>
    <s v="2016"/>
    <s v="50k-100k"/>
    <x v="0"/>
    <s v="Manual"/>
    <s v=""/>
    <s v="Hyundai"/>
    <n v="65110.51"/>
  </r>
  <r>
    <n v="659"/>
    <x v="8"/>
    <x v="18"/>
    <n v="67292"/>
    <x v="1"/>
    <x v="1"/>
    <s v="Second"/>
    <n v="1534"/>
    <s v="402.5"/>
    <s v="6.95"/>
    <n v="2"/>
    <s v="9047.22"/>
    <s v="2022"/>
    <s v="50k-100k"/>
    <x v="0"/>
    <s v="Auto"/>
    <s v=""/>
    <s v="Toyota"/>
    <n v="9047.2199999999993"/>
  </r>
  <r>
    <n v="660"/>
    <x v="3"/>
    <x v="15"/>
    <n v="34055"/>
    <x v="0"/>
    <x v="1"/>
    <s v="Third"/>
    <n v="1598"/>
    <s v="111.9"/>
    <s v="22.67"/>
    <n v="6"/>
    <s v="21548.73"/>
    <s v="2010"/>
    <s v="&lt;50k"/>
    <x v="0"/>
    <s v="Auto"/>
    <s v=""/>
    <s v="Mercedes"/>
    <n v="21548.73"/>
  </r>
  <r>
    <n v="661"/>
    <x v="3"/>
    <x v="18"/>
    <n v="47891"/>
    <x v="0"/>
    <x v="1"/>
    <s v="Second"/>
    <n v="1587"/>
    <s v="404.1"/>
    <s v="28.0"/>
    <n v="7"/>
    <s v="98085.09"/>
    <s v="2022"/>
    <s v="&lt;50k"/>
    <x v="0"/>
    <s v="Auto"/>
    <s v=""/>
    <s v="Mercedes"/>
    <n v="98085.09"/>
  </r>
  <r>
    <n v="662"/>
    <x v="6"/>
    <x v="11"/>
    <n v="86912"/>
    <x v="0"/>
    <x v="1"/>
    <s v="Second"/>
    <n v="3595"/>
    <s v="590.2"/>
    <s v="11.77"/>
    <n v="7"/>
    <s v="18514.67"/>
    <s v="2023"/>
    <s v="50k-100k"/>
    <x v="0"/>
    <s v="Auto"/>
    <s v=""/>
    <s v="Hyundai"/>
    <n v="18514.669999999998"/>
  </r>
  <r>
    <n v="663"/>
    <x v="5"/>
    <x v="7"/>
    <n v="142660"/>
    <x v="1"/>
    <x v="1"/>
    <s v="Second"/>
    <n v="3884"/>
    <s v="550.6"/>
    <s v="14.26"/>
    <n v="4"/>
    <s v="30307.36"/>
    <s v="2009"/>
    <s v="100k-150k"/>
    <x v="0"/>
    <s v="Auto"/>
    <s v=""/>
    <s v="Ford"/>
    <n v="30307.360000000001"/>
  </r>
  <r>
    <n v="664"/>
    <x v="3"/>
    <x v="10"/>
    <n v="95536"/>
    <x v="1"/>
    <x v="0"/>
    <s v="Third"/>
    <n v="3718"/>
    <s v="285.9"/>
    <s v="19.22"/>
    <n v="4"/>
    <s v="56044.36"/>
    <s v="2013"/>
    <s v="50k-100k"/>
    <x v="0"/>
    <s v="Manual"/>
    <s v=""/>
    <s v="Mercedes"/>
    <n v="56044.36"/>
  </r>
  <r>
    <n v="665"/>
    <x v="0"/>
    <x v="14"/>
    <n v="11304"/>
    <x v="0"/>
    <x v="0"/>
    <s v="First"/>
    <n v="1531"/>
    <s v="62.4"/>
    <s v="27.04"/>
    <n v="6"/>
    <s v="63503.14"/>
    <s v="2007"/>
    <s v="&lt;50k"/>
    <x v="0"/>
    <s v="Manual"/>
    <s v=""/>
    <s v="Audi"/>
    <n v="63503.14"/>
  </r>
  <r>
    <n v="666"/>
    <x v="3"/>
    <x v="8"/>
    <n v="12345"/>
    <x v="1"/>
    <x v="1"/>
    <s v="Third"/>
    <n v="1929"/>
    <s v="242.9"/>
    <s v="28.55"/>
    <n v="2"/>
    <s v="92342.43"/>
    <s v="2014"/>
    <s v="&lt;50k"/>
    <x v="0"/>
    <s v="Auto"/>
    <s v=""/>
    <s v="Mercedes"/>
    <n v="92342.43"/>
  </r>
  <r>
    <n v="667"/>
    <x v="3"/>
    <x v="11"/>
    <n v="165372"/>
    <x v="1"/>
    <x v="0"/>
    <s v="Second"/>
    <n v="4246"/>
    <s v="502.8"/>
    <s v="23.49"/>
    <n v="4"/>
    <s v="55337.89"/>
    <s v="2023"/>
    <s v="150k+"/>
    <x v="0"/>
    <s v="Manual"/>
    <s v=""/>
    <s v="Mercedes"/>
    <n v="55337.89"/>
  </r>
  <r>
    <n v="668"/>
    <x v="3"/>
    <x v="14"/>
    <n v="160331"/>
    <x v="1"/>
    <x v="0"/>
    <s v="Second"/>
    <n v="2405"/>
    <s v="432.8"/>
    <s v="7.17"/>
    <n v="5"/>
    <s v="95414.16"/>
    <s v="2007"/>
    <s v="150k+"/>
    <x v="0"/>
    <s v="Manual"/>
    <s v=""/>
    <s v="Mercedes"/>
    <n v="95414.16"/>
  </r>
  <r>
    <n v="669"/>
    <x v="4"/>
    <x v="1"/>
    <n v="96006"/>
    <x v="0"/>
    <x v="0"/>
    <s v="First"/>
    <n v="4578"/>
    <s v="297.2"/>
    <s v="21.73"/>
    <n v="2"/>
    <s v="75346.52"/>
    <s v="2019"/>
    <s v="50k-100k"/>
    <x v="0"/>
    <s v="Manual"/>
    <s v=""/>
    <s v="Volkswagen"/>
    <n v="75346.52"/>
  </r>
  <r>
    <n v="670"/>
    <x v="4"/>
    <x v="0"/>
    <n v="151424"/>
    <x v="0"/>
    <x v="1"/>
    <s v="Third"/>
    <n v="3545"/>
    <s v="70.9"/>
    <s v="15.26"/>
    <n v="5"/>
    <s v="16232.67"/>
    <s v="2005"/>
    <s v="150k+"/>
    <x v="0"/>
    <s v="Auto"/>
    <s v=""/>
    <s v="Volkswagen"/>
    <n v="16232.67"/>
  </r>
  <r>
    <n v="671"/>
    <x v="5"/>
    <x v="17"/>
    <n v="134350"/>
    <x v="0"/>
    <x v="0"/>
    <s v="Second"/>
    <n v="3970"/>
    <s v="279.1"/>
    <s v="16.77"/>
    <n v="7"/>
    <s v="21290.78"/>
    <s v="2011"/>
    <s v="100k-150k"/>
    <x v="0"/>
    <s v="Manual"/>
    <s v=""/>
    <s v="Ford"/>
    <n v="21290.78"/>
  </r>
  <r>
    <n v="672"/>
    <x v="8"/>
    <x v="4"/>
    <n v="169437"/>
    <x v="1"/>
    <x v="0"/>
    <s v="First"/>
    <n v="3733"/>
    <s v="302.7"/>
    <s v="6.23"/>
    <n v="2"/>
    <s v="54132.95"/>
    <s v="2016"/>
    <s v="150k+"/>
    <x v="0"/>
    <s v="Manual"/>
    <s v=""/>
    <s v="Toyota"/>
    <n v="54132.95"/>
  </r>
  <r>
    <n v="673"/>
    <x v="3"/>
    <x v="9"/>
    <n v="24446"/>
    <x v="0"/>
    <x v="0"/>
    <s v="Second"/>
    <n v="2015"/>
    <s v="560.0"/>
    <s v="9.78"/>
    <n v="6"/>
    <s v="49436.06"/>
    <s v="2021"/>
    <s v="&lt;50k"/>
    <x v="0"/>
    <s v="Manual"/>
    <s v=""/>
    <s v="Mercedes"/>
    <n v="49436.06"/>
  </r>
  <r>
    <n v="674"/>
    <x v="9"/>
    <x v="13"/>
    <n v="7336"/>
    <x v="1"/>
    <x v="1"/>
    <s v="First"/>
    <n v="1124"/>
    <s v="399.0"/>
    <s v="24.76"/>
    <n v="7"/>
    <s v="89994.68"/>
    <s v="2024"/>
    <s v="&lt;50k"/>
    <x v="0"/>
    <s v="Auto"/>
    <s v=""/>
    <s v="Nissan"/>
    <n v="89994.68"/>
  </r>
  <r>
    <n v="675"/>
    <x v="8"/>
    <x v="7"/>
    <n v="67032"/>
    <x v="2"/>
    <x v="0"/>
    <s v="First"/>
    <n v="2650"/>
    <s v="214.5"/>
    <s v="16.35"/>
    <n v="7"/>
    <s v="70946.25"/>
    <s v="2009"/>
    <s v="50k-100k"/>
    <x v="0"/>
    <s v="Manual"/>
    <s v=""/>
    <s v="Toyota"/>
    <n v="70946.25"/>
  </r>
  <r>
    <n v="676"/>
    <x v="5"/>
    <x v="5"/>
    <n v="102852"/>
    <x v="1"/>
    <x v="0"/>
    <s v="Third"/>
    <n v="2290"/>
    <s v="334.2"/>
    <s v="12.54"/>
    <n v="5"/>
    <s v="48411.57"/>
    <s v="2008"/>
    <s v="100k-150k"/>
    <x v="0"/>
    <s v="Manual"/>
    <s v=""/>
    <s v="Ford"/>
    <n v="48411.57"/>
  </r>
  <r>
    <n v="677"/>
    <x v="1"/>
    <x v="4"/>
    <n v="143593"/>
    <x v="3"/>
    <x v="1"/>
    <s v="Second"/>
    <n v="1693"/>
    <s v="77.0"/>
    <s v="14.6"/>
    <n v="7"/>
    <s v="22978.95"/>
    <s v="2016"/>
    <s v="100k-150k"/>
    <x v="0"/>
    <s v="Auto"/>
    <s v=""/>
    <s v="BMW"/>
    <n v="22978.95"/>
  </r>
  <r>
    <n v="678"/>
    <x v="8"/>
    <x v="13"/>
    <n v="159553"/>
    <x v="0"/>
    <x v="1"/>
    <s v="Third"/>
    <n v="2190"/>
    <s v="584.6"/>
    <s v="26.36"/>
    <n v="4"/>
    <s v="29539.94"/>
    <s v="2024"/>
    <s v="150k+"/>
    <x v="0"/>
    <s v="Auto"/>
    <s v=""/>
    <s v="Toyota"/>
    <n v="29539.94"/>
  </r>
  <r>
    <n v="679"/>
    <x v="8"/>
    <x v="18"/>
    <n v="23474"/>
    <x v="0"/>
    <x v="0"/>
    <s v="Second"/>
    <n v="4189"/>
    <s v="241.6"/>
    <s v="23.72"/>
    <n v="2"/>
    <s v="70333.62"/>
    <s v="2022"/>
    <s v="&lt;50k"/>
    <x v="0"/>
    <s v="Manual"/>
    <s v=""/>
    <s v="Toyota"/>
    <n v="70333.62"/>
  </r>
  <r>
    <n v="680"/>
    <x v="2"/>
    <x v="9"/>
    <n v="182832"/>
    <x v="3"/>
    <x v="0"/>
    <s v="Third"/>
    <n v="3063"/>
    <s v="307.6"/>
    <s v="11.81"/>
    <n v="4"/>
    <s v="52542.34"/>
    <s v="2021"/>
    <s v="150k+"/>
    <x v="0"/>
    <s v="Manual"/>
    <s v=""/>
    <s v="Kia"/>
    <n v="52542.34"/>
  </r>
  <r>
    <n v="681"/>
    <x v="7"/>
    <x v="11"/>
    <n v="60718"/>
    <x v="1"/>
    <x v="1"/>
    <s v="Second"/>
    <n v="4232"/>
    <s v="239.0"/>
    <s v="7.94"/>
    <n v="5"/>
    <s v="63246.52"/>
    <s v="2023"/>
    <s v="50k-100k"/>
    <x v="0"/>
    <s v="Auto"/>
    <s v=""/>
    <s v="Honda"/>
    <n v="63246.52"/>
  </r>
  <r>
    <n v="682"/>
    <x v="2"/>
    <x v="10"/>
    <n v="49629"/>
    <x v="2"/>
    <x v="1"/>
    <s v="Third"/>
    <n v="3171"/>
    <s v="422.2"/>
    <s v="11.3"/>
    <n v="5"/>
    <s v="22969.26"/>
    <s v="2013"/>
    <s v="&lt;50k"/>
    <x v="0"/>
    <s v="Auto"/>
    <s v=""/>
    <s v="Kia"/>
    <n v="22969.26"/>
  </r>
  <r>
    <n v="683"/>
    <x v="0"/>
    <x v="5"/>
    <n v="50232"/>
    <x v="3"/>
    <x v="1"/>
    <s v="First"/>
    <n v="3886"/>
    <s v="410.9"/>
    <s v="28.02"/>
    <n v="2"/>
    <s v="80560.03"/>
    <s v="2008"/>
    <s v="50k-100k"/>
    <x v="0"/>
    <s v="Auto"/>
    <s v=""/>
    <s v="Audi"/>
    <n v="80560.03"/>
  </r>
  <r>
    <n v="684"/>
    <x v="4"/>
    <x v="16"/>
    <n v="91544"/>
    <x v="3"/>
    <x v="1"/>
    <s v="Second"/>
    <n v="2315"/>
    <s v="440.6"/>
    <s v="19.54"/>
    <n v="7"/>
    <s v="102747.03"/>
    <s v="2006"/>
    <s v="50k-100k"/>
    <x v="0"/>
    <s v="Auto"/>
    <s v=""/>
    <s v="Volkswagen"/>
    <n v="102747.03"/>
  </r>
  <r>
    <n v="685"/>
    <x v="4"/>
    <x v="5"/>
    <n v="55669"/>
    <x v="1"/>
    <x v="1"/>
    <s v="Second"/>
    <n v="3717"/>
    <s v="190.2"/>
    <s v="18.34"/>
    <n v="6"/>
    <s v="33178.92"/>
    <s v="2008"/>
    <s v="50k-100k"/>
    <x v="0"/>
    <s v="Auto"/>
    <s v=""/>
    <s v="Volkswagen"/>
    <n v="33178.92"/>
  </r>
  <r>
    <n v="686"/>
    <x v="7"/>
    <x v="16"/>
    <n v="74184"/>
    <x v="0"/>
    <x v="1"/>
    <s v="First"/>
    <n v="3152"/>
    <s v="216.8"/>
    <s v="19.91"/>
    <n v="5"/>
    <s v="60507.16"/>
    <s v="2006"/>
    <s v="50k-100k"/>
    <x v="0"/>
    <s v="Auto"/>
    <s v=""/>
    <s v="Honda"/>
    <n v="60507.16"/>
  </r>
  <r>
    <n v="687"/>
    <x v="6"/>
    <x v="1"/>
    <n v="184017"/>
    <x v="1"/>
    <x v="1"/>
    <s v="Third"/>
    <n v="1967"/>
    <s v="110.1"/>
    <s v="14.15"/>
    <n v="2"/>
    <s v="117136.7"/>
    <s v="2019"/>
    <s v="150k+"/>
    <x v="0"/>
    <s v="Auto"/>
    <s v=""/>
    <s v="Hyundai"/>
    <n v="117136.7"/>
  </r>
  <r>
    <n v="688"/>
    <x v="6"/>
    <x v="16"/>
    <n v="18140"/>
    <x v="3"/>
    <x v="0"/>
    <s v="Second"/>
    <n v="910"/>
    <s v="407.1"/>
    <s v="25.18"/>
    <n v="6"/>
    <s v="41989.28"/>
    <s v="2006"/>
    <s v="&lt;50k"/>
    <x v="0"/>
    <s v="Manual"/>
    <s v=""/>
    <s v="Hyundai"/>
    <n v="41989.279999999999"/>
  </r>
  <r>
    <n v="689"/>
    <x v="5"/>
    <x v="5"/>
    <n v="131468"/>
    <x v="3"/>
    <x v="1"/>
    <s v="Second"/>
    <n v="4455"/>
    <s v="62.3"/>
    <s v="18.08"/>
    <n v="7"/>
    <s v="72620.42"/>
    <s v="2008"/>
    <s v="100k-150k"/>
    <x v="0"/>
    <s v="Auto"/>
    <s v=""/>
    <s v="Ford"/>
    <n v="72620.42"/>
  </r>
  <r>
    <n v="690"/>
    <x v="7"/>
    <x v="15"/>
    <n v="88457"/>
    <x v="0"/>
    <x v="1"/>
    <s v="Third"/>
    <n v="4593"/>
    <s v="374.7"/>
    <s v="7.92"/>
    <n v="5"/>
    <s v="13552.9"/>
    <s v="2010"/>
    <s v="50k-100k"/>
    <x v="0"/>
    <s v="Auto"/>
    <s v=""/>
    <s v="Honda"/>
    <n v="13552.9"/>
  </r>
  <r>
    <n v="691"/>
    <x v="8"/>
    <x v="17"/>
    <n v="19357"/>
    <x v="0"/>
    <x v="0"/>
    <s v="First"/>
    <n v="2555"/>
    <s v="527.0"/>
    <s v="8.23"/>
    <n v="2"/>
    <s v="73903.76"/>
    <s v="2011"/>
    <s v="&lt;50k"/>
    <x v="0"/>
    <s v="Manual"/>
    <s v=""/>
    <s v="Toyota"/>
    <n v="73903.759999999995"/>
  </r>
  <r>
    <n v="692"/>
    <x v="6"/>
    <x v="8"/>
    <n v="116672"/>
    <x v="0"/>
    <x v="1"/>
    <s v="Third"/>
    <n v="2377"/>
    <s v="538.9"/>
    <s v="18.42"/>
    <n v="2"/>
    <s v="13486.92"/>
    <s v="2014"/>
    <s v="100k-150k"/>
    <x v="0"/>
    <s v="Auto"/>
    <s v=""/>
    <s v="Hyundai"/>
    <n v="13486.92"/>
  </r>
  <r>
    <n v="693"/>
    <x v="3"/>
    <x v="11"/>
    <n v="73673"/>
    <x v="1"/>
    <x v="1"/>
    <s v="Third"/>
    <n v="2096"/>
    <s v="291.5"/>
    <s v="28.41"/>
    <n v="2"/>
    <s v="115230.55"/>
    <s v="2023"/>
    <s v="50k-100k"/>
    <x v="0"/>
    <s v="Auto"/>
    <s v=""/>
    <s v="Mercedes"/>
    <n v="115230.55"/>
  </r>
  <r>
    <n v="694"/>
    <x v="9"/>
    <x v="11"/>
    <n v="126673"/>
    <x v="0"/>
    <x v="0"/>
    <s v="Third"/>
    <n v="4574"/>
    <s v="297.2"/>
    <s v="12.71"/>
    <n v="5"/>
    <s v="86732.53"/>
    <s v="2023"/>
    <s v="100k-150k"/>
    <x v="0"/>
    <s v="Manual"/>
    <s v=""/>
    <s v="Nissan"/>
    <n v="86732.53"/>
  </r>
  <r>
    <n v="695"/>
    <x v="8"/>
    <x v="4"/>
    <n v="70633"/>
    <x v="3"/>
    <x v="1"/>
    <s v="Second"/>
    <n v="3020"/>
    <s v="83.1"/>
    <s v="26.74"/>
    <n v="6"/>
    <s v="95214.7"/>
    <s v="2016"/>
    <s v="50k-100k"/>
    <x v="0"/>
    <s v="Auto"/>
    <s v=""/>
    <s v="Toyota"/>
    <n v="95214.7"/>
  </r>
  <r>
    <n v="696"/>
    <x v="0"/>
    <x v="14"/>
    <n v="101111"/>
    <x v="3"/>
    <x v="0"/>
    <s v="First"/>
    <n v="1772"/>
    <s v="415.6"/>
    <s v="24.1"/>
    <n v="2"/>
    <s v="85380.21"/>
    <s v="2007"/>
    <s v="100k-150k"/>
    <x v="0"/>
    <s v="Manual"/>
    <s v=""/>
    <s v="Audi"/>
    <n v="85380.21"/>
  </r>
  <r>
    <n v="697"/>
    <x v="3"/>
    <x v="19"/>
    <n v="83258"/>
    <x v="2"/>
    <x v="0"/>
    <s v="First"/>
    <n v="1830"/>
    <s v="499.9"/>
    <s v="11.2"/>
    <n v="7"/>
    <s v="71998.3"/>
    <s v="2017"/>
    <s v="50k-100k"/>
    <x v="0"/>
    <s v="Manual"/>
    <s v=""/>
    <s v="Mercedes"/>
    <n v="71998.3"/>
  </r>
  <r>
    <n v="698"/>
    <x v="3"/>
    <x v="18"/>
    <n v="148996"/>
    <x v="1"/>
    <x v="0"/>
    <s v="Third"/>
    <n v="3393"/>
    <s v="177.0"/>
    <s v="5.91"/>
    <n v="2"/>
    <s v="55639.8"/>
    <s v="2022"/>
    <s v="100k-150k"/>
    <x v="0"/>
    <s v="Manual"/>
    <s v=""/>
    <s v="Mercedes"/>
    <n v="55639.8"/>
  </r>
  <r>
    <n v="699"/>
    <x v="7"/>
    <x v="2"/>
    <n v="74286"/>
    <x v="2"/>
    <x v="0"/>
    <s v="Second"/>
    <n v="4792"/>
    <s v="275.9"/>
    <s v="7.55"/>
    <n v="6"/>
    <s v="103429.69"/>
    <s v="2012"/>
    <s v="50k-100k"/>
    <x v="0"/>
    <s v="Manual"/>
    <s v=""/>
    <s v="Honda"/>
    <n v="103429.69"/>
  </r>
  <r>
    <n v="700"/>
    <x v="5"/>
    <x v="1"/>
    <n v="98269"/>
    <x v="3"/>
    <x v="1"/>
    <s v="Third"/>
    <n v="1713"/>
    <s v="509.8"/>
    <s v="23.21"/>
    <n v="5"/>
    <s v="114949.77"/>
    <s v="2019"/>
    <s v="50k-100k"/>
    <x v="0"/>
    <s v="Auto"/>
    <s v=""/>
    <s v="Ford"/>
    <n v="114949.77"/>
  </r>
  <r>
    <n v="701"/>
    <x v="0"/>
    <x v="0"/>
    <n v="79071"/>
    <x v="2"/>
    <x v="0"/>
    <s v="Second"/>
    <n v="2981"/>
    <s v="531.2"/>
    <s v="9.99"/>
    <n v="2"/>
    <s v="61387.23"/>
    <s v="2005"/>
    <s v="50k-100k"/>
    <x v="0"/>
    <s v="Manual"/>
    <s v=""/>
    <s v="Audi"/>
    <n v="61387.23"/>
  </r>
  <r>
    <n v="702"/>
    <x v="6"/>
    <x v="14"/>
    <n v="193398"/>
    <x v="3"/>
    <x v="0"/>
    <s v="Second"/>
    <n v="3997"/>
    <s v="176.2"/>
    <s v="14.28"/>
    <n v="2"/>
    <s v="111989.6"/>
    <s v="2007"/>
    <s v="150k+"/>
    <x v="0"/>
    <s v="Manual"/>
    <s v=""/>
    <s v="Hyundai"/>
    <n v="111989.6"/>
  </r>
  <r>
    <n v="703"/>
    <x v="7"/>
    <x v="2"/>
    <n v="35651"/>
    <x v="2"/>
    <x v="1"/>
    <s v="Second"/>
    <n v="2262"/>
    <s v="348.3"/>
    <s v="17.54"/>
    <n v="7"/>
    <s v="71249.95"/>
    <s v="2012"/>
    <s v="&lt;50k"/>
    <x v="0"/>
    <s v="Auto"/>
    <s v=""/>
    <s v="Honda"/>
    <n v="71249.95"/>
  </r>
  <r>
    <n v="704"/>
    <x v="6"/>
    <x v="5"/>
    <n v="75202"/>
    <x v="0"/>
    <x v="0"/>
    <s v="Second"/>
    <n v="3178"/>
    <s v="147.8"/>
    <s v="23.14"/>
    <n v="7"/>
    <s v="65990.95"/>
    <s v="2008"/>
    <s v="50k-100k"/>
    <x v="0"/>
    <s v="Manual"/>
    <s v=""/>
    <s v="Hyundai"/>
    <n v="65990.95"/>
  </r>
  <r>
    <n v="705"/>
    <x v="7"/>
    <x v="6"/>
    <n v="53777"/>
    <x v="2"/>
    <x v="0"/>
    <s v="First"/>
    <n v="4254"/>
    <s v="97.1"/>
    <s v="7.83"/>
    <n v="2"/>
    <s v="56174.48"/>
    <s v="2020"/>
    <s v="50k-100k"/>
    <x v="0"/>
    <s v="Manual"/>
    <s v=""/>
    <s v="Honda"/>
    <n v="56174.48"/>
  </r>
  <r>
    <n v="706"/>
    <x v="7"/>
    <x v="8"/>
    <n v="153066"/>
    <x v="0"/>
    <x v="0"/>
    <s v="Second"/>
    <n v="4353"/>
    <s v="550.2"/>
    <s v="15.16"/>
    <n v="2"/>
    <s v="27486.67"/>
    <s v="2014"/>
    <s v="150k+"/>
    <x v="0"/>
    <s v="Manual"/>
    <s v=""/>
    <s v="Honda"/>
    <n v="27486.67"/>
  </r>
  <r>
    <n v="707"/>
    <x v="7"/>
    <x v="4"/>
    <n v="72263"/>
    <x v="0"/>
    <x v="0"/>
    <s v="Second"/>
    <n v="2107"/>
    <s v="499.5"/>
    <s v="17.13"/>
    <n v="7"/>
    <s v="3435.2"/>
    <s v="2016"/>
    <s v="50k-100k"/>
    <x v="0"/>
    <s v="Manual"/>
    <s v=""/>
    <s v="Honda"/>
    <n v="3435.2"/>
  </r>
  <r>
    <n v="708"/>
    <x v="5"/>
    <x v="12"/>
    <n v="195706"/>
    <x v="1"/>
    <x v="1"/>
    <s v="Third"/>
    <n v="1989"/>
    <s v="465.6"/>
    <s v="18.52"/>
    <n v="6"/>
    <s v="31256.23"/>
    <s v="2018"/>
    <s v="150k+"/>
    <x v="0"/>
    <s v="Auto"/>
    <s v=""/>
    <s v="Ford"/>
    <n v="31256.23"/>
  </r>
  <r>
    <n v="709"/>
    <x v="7"/>
    <x v="12"/>
    <n v="105158"/>
    <x v="0"/>
    <x v="0"/>
    <s v="Third"/>
    <n v="1487"/>
    <s v="67.3"/>
    <s v="25.46"/>
    <n v="4"/>
    <s v="62637.61"/>
    <s v="2018"/>
    <s v="100k-150k"/>
    <x v="0"/>
    <s v="Manual"/>
    <s v=""/>
    <s v="Honda"/>
    <n v="62637.61"/>
  </r>
  <r>
    <n v="710"/>
    <x v="1"/>
    <x v="16"/>
    <n v="15800"/>
    <x v="0"/>
    <x v="1"/>
    <s v="First"/>
    <n v="2007"/>
    <s v="512.5"/>
    <s v="9.29"/>
    <n v="4"/>
    <s v="47455.31"/>
    <s v="2006"/>
    <s v="&lt;50k"/>
    <x v="0"/>
    <s v="Auto"/>
    <s v=""/>
    <s v="BMW"/>
    <n v="47455.31"/>
  </r>
  <r>
    <n v="711"/>
    <x v="9"/>
    <x v="7"/>
    <n v="42823"/>
    <x v="2"/>
    <x v="1"/>
    <s v="Third"/>
    <n v="2694"/>
    <s v="285.3"/>
    <s v="25.2"/>
    <n v="2"/>
    <s v="55472.77"/>
    <s v="2009"/>
    <s v="&lt;50k"/>
    <x v="0"/>
    <s v="Auto"/>
    <s v=""/>
    <s v="Nissan"/>
    <n v="55472.77"/>
  </r>
  <r>
    <n v="712"/>
    <x v="6"/>
    <x v="7"/>
    <n v="68878"/>
    <x v="3"/>
    <x v="0"/>
    <s v="Second"/>
    <n v="2611"/>
    <s v="231.7"/>
    <s v="22.32"/>
    <n v="7"/>
    <s v="117735.84"/>
    <s v="2009"/>
    <s v="50k-100k"/>
    <x v="0"/>
    <s v="Manual"/>
    <s v=""/>
    <s v="Hyundai"/>
    <n v="117735.84"/>
  </r>
  <r>
    <n v="713"/>
    <x v="8"/>
    <x v="15"/>
    <n v="23708"/>
    <x v="1"/>
    <x v="0"/>
    <s v="Third"/>
    <n v="3983"/>
    <s v="346.0"/>
    <s v="18.9"/>
    <n v="5"/>
    <s v="43981.87"/>
    <s v="2010"/>
    <s v="&lt;50k"/>
    <x v="0"/>
    <s v="Manual"/>
    <s v=""/>
    <s v="Toyota"/>
    <n v="43981.87"/>
  </r>
  <r>
    <n v="714"/>
    <x v="2"/>
    <x v="19"/>
    <n v="148891"/>
    <x v="0"/>
    <x v="0"/>
    <s v="First"/>
    <n v="4597"/>
    <s v="91.2"/>
    <s v="22.49"/>
    <n v="5"/>
    <s v="55905.4"/>
    <s v="2017"/>
    <s v="100k-150k"/>
    <x v="0"/>
    <s v="Manual"/>
    <s v=""/>
    <s v="Kia"/>
    <n v="55905.4"/>
  </r>
  <r>
    <n v="715"/>
    <x v="0"/>
    <x v="10"/>
    <n v="68870"/>
    <x v="1"/>
    <x v="0"/>
    <s v="Third"/>
    <n v="2444"/>
    <s v="463.7"/>
    <s v="15.3"/>
    <n v="4"/>
    <s v="18621.32"/>
    <s v="2013"/>
    <s v="50k-100k"/>
    <x v="0"/>
    <s v="Manual"/>
    <s v=""/>
    <s v="Audi"/>
    <n v="18621.32"/>
  </r>
  <r>
    <n v="716"/>
    <x v="4"/>
    <x v="1"/>
    <n v="14283"/>
    <x v="2"/>
    <x v="1"/>
    <s v="Third"/>
    <n v="4768"/>
    <s v="366.2"/>
    <s v="8.46"/>
    <n v="6"/>
    <s v="8611.05"/>
    <s v="2019"/>
    <s v="&lt;50k"/>
    <x v="0"/>
    <s v="Auto"/>
    <s v=""/>
    <s v="Volkswagen"/>
    <n v="8611.0499999999993"/>
  </r>
  <r>
    <n v="717"/>
    <x v="5"/>
    <x v="12"/>
    <n v="166645"/>
    <x v="0"/>
    <x v="1"/>
    <s v="First"/>
    <n v="3516"/>
    <s v="144.5"/>
    <s v="21.64"/>
    <n v="4"/>
    <s v="93722.91"/>
    <s v="2018"/>
    <s v="150k+"/>
    <x v="0"/>
    <s v="Auto"/>
    <s v=""/>
    <s v="Ford"/>
    <n v="93722.91"/>
  </r>
  <r>
    <n v="718"/>
    <x v="8"/>
    <x v="17"/>
    <n v="83707"/>
    <x v="2"/>
    <x v="1"/>
    <s v="First"/>
    <n v="990"/>
    <s v="145.4"/>
    <s v="18.12"/>
    <n v="2"/>
    <s v="69769.93"/>
    <s v="2011"/>
    <s v="50k-100k"/>
    <x v="0"/>
    <s v="Auto"/>
    <s v=""/>
    <s v="Toyota"/>
    <n v="69769.929999999993"/>
  </r>
  <r>
    <n v="719"/>
    <x v="3"/>
    <x v="13"/>
    <n v="167005"/>
    <x v="1"/>
    <x v="0"/>
    <s v="Second"/>
    <n v="2135"/>
    <s v="143.2"/>
    <s v="20.98"/>
    <n v="6"/>
    <s v="92002.46"/>
    <s v="2024"/>
    <s v="150k+"/>
    <x v="0"/>
    <s v="Manual"/>
    <s v=""/>
    <s v="Mercedes"/>
    <n v="92002.46"/>
  </r>
  <r>
    <n v="720"/>
    <x v="1"/>
    <x v="16"/>
    <n v="10774"/>
    <x v="2"/>
    <x v="1"/>
    <s v="Third"/>
    <n v="3906"/>
    <s v="71.9"/>
    <s v="13.45"/>
    <n v="5"/>
    <s v="20533.95"/>
    <s v="2006"/>
    <s v="&lt;50k"/>
    <x v="0"/>
    <s v="Auto"/>
    <s v=""/>
    <s v="BMW"/>
    <n v="20533.95"/>
  </r>
  <r>
    <n v="721"/>
    <x v="4"/>
    <x v="17"/>
    <n v="147055"/>
    <x v="1"/>
    <x v="0"/>
    <s v="Second"/>
    <n v="1178"/>
    <s v="369.2"/>
    <s v="27.67"/>
    <n v="7"/>
    <s v="69903.97"/>
    <s v="2011"/>
    <s v="100k-150k"/>
    <x v="0"/>
    <s v="Manual"/>
    <s v=""/>
    <s v="Volkswagen"/>
    <n v="69903.97"/>
  </r>
  <r>
    <n v="722"/>
    <x v="2"/>
    <x v="15"/>
    <n v="101468"/>
    <x v="2"/>
    <x v="0"/>
    <s v="Third"/>
    <n v="4629"/>
    <s v="510.6"/>
    <s v="19.68"/>
    <n v="7"/>
    <s v="32676.17"/>
    <s v="2010"/>
    <s v="100k-150k"/>
    <x v="0"/>
    <s v="Manual"/>
    <s v=""/>
    <s v="Kia"/>
    <n v="32676.17"/>
  </r>
  <r>
    <n v="723"/>
    <x v="8"/>
    <x v="9"/>
    <n v="101334"/>
    <x v="1"/>
    <x v="0"/>
    <s v="Third"/>
    <n v="1415"/>
    <s v="49.8"/>
    <s v="7.14"/>
    <n v="2"/>
    <s v="29683.23"/>
    <s v="2021"/>
    <s v="100k-150k"/>
    <x v="0"/>
    <s v="Manual"/>
    <s v=""/>
    <s v="Toyota"/>
    <n v="29683.23"/>
  </r>
  <r>
    <n v="724"/>
    <x v="4"/>
    <x v="16"/>
    <n v="23133"/>
    <x v="3"/>
    <x v="0"/>
    <s v="Second"/>
    <n v="3130"/>
    <s v="67.4"/>
    <s v="16.25"/>
    <n v="4"/>
    <s v="4348.54"/>
    <s v="2006"/>
    <s v="&lt;50k"/>
    <x v="0"/>
    <s v="Manual"/>
    <s v=""/>
    <s v="Volkswagen"/>
    <n v="4348.54"/>
  </r>
  <r>
    <n v="725"/>
    <x v="8"/>
    <x v="14"/>
    <n v="151011"/>
    <x v="2"/>
    <x v="0"/>
    <s v="Third"/>
    <n v="2554"/>
    <s v="360.8"/>
    <s v="23.91"/>
    <n v="2"/>
    <s v="18249.86"/>
    <s v="2007"/>
    <s v="150k+"/>
    <x v="0"/>
    <s v="Manual"/>
    <s v=""/>
    <s v="Toyota"/>
    <n v="18249.86"/>
  </r>
  <r>
    <n v="726"/>
    <x v="1"/>
    <x v="7"/>
    <n v="5781"/>
    <x v="2"/>
    <x v="1"/>
    <s v="Third"/>
    <n v="1263"/>
    <s v="498.9"/>
    <s v="24.85"/>
    <n v="7"/>
    <s v="39184.37"/>
    <s v="2009"/>
    <s v="&lt;50k"/>
    <x v="0"/>
    <s v="Auto"/>
    <s v=""/>
    <s v="BMW"/>
    <n v="39184.370000000003"/>
  </r>
  <r>
    <n v="727"/>
    <x v="2"/>
    <x v="7"/>
    <n v="119586"/>
    <x v="3"/>
    <x v="1"/>
    <s v="Third"/>
    <n v="1766"/>
    <s v="223.0"/>
    <s v="17.36"/>
    <n v="5"/>
    <s v="16674.81"/>
    <s v="2009"/>
    <s v="100k-150k"/>
    <x v="0"/>
    <s v="Auto"/>
    <s v=""/>
    <s v="Kia"/>
    <n v="16674.810000000001"/>
  </r>
  <r>
    <n v="728"/>
    <x v="3"/>
    <x v="0"/>
    <n v="192772"/>
    <x v="3"/>
    <x v="0"/>
    <s v="First"/>
    <n v="3958"/>
    <s v="235.8"/>
    <s v="27.37"/>
    <n v="7"/>
    <s v="118345.44"/>
    <s v="2005"/>
    <s v="150k+"/>
    <x v="0"/>
    <s v="Manual"/>
    <s v=""/>
    <s v="Mercedes"/>
    <n v="118345.44"/>
  </r>
  <r>
    <n v="729"/>
    <x v="7"/>
    <x v="2"/>
    <n v="32624"/>
    <x v="2"/>
    <x v="1"/>
    <s v="Second"/>
    <n v="4424"/>
    <s v="374.0"/>
    <s v="11.69"/>
    <n v="6"/>
    <s v="39110.02"/>
    <s v="2012"/>
    <s v="&lt;50k"/>
    <x v="0"/>
    <s v="Auto"/>
    <s v=""/>
    <s v="Honda"/>
    <n v="39110.019999999997"/>
  </r>
  <r>
    <n v="730"/>
    <x v="6"/>
    <x v="4"/>
    <n v="11823"/>
    <x v="3"/>
    <x v="0"/>
    <s v="First"/>
    <n v="1489"/>
    <s v="193.6"/>
    <s v="15.26"/>
    <n v="7"/>
    <s v="18247.9"/>
    <s v="2016"/>
    <s v="&lt;50k"/>
    <x v="0"/>
    <s v="Manual"/>
    <s v=""/>
    <s v="Hyundai"/>
    <n v="18247.900000000001"/>
  </r>
  <r>
    <n v="731"/>
    <x v="3"/>
    <x v="5"/>
    <n v="23489"/>
    <x v="0"/>
    <x v="0"/>
    <s v="Second"/>
    <n v="3422"/>
    <s v="54.9"/>
    <s v="27.46"/>
    <n v="7"/>
    <s v="26292.63"/>
    <s v="2008"/>
    <s v="&lt;50k"/>
    <x v="0"/>
    <s v="Manual"/>
    <s v=""/>
    <s v="Mercedes"/>
    <n v="26292.63"/>
  </r>
  <r>
    <n v="732"/>
    <x v="7"/>
    <x v="19"/>
    <n v="176033"/>
    <x v="1"/>
    <x v="0"/>
    <s v="Second"/>
    <n v="3012"/>
    <s v="451.7"/>
    <s v="27.41"/>
    <n v="6"/>
    <s v="71761.28"/>
    <s v="2017"/>
    <s v="150k+"/>
    <x v="0"/>
    <s v="Manual"/>
    <s v=""/>
    <s v="Honda"/>
    <n v="71761.279999999999"/>
  </r>
  <r>
    <n v="733"/>
    <x v="5"/>
    <x v="1"/>
    <n v="34118"/>
    <x v="1"/>
    <x v="1"/>
    <s v="Third"/>
    <n v="1182"/>
    <s v="390.4"/>
    <s v="22.14"/>
    <n v="4"/>
    <s v="10493.09"/>
    <s v="2019"/>
    <s v="&lt;50k"/>
    <x v="0"/>
    <s v="Auto"/>
    <s v=""/>
    <s v="Ford"/>
    <n v="10493.09"/>
  </r>
  <r>
    <n v="734"/>
    <x v="9"/>
    <x v="3"/>
    <n v="105417"/>
    <x v="1"/>
    <x v="0"/>
    <s v="Second"/>
    <n v="3056"/>
    <s v="365.2"/>
    <s v="26.47"/>
    <n v="7"/>
    <s v="103904.79"/>
    <s v="2015"/>
    <s v="100k-150k"/>
    <x v="0"/>
    <s v="Manual"/>
    <s v=""/>
    <s v="Nissan"/>
    <n v="103904.79"/>
  </r>
  <r>
    <n v="735"/>
    <x v="0"/>
    <x v="8"/>
    <n v="86816"/>
    <x v="0"/>
    <x v="0"/>
    <s v="First"/>
    <n v="4610"/>
    <s v="455.3"/>
    <s v="7.22"/>
    <n v="2"/>
    <s v="115495.46"/>
    <s v="2014"/>
    <s v="50k-100k"/>
    <x v="0"/>
    <s v="Manual"/>
    <s v=""/>
    <s v="Audi"/>
    <n v="115495.46"/>
  </r>
  <r>
    <n v="736"/>
    <x v="0"/>
    <x v="14"/>
    <n v="158335"/>
    <x v="3"/>
    <x v="1"/>
    <s v="First"/>
    <n v="4303"/>
    <s v="418.1"/>
    <s v="26.62"/>
    <n v="7"/>
    <s v="31869.45"/>
    <s v="2007"/>
    <s v="150k+"/>
    <x v="0"/>
    <s v="Auto"/>
    <s v=""/>
    <s v="Audi"/>
    <n v="31869.45"/>
  </r>
  <r>
    <n v="737"/>
    <x v="6"/>
    <x v="12"/>
    <n v="18565"/>
    <x v="3"/>
    <x v="1"/>
    <s v="First"/>
    <n v="2212"/>
    <s v="155.3"/>
    <s v="13.02"/>
    <n v="2"/>
    <s v="55661.15"/>
    <s v="2018"/>
    <s v="&lt;50k"/>
    <x v="0"/>
    <s v="Auto"/>
    <s v=""/>
    <s v="Hyundai"/>
    <n v="55661.15"/>
  </r>
  <r>
    <n v="738"/>
    <x v="2"/>
    <x v="6"/>
    <n v="156426"/>
    <x v="2"/>
    <x v="1"/>
    <s v="Second"/>
    <n v="2383"/>
    <s v="237.4"/>
    <s v="9.46"/>
    <n v="6"/>
    <s v="5589.73"/>
    <s v="2020"/>
    <s v="150k+"/>
    <x v="0"/>
    <s v="Auto"/>
    <s v=""/>
    <s v="Kia"/>
    <n v="5589.73"/>
  </r>
  <r>
    <n v="739"/>
    <x v="1"/>
    <x v="8"/>
    <n v="179023"/>
    <x v="3"/>
    <x v="0"/>
    <s v="First"/>
    <n v="1171"/>
    <s v="110.6"/>
    <s v="10.98"/>
    <n v="7"/>
    <s v="77963.1"/>
    <s v="2014"/>
    <s v="150k+"/>
    <x v="0"/>
    <s v="Manual"/>
    <s v=""/>
    <s v="BMW"/>
    <n v="77963.100000000006"/>
  </r>
  <r>
    <n v="740"/>
    <x v="2"/>
    <x v="8"/>
    <n v="96179"/>
    <x v="2"/>
    <x v="0"/>
    <s v="Second"/>
    <n v="1410"/>
    <s v="112.7"/>
    <s v="15.45"/>
    <n v="6"/>
    <s v="51429.35"/>
    <s v="2014"/>
    <s v="50k-100k"/>
    <x v="0"/>
    <s v="Manual"/>
    <s v=""/>
    <s v="Kia"/>
    <n v="51429.35"/>
  </r>
  <r>
    <n v="741"/>
    <x v="1"/>
    <x v="4"/>
    <n v="28648"/>
    <x v="0"/>
    <x v="1"/>
    <s v="First"/>
    <n v="915"/>
    <s v="418.7"/>
    <s v="11.28"/>
    <n v="6"/>
    <s v="34596.84"/>
    <s v="2016"/>
    <s v="&lt;50k"/>
    <x v="0"/>
    <s v="Auto"/>
    <s v=""/>
    <s v="BMW"/>
    <n v="34596.839999999997"/>
  </r>
  <r>
    <n v="742"/>
    <x v="2"/>
    <x v="10"/>
    <n v="186801"/>
    <x v="1"/>
    <x v="0"/>
    <s v="First"/>
    <n v="1246"/>
    <s v="520.8"/>
    <s v="13.01"/>
    <n v="4"/>
    <s v="27199.94"/>
    <s v="2013"/>
    <s v="150k+"/>
    <x v="0"/>
    <s v="Manual"/>
    <s v=""/>
    <s v="Kia"/>
    <n v="27199.94"/>
  </r>
  <r>
    <n v="743"/>
    <x v="9"/>
    <x v="0"/>
    <n v="46971"/>
    <x v="1"/>
    <x v="1"/>
    <s v="Second"/>
    <n v="2191"/>
    <s v="579.1"/>
    <s v="8.37"/>
    <n v="7"/>
    <s v="79520.7"/>
    <s v="2005"/>
    <s v="&lt;50k"/>
    <x v="0"/>
    <s v="Auto"/>
    <s v=""/>
    <s v="Nissan"/>
    <n v="79520.7"/>
  </r>
  <r>
    <n v="744"/>
    <x v="5"/>
    <x v="7"/>
    <n v="23658"/>
    <x v="1"/>
    <x v="1"/>
    <s v="First"/>
    <n v="4124"/>
    <s v="391.9"/>
    <s v="12.4"/>
    <n v="2"/>
    <s v="51697.39"/>
    <s v="2009"/>
    <s v="&lt;50k"/>
    <x v="0"/>
    <s v="Auto"/>
    <s v=""/>
    <s v="Ford"/>
    <n v="51697.39"/>
  </r>
  <r>
    <n v="745"/>
    <x v="5"/>
    <x v="13"/>
    <n v="26253"/>
    <x v="3"/>
    <x v="0"/>
    <s v="Third"/>
    <n v="2140"/>
    <s v="143.1"/>
    <s v="19.31"/>
    <n v="2"/>
    <s v="24020.14"/>
    <s v="2024"/>
    <s v="&lt;50k"/>
    <x v="0"/>
    <s v="Manual"/>
    <s v=""/>
    <s v="Ford"/>
    <n v="24020.14"/>
  </r>
  <r>
    <n v="746"/>
    <x v="7"/>
    <x v="2"/>
    <n v="184635"/>
    <x v="2"/>
    <x v="0"/>
    <s v="Second"/>
    <n v="3739"/>
    <s v="99.2"/>
    <s v="16.05"/>
    <n v="7"/>
    <s v="83625.76"/>
    <s v="2012"/>
    <s v="150k+"/>
    <x v="0"/>
    <s v="Manual"/>
    <s v=""/>
    <s v="Honda"/>
    <n v="83625.759999999995"/>
  </r>
  <r>
    <n v="747"/>
    <x v="4"/>
    <x v="3"/>
    <n v="162462"/>
    <x v="2"/>
    <x v="1"/>
    <s v="Second"/>
    <n v="4499"/>
    <s v="495.2"/>
    <s v="13.67"/>
    <n v="4"/>
    <s v="69113.46"/>
    <s v="2015"/>
    <s v="150k+"/>
    <x v="0"/>
    <s v="Auto"/>
    <s v=""/>
    <s v="Volkswagen"/>
    <n v="69113.460000000006"/>
  </r>
  <r>
    <n v="748"/>
    <x v="5"/>
    <x v="4"/>
    <n v="93664"/>
    <x v="0"/>
    <x v="1"/>
    <s v="Second"/>
    <n v="1873"/>
    <s v="364.1"/>
    <s v="23.66"/>
    <n v="4"/>
    <s v="103464.63"/>
    <s v="2016"/>
    <s v="50k-100k"/>
    <x v="0"/>
    <s v="Auto"/>
    <s v=""/>
    <s v="Ford"/>
    <n v="103464.63"/>
  </r>
  <r>
    <n v="749"/>
    <x v="5"/>
    <x v="0"/>
    <n v="187650"/>
    <x v="3"/>
    <x v="1"/>
    <s v="Third"/>
    <n v="4369"/>
    <s v="386.2"/>
    <s v="27.34"/>
    <n v="4"/>
    <s v="16744.68"/>
    <s v="2005"/>
    <s v="150k+"/>
    <x v="0"/>
    <s v="Auto"/>
    <s v=""/>
    <s v="Ford"/>
    <n v="16744.68"/>
  </r>
  <r>
    <n v="750"/>
    <x v="3"/>
    <x v="13"/>
    <n v="108850"/>
    <x v="0"/>
    <x v="1"/>
    <s v="Second"/>
    <n v="3950"/>
    <s v="477.6"/>
    <s v="23.92"/>
    <n v="2"/>
    <s v="94922.99"/>
    <s v="2024"/>
    <s v="100k-150k"/>
    <x v="0"/>
    <s v="Auto"/>
    <s v=""/>
    <s v="Mercedes"/>
    <n v="94922.99"/>
  </r>
  <r>
    <n v="751"/>
    <x v="3"/>
    <x v="3"/>
    <n v="168730"/>
    <x v="2"/>
    <x v="0"/>
    <s v="First"/>
    <n v="2405"/>
    <s v="433.8"/>
    <s v="13.3"/>
    <n v="6"/>
    <s v="81801.46"/>
    <s v="2015"/>
    <s v="150k+"/>
    <x v="0"/>
    <s v="Manual"/>
    <s v=""/>
    <s v="Mercedes"/>
    <n v="81801.460000000006"/>
  </r>
  <r>
    <n v="752"/>
    <x v="7"/>
    <x v="7"/>
    <n v="142924"/>
    <x v="2"/>
    <x v="1"/>
    <s v="First"/>
    <n v="3094"/>
    <s v="507.3"/>
    <s v="23.61"/>
    <n v="4"/>
    <s v="16456.28"/>
    <s v="2009"/>
    <s v="100k-150k"/>
    <x v="0"/>
    <s v="Auto"/>
    <s v=""/>
    <s v="Honda"/>
    <n v="16456.28"/>
  </r>
  <r>
    <n v="753"/>
    <x v="4"/>
    <x v="1"/>
    <n v="138623"/>
    <x v="1"/>
    <x v="1"/>
    <s v="First"/>
    <n v="4462"/>
    <s v="71.5"/>
    <s v="8.8"/>
    <n v="2"/>
    <s v="84294.03"/>
    <s v="2019"/>
    <s v="100k-150k"/>
    <x v="0"/>
    <s v="Auto"/>
    <s v=""/>
    <s v="Volkswagen"/>
    <n v="84294.03"/>
  </r>
  <r>
    <n v="754"/>
    <x v="6"/>
    <x v="7"/>
    <n v="76947"/>
    <x v="3"/>
    <x v="1"/>
    <s v="Second"/>
    <n v="1783"/>
    <s v="458.6"/>
    <s v="8.26"/>
    <n v="2"/>
    <s v="54661.03"/>
    <s v="2009"/>
    <s v="50k-100k"/>
    <x v="0"/>
    <s v="Auto"/>
    <s v=""/>
    <s v="Hyundai"/>
    <n v="54661.03"/>
  </r>
  <r>
    <n v="755"/>
    <x v="3"/>
    <x v="4"/>
    <n v="66001"/>
    <x v="2"/>
    <x v="0"/>
    <s v="First"/>
    <n v="1151"/>
    <s v="516.5"/>
    <s v="13.64"/>
    <n v="6"/>
    <s v="113563.22"/>
    <s v="2016"/>
    <s v="50k-100k"/>
    <x v="0"/>
    <s v="Manual"/>
    <s v=""/>
    <s v="Mercedes"/>
    <n v="113563.22"/>
  </r>
  <r>
    <n v="756"/>
    <x v="6"/>
    <x v="7"/>
    <n v="185231"/>
    <x v="1"/>
    <x v="0"/>
    <s v="Second"/>
    <n v="2524"/>
    <s v="200.2"/>
    <s v="25.19"/>
    <n v="7"/>
    <s v="19568.53"/>
    <s v="2009"/>
    <s v="150k+"/>
    <x v="0"/>
    <s v="Manual"/>
    <s v=""/>
    <s v="Hyundai"/>
    <n v="19568.53"/>
  </r>
  <r>
    <n v="757"/>
    <x v="8"/>
    <x v="9"/>
    <n v="127775"/>
    <x v="3"/>
    <x v="1"/>
    <s v="First"/>
    <n v="2751"/>
    <s v="398.7"/>
    <s v="11.16"/>
    <n v="7"/>
    <s v="78211.51"/>
    <s v="2021"/>
    <s v="100k-150k"/>
    <x v="0"/>
    <s v="Auto"/>
    <s v=""/>
    <s v="Toyota"/>
    <n v="78211.509999999995"/>
  </r>
  <r>
    <n v="758"/>
    <x v="3"/>
    <x v="9"/>
    <n v="187779"/>
    <x v="0"/>
    <x v="0"/>
    <s v="Third"/>
    <n v="2079"/>
    <s v="215.9"/>
    <s v="6.58"/>
    <n v="4"/>
    <s v="47691.67"/>
    <s v="2021"/>
    <s v="150k+"/>
    <x v="0"/>
    <s v="Manual"/>
    <s v=""/>
    <s v="Mercedes"/>
    <n v="47691.67"/>
  </r>
  <r>
    <n v="759"/>
    <x v="9"/>
    <x v="4"/>
    <n v="38243"/>
    <x v="3"/>
    <x v="0"/>
    <s v="Third"/>
    <n v="2707"/>
    <s v="576.5"/>
    <s v="8.29"/>
    <n v="4"/>
    <s v="114947.32"/>
    <s v="2016"/>
    <s v="&lt;50k"/>
    <x v="0"/>
    <s v="Manual"/>
    <s v=""/>
    <s v="Nissan"/>
    <n v="114947.32"/>
  </r>
  <r>
    <n v="760"/>
    <x v="4"/>
    <x v="1"/>
    <n v="157872"/>
    <x v="3"/>
    <x v="0"/>
    <s v="Third"/>
    <n v="1824"/>
    <s v="58.7"/>
    <s v="26.47"/>
    <n v="6"/>
    <s v="41607.06"/>
    <s v="2019"/>
    <s v="150k+"/>
    <x v="0"/>
    <s v="Manual"/>
    <s v=""/>
    <s v="Volkswagen"/>
    <n v="41607.06"/>
  </r>
  <r>
    <n v="761"/>
    <x v="7"/>
    <x v="1"/>
    <n v="80939"/>
    <x v="2"/>
    <x v="1"/>
    <s v="Third"/>
    <n v="1345"/>
    <s v="364.7"/>
    <s v="20.84"/>
    <n v="4"/>
    <s v="115575.75"/>
    <s v="2019"/>
    <s v="50k-100k"/>
    <x v="0"/>
    <s v="Auto"/>
    <s v=""/>
    <s v="Honda"/>
    <n v="115575.75"/>
  </r>
  <r>
    <n v="762"/>
    <x v="8"/>
    <x v="15"/>
    <n v="62828"/>
    <x v="2"/>
    <x v="1"/>
    <s v="Second"/>
    <n v="4974"/>
    <s v="133.2"/>
    <s v="11.33"/>
    <n v="6"/>
    <s v="108473.84"/>
    <s v="2010"/>
    <s v="50k-100k"/>
    <x v="0"/>
    <s v="Auto"/>
    <s v=""/>
    <s v="Toyota"/>
    <n v="108473.84"/>
  </r>
  <r>
    <n v="763"/>
    <x v="4"/>
    <x v="4"/>
    <n v="143311"/>
    <x v="3"/>
    <x v="0"/>
    <s v="First"/>
    <n v="3181"/>
    <s v="438.8"/>
    <s v="18.88"/>
    <n v="2"/>
    <s v="34634.84"/>
    <s v="2016"/>
    <s v="100k-150k"/>
    <x v="0"/>
    <s v="Manual"/>
    <s v=""/>
    <s v="Volkswagen"/>
    <n v="34634.839999999997"/>
  </r>
  <r>
    <n v="764"/>
    <x v="9"/>
    <x v="13"/>
    <n v="11710"/>
    <x v="2"/>
    <x v="1"/>
    <s v="Third"/>
    <n v="1688"/>
    <s v="138.5"/>
    <s v="18.19"/>
    <n v="4"/>
    <s v="97014.39"/>
    <s v="2024"/>
    <s v="&lt;50k"/>
    <x v="0"/>
    <s v="Auto"/>
    <s v=""/>
    <s v="Nissan"/>
    <n v="97014.39"/>
  </r>
  <r>
    <n v="765"/>
    <x v="4"/>
    <x v="18"/>
    <n v="157456"/>
    <x v="2"/>
    <x v="1"/>
    <s v="Second"/>
    <n v="1905"/>
    <s v="171.8"/>
    <s v="21.39"/>
    <n v="2"/>
    <s v="119485.69"/>
    <s v="2022"/>
    <s v="150k+"/>
    <x v="0"/>
    <s v="Auto"/>
    <s v=""/>
    <s v="Volkswagen"/>
    <n v="119485.69"/>
  </r>
  <r>
    <n v="766"/>
    <x v="9"/>
    <x v="12"/>
    <n v="157110"/>
    <x v="2"/>
    <x v="0"/>
    <s v="Third"/>
    <n v="3349"/>
    <s v="316.8"/>
    <s v="10.83"/>
    <n v="5"/>
    <s v="32561.57"/>
    <s v="2018"/>
    <s v="150k+"/>
    <x v="0"/>
    <s v="Manual"/>
    <s v=""/>
    <s v="Nissan"/>
    <n v="32561.57"/>
  </r>
  <r>
    <n v="767"/>
    <x v="9"/>
    <x v="16"/>
    <n v="176918"/>
    <x v="1"/>
    <x v="0"/>
    <s v="Third"/>
    <n v="2790"/>
    <s v="552.3"/>
    <s v="26.61"/>
    <n v="6"/>
    <s v="54102.93"/>
    <s v="2006"/>
    <s v="150k+"/>
    <x v="0"/>
    <s v="Manual"/>
    <s v=""/>
    <s v="Nissan"/>
    <n v="54102.93"/>
  </r>
  <r>
    <n v="768"/>
    <x v="6"/>
    <x v="10"/>
    <n v="42991"/>
    <x v="1"/>
    <x v="1"/>
    <s v="Second"/>
    <n v="4798"/>
    <s v="158.6"/>
    <s v="12.73"/>
    <n v="5"/>
    <s v="63861.15"/>
    <s v="2013"/>
    <s v="&lt;50k"/>
    <x v="0"/>
    <s v="Auto"/>
    <s v=""/>
    <s v="Hyundai"/>
    <n v="63861.15"/>
  </r>
  <r>
    <n v="769"/>
    <x v="2"/>
    <x v="7"/>
    <n v="143043"/>
    <x v="3"/>
    <x v="0"/>
    <s v="Second"/>
    <n v="4575"/>
    <s v="120.8"/>
    <s v="22.35"/>
    <n v="4"/>
    <s v="37506.94"/>
    <s v="2009"/>
    <s v="100k-150k"/>
    <x v="0"/>
    <s v="Manual"/>
    <s v=""/>
    <s v="Kia"/>
    <n v="37506.94"/>
  </r>
  <r>
    <n v="770"/>
    <x v="8"/>
    <x v="13"/>
    <n v="165211"/>
    <x v="2"/>
    <x v="1"/>
    <s v="First"/>
    <n v="3612"/>
    <s v="465.0"/>
    <s v="5.4"/>
    <n v="2"/>
    <s v="4785.99"/>
    <s v="2024"/>
    <s v="150k+"/>
    <x v="0"/>
    <s v="Auto"/>
    <s v=""/>
    <s v="Toyota"/>
    <n v="4785.99"/>
  </r>
  <r>
    <n v="771"/>
    <x v="4"/>
    <x v="0"/>
    <n v="90445"/>
    <x v="1"/>
    <x v="1"/>
    <s v="First"/>
    <n v="1720"/>
    <s v="320.3"/>
    <s v="14.32"/>
    <n v="4"/>
    <s v="28755.12"/>
    <s v="2005"/>
    <s v="50k-100k"/>
    <x v="0"/>
    <s v="Auto"/>
    <s v=""/>
    <s v="Volkswagen"/>
    <n v="28755.119999999999"/>
  </r>
  <r>
    <n v="772"/>
    <x v="1"/>
    <x v="14"/>
    <n v="85257"/>
    <x v="3"/>
    <x v="0"/>
    <s v="Third"/>
    <n v="2861"/>
    <s v="550.6"/>
    <s v="13.79"/>
    <n v="5"/>
    <s v="35986.62"/>
    <s v="2007"/>
    <s v="50k-100k"/>
    <x v="0"/>
    <s v="Manual"/>
    <s v=""/>
    <s v="BMW"/>
    <n v="35986.620000000003"/>
  </r>
  <r>
    <n v="773"/>
    <x v="8"/>
    <x v="15"/>
    <n v="42711"/>
    <x v="2"/>
    <x v="1"/>
    <s v="Third"/>
    <n v="4439"/>
    <s v="122.1"/>
    <s v="18.59"/>
    <n v="4"/>
    <s v="54901.17"/>
    <s v="2010"/>
    <s v="&lt;50k"/>
    <x v="0"/>
    <s v="Auto"/>
    <s v=""/>
    <s v="Toyota"/>
    <n v="54901.17"/>
  </r>
  <r>
    <n v="774"/>
    <x v="2"/>
    <x v="7"/>
    <n v="11530"/>
    <x v="0"/>
    <x v="1"/>
    <s v="First"/>
    <n v="3965"/>
    <s v="401.7"/>
    <s v="6.82"/>
    <n v="7"/>
    <s v="23018.99"/>
    <s v="2009"/>
    <s v="&lt;50k"/>
    <x v="0"/>
    <s v="Auto"/>
    <s v=""/>
    <s v="Kia"/>
    <n v="23018.99"/>
  </r>
  <r>
    <n v="775"/>
    <x v="8"/>
    <x v="7"/>
    <n v="16116"/>
    <x v="2"/>
    <x v="0"/>
    <s v="First"/>
    <n v="3444"/>
    <s v="170.4"/>
    <s v="24.75"/>
    <n v="5"/>
    <s v="105170.76"/>
    <s v="2009"/>
    <s v="&lt;50k"/>
    <x v="0"/>
    <s v="Manual"/>
    <s v=""/>
    <s v="Toyota"/>
    <n v="105170.76"/>
  </r>
  <r>
    <n v="776"/>
    <x v="5"/>
    <x v="0"/>
    <n v="70794"/>
    <x v="2"/>
    <x v="0"/>
    <s v="Second"/>
    <n v="1845"/>
    <s v="127.8"/>
    <s v="10.44"/>
    <n v="4"/>
    <s v="85474.6"/>
    <s v="2005"/>
    <s v="50k-100k"/>
    <x v="0"/>
    <s v="Manual"/>
    <s v=""/>
    <s v="Ford"/>
    <n v="85474.6"/>
  </r>
  <r>
    <n v="777"/>
    <x v="1"/>
    <x v="9"/>
    <n v="136354"/>
    <x v="1"/>
    <x v="0"/>
    <s v="First"/>
    <n v="4356"/>
    <s v="422.7"/>
    <s v="21.93"/>
    <n v="2"/>
    <s v="12968.46"/>
    <s v="2021"/>
    <s v="100k-150k"/>
    <x v="0"/>
    <s v="Manual"/>
    <s v=""/>
    <s v="BMW"/>
    <n v="12968.46"/>
  </r>
  <r>
    <n v="778"/>
    <x v="2"/>
    <x v="11"/>
    <n v="137970"/>
    <x v="3"/>
    <x v="1"/>
    <s v="First"/>
    <n v="3481"/>
    <s v="372.5"/>
    <s v="25.08"/>
    <n v="4"/>
    <s v="79060.82"/>
    <s v="2023"/>
    <s v="100k-150k"/>
    <x v="0"/>
    <s v="Auto"/>
    <s v=""/>
    <s v="Kia"/>
    <n v="79060.820000000007"/>
  </r>
  <r>
    <n v="779"/>
    <x v="6"/>
    <x v="12"/>
    <n v="9135"/>
    <x v="3"/>
    <x v="0"/>
    <s v="Third"/>
    <n v="3999"/>
    <s v="462.7"/>
    <s v="19.05"/>
    <n v="2"/>
    <s v="79477.81"/>
    <s v="2018"/>
    <s v="&lt;50k"/>
    <x v="0"/>
    <s v="Manual"/>
    <s v=""/>
    <s v="Hyundai"/>
    <n v="79477.81"/>
  </r>
  <r>
    <n v="780"/>
    <x v="4"/>
    <x v="4"/>
    <n v="142701"/>
    <x v="1"/>
    <x v="0"/>
    <s v="First"/>
    <n v="1738"/>
    <s v="213.3"/>
    <s v="23.52"/>
    <n v="7"/>
    <s v="114877.88"/>
    <s v="2016"/>
    <s v="100k-150k"/>
    <x v="0"/>
    <s v="Manual"/>
    <s v=""/>
    <s v="Volkswagen"/>
    <n v="114877.88"/>
  </r>
  <r>
    <n v="781"/>
    <x v="0"/>
    <x v="8"/>
    <n v="114472"/>
    <x v="2"/>
    <x v="0"/>
    <s v="Third"/>
    <n v="1241"/>
    <s v="290.9"/>
    <s v="21.55"/>
    <n v="4"/>
    <s v="3353.44"/>
    <s v="2014"/>
    <s v="100k-150k"/>
    <x v="0"/>
    <s v="Manual"/>
    <s v=""/>
    <s v="Audi"/>
    <n v="3353.44"/>
  </r>
  <r>
    <n v="782"/>
    <x v="2"/>
    <x v="13"/>
    <n v="130147"/>
    <x v="0"/>
    <x v="0"/>
    <s v="First"/>
    <n v="3350"/>
    <s v="267.1"/>
    <s v="13.89"/>
    <n v="7"/>
    <s v="32008.1"/>
    <s v="2024"/>
    <s v="100k-150k"/>
    <x v="0"/>
    <s v="Manual"/>
    <s v=""/>
    <s v="Kia"/>
    <n v="32008.1"/>
  </r>
  <r>
    <n v="783"/>
    <x v="7"/>
    <x v="18"/>
    <n v="94087"/>
    <x v="2"/>
    <x v="1"/>
    <s v="Second"/>
    <n v="1396"/>
    <s v="591.1"/>
    <s v="25.22"/>
    <n v="5"/>
    <s v="111551.6"/>
    <s v="2022"/>
    <s v="50k-100k"/>
    <x v="0"/>
    <s v="Auto"/>
    <s v=""/>
    <s v="Honda"/>
    <n v="111551.6"/>
  </r>
  <r>
    <n v="784"/>
    <x v="4"/>
    <x v="3"/>
    <n v="38380"/>
    <x v="2"/>
    <x v="1"/>
    <s v="First"/>
    <n v="2305"/>
    <s v="203.7"/>
    <s v="12.37"/>
    <n v="2"/>
    <s v="112059.67"/>
    <s v="2015"/>
    <s v="&lt;50k"/>
    <x v="0"/>
    <s v="Auto"/>
    <s v=""/>
    <s v="Volkswagen"/>
    <n v="112059.67"/>
  </r>
  <r>
    <n v="785"/>
    <x v="2"/>
    <x v="16"/>
    <n v="134951"/>
    <x v="0"/>
    <x v="0"/>
    <s v="First"/>
    <n v="1661"/>
    <s v="205.1"/>
    <s v="19.28"/>
    <n v="5"/>
    <s v="87308.61"/>
    <s v="2006"/>
    <s v="100k-150k"/>
    <x v="0"/>
    <s v="Manual"/>
    <s v=""/>
    <s v="Kia"/>
    <n v="87308.61"/>
  </r>
  <r>
    <n v="786"/>
    <x v="5"/>
    <x v="18"/>
    <n v="22071"/>
    <x v="1"/>
    <x v="1"/>
    <s v="First"/>
    <n v="3440"/>
    <s v="238.5"/>
    <s v="23.63"/>
    <n v="2"/>
    <s v="92594.31"/>
    <s v="2022"/>
    <s v="&lt;50k"/>
    <x v="0"/>
    <s v="Auto"/>
    <s v=""/>
    <s v="Ford"/>
    <n v="92594.31"/>
  </r>
  <r>
    <n v="787"/>
    <x v="0"/>
    <x v="17"/>
    <n v="25074"/>
    <x v="3"/>
    <x v="0"/>
    <s v="Third"/>
    <n v="4531"/>
    <s v="356.2"/>
    <s v="14.47"/>
    <n v="7"/>
    <s v="13703.51"/>
    <s v="2011"/>
    <s v="&lt;50k"/>
    <x v="0"/>
    <s v="Manual"/>
    <s v=""/>
    <s v="Audi"/>
    <n v="13703.51"/>
  </r>
  <r>
    <n v="788"/>
    <x v="5"/>
    <x v="1"/>
    <n v="72843"/>
    <x v="1"/>
    <x v="0"/>
    <s v="Second"/>
    <n v="2351"/>
    <s v="181.3"/>
    <s v="12.57"/>
    <n v="6"/>
    <s v="63123.47"/>
    <s v="2019"/>
    <s v="50k-100k"/>
    <x v="0"/>
    <s v="Manual"/>
    <s v=""/>
    <s v="Ford"/>
    <n v="63123.47"/>
  </r>
  <r>
    <n v="789"/>
    <x v="0"/>
    <x v="3"/>
    <n v="44901"/>
    <x v="1"/>
    <x v="1"/>
    <s v="First"/>
    <n v="4036"/>
    <s v="552.6"/>
    <s v="16.48"/>
    <n v="4"/>
    <s v="30095.21"/>
    <s v="2015"/>
    <s v="&lt;50k"/>
    <x v="0"/>
    <s v="Auto"/>
    <s v=""/>
    <s v="Audi"/>
    <n v="30095.21"/>
  </r>
  <r>
    <n v="790"/>
    <x v="7"/>
    <x v="18"/>
    <n v="16205"/>
    <x v="2"/>
    <x v="1"/>
    <s v="Third"/>
    <n v="2536"/>
    <s v="188.8"/>
    <s v="25.45"/>
    <n v="7"/>
    <s v="24202.51"/>
    <s v="2022"/>
    <s v="&lt;50k"/>
    <x v="0"/>
    <s v="Auto"/>
    <s v=""/>
    <s v="Honda"/>
    <n v="24202.51"/>
  </r>
  <r>
    <n v="791"/>
    <x v="4"/>
    <x v="4"/>
    <n v="191733"/>
    <x v="3"/>
    <x v="0"/>
    <s v="Second"/>
    <n v="2249"/>
    <s v="541.7"/>
    <s v="28.25"/>
    <n v="2"/>
    <s v="97805.49"/>
    <s v="2016"/>
    <s v="150k+"/>
    <x v="0"/>
    <s v="Manual"/>
    <s v=""/>
    <s v="Volkswagen"/>
    <n v="97805.49"/>
  </r>
  <r>
    <n v="792"/>
    <x v="6"/>
    <x v="15"/>
    <n v="129661"/>
    <x v="3"/>
    <x v="0"/>
    <s v="Third"/>
    <n v="1064"/>
    <s v="97.9"/>
    <s v="18.63"/>
    <n v="2"/>
    <s v="18799.46"/>
    <s v="2010"/>
    <s v="100k-150k"/>
    <x v="0"/>
    <s v="Manual"/>
    <s v=""/>
    <s v="Hyundai"/>
    <n v="18799.46"/>
  </r>
  <r>
    <n v="793"/>
    <x v="5"/>
    <x v="13"/>
    <n v="10906"/>
    <x v="1"/>
    <x v="1"/>
    <s v="Third"/>
    <n v="3459"/>
    <s v="407.7"/>
    <s v="21.54"/>
    <n v="2"/>
    <s v="57832.24"/>
    <s v="2024"/>
    <s v="&lt;50k"/>
    <x v="0"/>
    <s v="Auto"/>
    <s v=""/>
    <s v="Ford"/>
    <n v="57832.24"/>
  </r>
  <r>
    <n v="794"/>
    <x v="5"/>
    <x v="19"/>
    <n v="138663"/>
    <x v="0"/>
    <x v="0"/>
    <s v="Second"/>
    <n v="3521"/>
    <s v="547.9"/>
    <s v="27.58"/>
    <n v="2"/>
    <s v="112813.65"/>
    <s v="2017"/>
    <s v="100k-150k"/>
    <x v="0"/>
    <s v="Manual"/>
    <s v=""/>
    <s v="Ford"/>
    <n v="112813.65"/>
  </r>
  <r>
    <n v="795"/>
    <x v="9"/>
    <x v="13"/>
    <n v="130576"/>
    <x v="1"/>
    <x v="1"/>
    <s v="First"/>
    <n v="2262"/>
    <s v="134.5"/>
    <s v="7.46"/>
    <n v="4"/>
    <s v="24742.35"/>
    <s v="2024"/>
    <s v="100k-150k"/>
    <x v="0"/>
    <s v="Auto"/>
    <s v=""/>
    <s v="Nissan"/>
    <n v="24742.35"/>
  </r>
  <r>
    <n v="796"/>
    <x v="0"/>
    <x v="6"/>
    <n v="67987"/>
    <x v="0"/>
    <x v="0"/>
    <s v="Third"/>
    <n v="2245"/>
    <s v="582.3"/>
    <s v="10.8"/>
    <n v="5"/>
    <s v="117425.23"/>
    <s v="2020"/>
    <s v="50k-100k"/>
    <x v="0"/>
    <s v="Manual"/>
    <s v=""/>
    <s v="Audi"/>
    <n v="117425.23"/>
  </r>
  <r>
    <n v="797"/>
    <x v="3"/>
    <x v="18"/>
    <n v="199442"/>
    <x v="3"/>
    <x v="0"/>
    <s v="Third"/>
    <n v="3098"/>
    <s v="293.6"/>
    <s v="22.72"/>
    <n v="6"/>
    <s v="119331.69"/>
    <s v="2022"/>
    <s v="150k+"/>
    <x v="0"/>
    <s v="Manual"/>
    <s v=""/>
    <s v="Mercedes"/>
    <n v="119331.69"/>
  </r>
  <r>
    <n v="798"/>
    <x v="4"/>
    <x v="8"/>
    <n v="85685"/>
    <x v="1"/>
    <x v="1"/>
    <s v="First"/>
    <n v="3725"/>
    <s v="569.6"/>
    <s v="25.59"/>
    <n v="4"/>
    <s v="68007.21"/>
    <s v="2014"/>
    <s v="50k-100k"/>
    <x v="0"/>
    <s v="Auto"/>
    <s v=""/>
    <s v="Volkswagen"/>
    <n v="68007.210000000006"/>
  </r>
  <r>
    <n v="799"/>
    <x v="0"/>
    <x v="2"/>
    <n v="115454"/>
    <x v="2"/>
    <x v="1"/>
    <s v="First"/>
    <n v="2432"/>
    <s v="419.0"/>
    <s v="26.43"/>
    <n v="2"/>
    <s v="22906.7"/>
    <s v="2012"/>
    <s v="100k-150k"/>
    <x v="0"/>
    <s v="Auto"/>
    <s v=""/>
    <s v="Audi"/>
    <n v="22906.7"/>
  </r>
  <r>
    <n v="800"/>
    <x v="9"/>
    <x v="18"/>
    <n v="110487"/>
    <x v="1"/>
    <x v="1"/>
    <s v="Second"/>
    <n v="3174"/>
    <s v="208.9"/>
    <s v="15.38"/>
    <n v="4"/>
    <s v="39984.27"/>
    <s v="2022"/>
    <s v="100k-150k"/>
    <x v="0"/>
    <s v="Auto"/>
    <s v=""/>
    <s v="Nissan"/>
    <n v="39984.269999999997"/>
  </r>
  <r>
    <n v="801"/>
    <x v="8"/>
    <x v="0"/>
    <n v="59400"/>
    <x v="3"/>
    <x v="1"/>
    <s v="Second"/>
    <n v="1312"/>
    <s v="145.4"/>
    <s v="7.23"/>
    <n v="7"/>
    <s v="52665.66"/>
    <s v="2005"/>
    <s v="50k-100k"/>
    <x v="0"/>
    <s v="Auto"/>
    <s v=""/>
    <s v="Toyota"/>
    <n v="52665.66"/>
  </r>
  <r>
    <n v="802"/>
    <x v="0"/>
    <x v="2"/>
    <n v="161222"/>
    <x v="2"/>
    <x v="1"/>
    <s v="Second"/>
    <n v="1015"/>
    <s v="210.1"/>
    <s v="15.94"/>
    <n v="2"/>
    <s v="39190.93"/>
    <s v="2012"/>
    <s v="150k+"/>
    <x v="0"/>
    <s v="Auto"/>
    <s v=""/>
    <s v="Audi"/>
    <n v="39190.93"/>
  </r>
  <r>
    <n v="803"/>
    <x v="6"/>
    <x v="15"/>
    <n v="36852"/>
    <x v="2"/>
    <x v="1"/>
    <s v="First"/>
    <n v="4131"/>
    <s v="92.1"/>
    <s v="10.77"/>
    <n v="6"/>
    <s v="35834.36"/>
    <s v="2010"/>
    <s v="&lt;50k"/>
    <x v="0"/>
    <s v="Auto"/>
    <s v=""/>
    <s v="Hyundai"/>
    <n v="35834.36"/>
  </r>
  <r>
    <n v="804"/>
    <x v="4"/>
    <x v="7"/>
    <n v="178942"/>
    <x v="0"/>
    <x v="1"/>
    <s v="Third"/>
    <n v="2972"/>
    <s v="120.6"/>
    <s v="12.28"/>
    <n v="2"/>
    <s v="116750.88"/>
    <s v="2009"/>
    <s v="150k+"/>
    <x v="0"/>
    <s v="Auto"/>
    <s v=""/>
    <s v="Volkswagen"/>
    <n v="116750.88"/>
  </r>
  <r>
    <n v="805"/>
    <x v="9"/>
    <x v="1"/>
    <n v="57756"/>
    <x v="2"/>
    <x v="0"/>
    <s v="Third"/>
    <n v="3953"/>
    <s v="98.6"/>
    <s v="24.31"/>
    <n v="6"/>
    <s v="20943.68"/>
    <s v="2019"/>
    <s v="50k-100k"/>
    <x v="0"/>
    <s v="Manual"/>
    <s v=""/>
    <s v="Nissan"/>
    <n v="20943.68"/>
  </r>
  <r>
    <n v="806"/>
    <x v="8"/>
    <x v="1"/>
    <n v="120357"/>
    <x v="2"/>
    <x v="0"/>
    <s v="Second"/>
    <n v="2506"/>
    <s v="276.8"/>
    <s v="6.89"/>
    <n v="6"/>
    <s v="88799.37"/>
    <s v="2019"/>
    <s v="100k-150k"/>
    <x v="0"/>
    <s v="Manual"/>
    <s v=""/>
    <s v="Toyota"/>
    <n v="88799.37"/>
  </r>
  <r>
    <n v="807"/>
    <x v="1"/>
    <x v="16"/>
    <n v="124052"/>
    <x v="1"/>
    <x v="0"/>
    <s v="First"/>
    <n v="2906"/>
    <s v="485.5"/>
    <s v="25.69"/>
    <n v="5"/>
    <s v="3048.0"/>
    <s v="2006"/>
    <s v="100k-150k"/>
    <x v="0"/>
    <s v="Manual"/>
    <s v=""/>
    <s v="BMW"/>
    <n v="3048"/>
  </r>
  <r>
    <n v="808"/>
    <x v="9"/>
    <x v="0"/>
    <n v="61481"/>
    <x v="3"/>
    <x v="1"/>
    <s v="Third"/>
    <n v="2367"/>
    <s v="119.2"/>
    <s v="15.69"/>
    <n v="5"/>
    <s v="72753.37"/>
    <s v="2005"/>
    <s v="50k-100k"/>
    <x v="0"/>
    <s v="Auto"/>
    <s v=""/>
    <s v="Nissan"/>
    <n v="72753.37"/>
  </r>
  <r>
    <n v="809"/>
    <x v="1"/>
    <x v="3"/>
    <n v="6283"/>
    <x v="0"/>
    <x v="1"/>
    <s v="Second"/>
    <n v="3008"/>
    <s v="113.0"/>
    <s v="19.9"/>
    <n v="4"/>
    <s v="110165.33"/>
    <s v="2015"/>
    <s v="&lt;50k"/>
    <x v="0"/>
    <s v="Auto"/>
    <s v=""/>
    <s v="BMW"/>
    <n v="110165.33"/>
  </r>
  <r>
    <n v="810"/>
    <x v="4"/>
    <x v="8"/>
    <n v="38691"/>
    <x v="1"/>
    <x v="1"/>
    <s v="Third"/>
    <n v="3131"/>
    <s v="400.3"/>
    <s v="7.24"/>
    <n v="4"/>
    <s v="36688.29"/>
    <s v="2014"/>
    <s v="&lt;50k"/>
    <x v="0"/>
    <s v="Auto"/>
    <s v=""/>
    <s v="Volkswagen"/>
    <n v="36688.29"/>
  </r>
  <r>
    <n v="811"/>
    <x v="5"/>
    <x v="18"/>
    <n v="137197"/>
    <x v="2"/>
    <x v="0"/>
    <s v="Third"/>
    <n v="2953"/>
    <s v="150.4"/>
    <s v="13.43"/>
    <n v="6"/>
    <s v="24706.54"/>
    <s v="2022"/>
    <s v="100k-150k"/>
    <x v="0"/>
    <s v="Manual"/>
    <s v=""/>
    <s v="Ford"/>
    <n v="24706.54"/>
  </r>
  <r>
    <n v="812"/>
    <x v="9"/>
    <x v="18"/>
    <n v="31170"/>
    <x v="2"/>
    <x v="1"/>
    <s v="First"/>
    <n v="1928"/>
    <s v="94.7"/>
    <s v="7.24"/>
    <n v="2"/>
    <s v="79246.54"/>
    <s v="2022"/>
    <s v="&lt;50k"/>
    <x v="0"/>
    <s v="Auto"/>
    <s v=""/>
    <s v="Nissan"/>
    <n v="79246.539999999994"/>
  </r>
  <r>
    <n v="813"/>
    <x v="7"/>
    <x v="9"/>
    <n v="13438"/>
    <x v="0"/>
    <x v="1"/>
    <s v="First"/>
    <n v="4310"/>
    <s v="133.4"/>
    <s v="29.04"/>
    <n v="7"/>
    <s v="86374.36"/>
    <s v="2021"/>
    <s v="&lt;50k"/>
    <x v="0"/>
    <s v="Auto"/>
    <s v=""/>
    <s v="Honda"/>
    <n v="86374.36"/>
  </r>
  <r>
    <n v="814"/>
    <x v="1"/>
    <x v="2"/>
    <n v="25095"/>
    <x v="3"/>
    <x v="0"/>
    <s v="Third"/>
    <n v="4453"/>
    <s v="557.3"/>
    <s v="25.18"/>
    <n v="7"/>
    <s v="83499.57"/>
    <s v="2012"/>
    <s v="&lt;50k"/>
    <x v="0"/>
    <s v="Manual"/>
    <s v=""/>
    <s v="BMW"/>
    <n v="83499.570000000007"/>
  </r>
  <r>
    <n v="815"/>
    <x v="6"/>
    <x v="1"/>
    <n v="152226"/>
    <x v="0"/>
    <x v="1"/>
    <s v="Second"/>
    <n v="3165"/>
    <s v="500.0"/>
    <s v="16.49"/>
    <n v="2"/>
    <s v="40360.07"/>
    <s v="2019"/>
    <s v="150k+"/>
    <x v="0"/>
    <s v="Auto"/>
    <s v=""/>
    <s v="Hyundai"/>
    <n v="40360.07"/>
  </r>
  <r>
    <n v="816"/>
    <x v="7"/>
    <x v="2"/>
    <n v="144076"/>
    <x v="1"/>
    <x v="0"/>
    <s v="First"/>
    <n v="3721"/>
    <s v="238.3"/>
    <s v="10.59"/>
    <n v="2"/>
    <s v="32507.68"/>
    <s v="2012"/>
    <s v="100k-150k"/>
    <x v="0"/>
    <s v="Manual"/>
    <s v=""/>
    <s v="Honda"/>
    <n v="32507.68"/>
  </r>
  <r>
    <n v="817"/>
    <x v="2"/>
    <x v="9"/>
    <n v="14752"/>
    <x v="0"/>
    <x v="0"/>
    <s v="Third"/>
    <n v="1879"/>
    <s v="407.3"/>
    <s v="28.34"/>
    <n v="5"/>
    <s v="114842.5"/>
    <s v="2021"/>
    <s v="&lt;50k"/>
    <x v="0"/>
    <s v="Manual"/>
    <s v=""/>
    <s v="Kia"/>
    <n v="114842.5"/>
  </r>
  <r>
    <n v="818"/>
    <x v="2"/>
    <x v="4"/>
    <n v="60426"/>
    <x v="2"/>
    <x v="1"/>
    <s v="First"/>
    <n v="4311"/>
    <s v="340.9"/>
    <s v="13.61"/>
    <n v="7"/>
    <s v="111026.04"/>
    <s v="2016"/>
    <s v="50k-100k"/>
    <x v="0"/>
    <s v="Auto"/>
    <s v=""/>
    <s v="Kia"/>
    <n v="111026.04"/>
  </r>
  <r>
    <n v="819"/>
    <x v="8"/>
    <x v="2"/>
    <n v="31819"/>
    <x v="1"/>
    <x v="1"/>
    <s v="First"/>
    <n v="3541"/>
    <s v="419.2"/>
    <s v="9.02"/>
    <n v="6"/>
    <s v="56506.04"/>
    <s v="2012"/>
    <s v="&lt;50k"/>
    <x v="0"/>
    <s v="Auto"/>
    <s v=""/>
    <s v="Toyota"/>
    <n v="56506.04"/>
  </r>
  <r>
    <n v="820"/>
    <x v="5"/>
    <x v="12"/>
    <n v="97051"/>
    <x v="2"/>
    <x v="1"/>
    <s v="First"/>
    <n v="3820"/>
    <s v="422.3"/>
    <s v="19.08"/>
    <n v="4"/>
    <s v="102004.68"/>
    <s v="2018"/>
    <s v="50k-100k"/>
    <x v="0"/>
    <s v="Auto"/>
    <s v=""/>
    <s v="Ford"/>
    <n v="102004.68"/>
  </r>
  <r>
    <n v="821"/>
    <x v="4"/>
    <x v="5"/>
    <n v="160289"/>
    <x v="3"/>
    <x v="0"/>
    <s v="Third"/>
    <n v="1028"/>
    <s v="392.1"/>
    <s v="28.59"/>
    <n v="5"/>
    <s v="55921.85"/>
    <s v="2008"/>
    <s v="150k+"/>
    <x v="0"/>
    <s v="Manual"/>
    <s v=""/>
    <s v="Volkswagen"/>
    <n v="55921.85"/>
  </r>
  <r>
    <n v="822"/>
    <x v="9"/>
    <x v="0"/>
    <n v="37994"/>
    <x v="2"/>
    <x v="0"/>
    <s v="Second"/>
    <n v="970"/>
    <s v="189.0"/>
    <s v="5.1"/>
    <n v="7"/>
    <s v="52653.52"/>
    <s v="2005"/>
    <s v="&lt;50k"/>
    <x v="0"/>
    <s v="Manual"/>
    <s v=""/>
    <s v="Nissan"/>
    <n v="52653.52"/>
  </r>
  <r>
    <n v="823"/>
    <x v="3"/>
    <x v="0"/>
    <n v="151108"/>
    <x v="2"/>
    <x v="0"/>
    <s v="Second"/>
    <n v="1094"/>
    <s v="61.8"/>
    <s v="10.95"/>
    <n v="2"/>
    <s v="21341.26"/>
    <s v="2005"/>
    <s v="150k+"/>
    <x v="0"/>
    <s v="Manual"/>
    <s v=""/>
    <s v="Mercedes"/>
    <n v="21341.26"/>
  </r>
  <r>
    <n v="824"/>
    <x v="6"/>
    <x v="11"/>
    <n v="102756"/>
    <x v="0"/>
    <x v="1"/>
    <s v="Second"/>
    <n v="1225"/>
    <s v="295.1"/>
    <s v="28.46"/>
    <n v="7"/>
    <s v="52889.51"/>
    <s v="2023"/>
    <s v="100k-150k"/>
    <x v="0"/>
    <s v="Auto"/>
    <s v=""/>
    <s v="Hyundai"/>
    <n v="52889.51"/>
  </r>
  <r>
    <n v="825"/>
    <x v="1"/>
    <x v="6"/>
    <n v="185488"/>
    <x v="2"/>
    <x v="1"/>
    <s v="First"/>
    <n v="1718"/>
    <s v="538.9"/>
    <s v="9.28"/>
    <n v="6"/>
    <s v="65877.78"/>
    <s v="2020"/>
    <s v="150k+"/>
    <x v="0"/>
    <s v="Auto"/>
    <s v=""/>
    <s v="BMW"/>
    <n v="65877.78"/>
  </r>
  <r>
    <n v="826"/>
    <x v="4"/>
    <x v="12"/>
    <n v="145659"/>
    <x v="1"/>
    <x v="1"/>
    <s v="Third"/>
    <n v="4053"/>
    <s v="358.9"/>
    <s v="7.83"/>
    <n v="5"/>
    <s v="5633.01"/>
    <s v="2018"/>
    <s v="100k-150k"/>
    <x v="0"/>
    <s v="Auto"/>
    <s v=""/>
    <s v="Volkswagen"/>
    <n v="5633.01"/>
  </r>
  <r>
    <n v="827"/>
    <x v="7"/>
    <x v="6"/>
    <n v="100665"/>
    <x v="1"/>
    <x v="1"/>
    <s v="First"/>
    <n v="1298"/>
    <s v="506.1"/>
    <s v="19.25"/>
    <n v="2"/>
    <s v="54961.22"/>
    <s v="2020"/>
    <s v="100k-150k"/>
    <x v="0"/>
    <s v="Auto"/>
    <s v=""/>
    <s v="Honda"/>
    <n v="54961.22"/>
  </r>
  <r>
    <n v="828"/>
    <x v="2"/>
    <x v="7"/>
    <n v="136717"/>
    <x v="3"/>
    <x v="0"/>
    <s v="Second"/>
    <n v="3609"/>
    <s v="595.3"/>
    <s v="26.55"/>
    <n v="6"/>
    <s v="94418.68"/>
    <s v="2009"/>
    <s v="100k-150k"/>
    <x v="0"/>
    <s v="Manual"/>
    <s v=""/>
    <s v="Kia"/>
    <n v="94418.68"/>
  </r>
  <r>
    <n v="829"/>
    <x v="6"/>
    <x v="10"/>
    <n v="167002"/>
    <x v="1"/>
    <x v="0"/>
    <s v="Second"/>
    <n v="1625"/>
    <s v="131.6"/>
    <s v="16.93"/>
    <n v="4"/>
    <s v="82565.39"/>
    <s v="2013"/>
    <s v="150k+"/>
    <x v="0"/>
    <s v="Manual"/>
    <s v=""/>
    <s v="Hyundai"/>
    <n v="82565.39"/>
  </r>
  <r>
    <n v="830"/>
    <x v="3"/>
    <x v="16"/>
    <n v="86835"/>
    <x v="0"/>
    <x v="0"/>
    <s v="Third"/>
    <n v="4579"/>
    <s v="427.4"/>
    <s v="29.86"/>
    <n v="5"/>
    <s v="77313.37"/>
    <s v="2006"/>
    <s v="50k-100k"/>
    <x v="0"/>
    <s v="Manual"/>
    <s v=""/>
    <s v="Mercedes"/>
    <n v="77313.37"/>
  </r>
  <r>
    <n v="831"/>
    <x v="9"/>
    <x v="18"/>
    <n v="127232"/>
    <x v="3"/>
    <x v="0"/>
    <s v="First"/>
    <n v="2658"/>
    <s v="417.6"/>
    <s v="21.98"/>
    <n v="6"/>
    <s v="109417.99"/>
    <s v="2022"/>
    <s v="100k-150k"/>
    <x v="0"/>
    <s v="Manual"/>
    <s v=""/>
    <s v="Nissan"/>
    <n v="109417.99"/>
  </r>
  <r>
    <n v="832"/>
    <x v="8"/>
    <x v="15"/>
    <n v="166162"/>
    <x v="1"/>
    <x v="1"/>
    <s v="Second"/>
    <n v="2918"/>
    <s v="588.8"/>
    <s v="6.85"/>
    <n v="6"/>
    <s v="5109.75"/>
    <s v="2010"/>
    <s v="150k+"/>
    <x v="0"/>
    <s v="Auto"/>
    <s v=""/>
    <s v="Toyota"/>
    <n v="5109.75"/>
  </r>
  <r>
    <n v="833"/>
    <x v="3"/>
    <x v="10"/>
    <n v="188214"/>
    <x v="0"/>
    <x v="1"/>
    <s v="Third"/>
    <n v="945"/>
    <s v="591.9"/>
    <s v="29.82"/>
    <n v="2"/>
    <s v="68174.57"/>
    <s v="2013"/>
    <s v="150k+"/>
    <x v="0"/>
    <s v="Auto"/>
    <s v=""/>
    <s v="Mercedes"/>
    <n v="68174.570000000007"/>
  </r>
  <r>
    <n v="834"/>
    <x v="6"/>
    <x v="0"/>
    <n v="162547"/>
    <x v="1"/>
    <x v="1"/>
    <s v="First"/>
    <n v="4377"/>
    <s v="424.5"/>
    <s v="15.2"/>
    <n v="4"/>
    <s v="95119.82"/>
    <s v="2005"/>
    <s v="150k+"/>
    <x v="0"/>
    <s v="Auto"/>
    <s v=""/>
    <s v="Hyundai"/>
    <n v="95119.82"/>
  </r>
  <r>
    <n v="835"/>
    <x v="3"/>
    <x v="10"/>
    <n v="154960"/>
    <x v="1"/>
    <x v="0"/>
    <s v="First"/>
    <n v="992"/>
    <s v="176.4"/>
    <s v="12.19"/>
    <n v="6"/>
    <s v="66336.24"/>
    <s v="2013"/>
    <s v="150k+"/>
    <x v="0"/>
    <s v="Manual"/>
    <s v=""/>
    <s v="Mercedes"/>
    <n v="66336.240000000005"/>
  </r>
  <r>
    <n v="836"/>
    <x v="6"/>
    <x v="6"/>
    <n v="48732"/>
    <x v="2"/>
    <x v="0"/>
    <s v="Second"/>
    <n v="4688"/>
    <s v="487.2"/>
    <s v="18.95"/>
    <n v="5"/>
    <s v="40895.78"/>
    <s v="2020"/>
    <s v="&lt;50k"/>
    <x v="0"/>
    <s v="Manual"/>
    <s v=""/>
    <s v="Hyundai"/>
    <n v="40895.78"/>
  </r>
  <r>
    <n v="837"/>
    <x v="6"/>
    <x v="19"/>
    <n v="51305"/>
    <x v="1"/>
    <x v="1"/>
    <s v="Second"/>
    <n v="851"/>
    <s v="99.9"/>
    <s v="12.61"/>
    <n v="6"/>
    <s v="18941.32"/>
    <s v="2017"/>
    <s v="50k-100k"/>
    <x v="0"/>
    <s v="Auto"/>
    <s v=""/>
    <s v="Hyundai"/>
    <n v="18941.32"/>
  </r>
  <r>
    <n v="838"/>
    <x v="0"/>
    <x v="10"/>
    <n v="182109"/>
    <x v="1"/>
    <x v="1"/>
    <s v="First"/>
    <n v="3210"/>
    <s v="477.2"/>
    <s v="7.16"/>
    <n v="7"/>
    <s v="106844.88"/>
    <s v="2013"/>
    <s v="150k+"/>
    <x v="0"/>
    <s v="Auto"/>
    <s v=""/>
    <s v="Audi"/>
    <n v="106844.88"/>
  </r>
  <r>
    <n v="839"/>
    <x v="1"/>
    <x v="19"/>
    <n v="14346"/>
    <x v="0"/>
    <x v="0"/>
    <s v="First"/>
    <n v="2620"/>
    <s v="549.7"/>
    <s v="5.04"/>
    <n v="5"/>
    <s v="58079.2"/>
    <s v="2017"/>
    <s v="&lt;50k"/>
    <x v="0"/>
    <s v="Manual"/>
    <s v=""/>
    <s v="BMW"/>
    <n v="58079.199999999997"/>
  </r>
  <r>
    <n v="840"/>
    <x v="2"/>
    <x v="10"/>
    <n v="5587"/>
    <x v="0"/>
    <x v="1"/>
    <s v="Second"/>
    <n v="3764"/>
    <s v="254.4"/>
    <s v="16.24"/>
    <n v="5"/>
    <s v="105739.48"/>
    <s v="2013"/>
    <s v="&lt;50k"/>
    <x v="0"/>
    <s v="Auto"/>
    <s v=""/>
    <s v="Kia"/>
    <n v="105739.48"/>
  </r>
  <r>
    <n v="841"/>
    <x v="0"/>
    <x v="3"/>
    <n v="17763"/>
    <x v="2"/>
    <x v="0"/>
    <s v="First"/>
    <n v="3321"/>
    <s v="393.2"/>
    <s v="25.92"/>
    <n v="6"/>
    <s v="71544.7"/>
    <s v="2015"/>
    <s v="&lt;50k"/>
    <x v="0"/>
    <s v="Manual"/>
    <s v=""/>
    <s v="Audi"/>
    <n v="71544.7"/>
  </r>
  <r>
    <n v="842"/>
    <x v="9"/>
    <x v="5"/>
    <n v="195237"/>
    <x v="1"/>
    <x v="0"/>
    <s v="Second"/>
    <n v="2669"/>
    <s v="280.9"/>
    <s v="19.31"/>
    <n v="2"/>
    <s v="81880.48"/>
    <s v="2008"/>
    <s v="150k+"/>
    <x v="0"/>
    <s v="Manual"/>
    <s v=""/>
    <s v="Nissan"/>
    <n v="81880.479999999996"/>
  </r>
  <r>
    <n v="843"/>
    <x v="0"/>
    <x v="16"/>
    <n v="74615"/>
    <x v="2"/>
    <x v="0"/>
    <s v="First"/>
    <n v="3368"/>
    <s v="285.1"/>
    <s v="29.98"/>
    <n v="5"/>
    <s v="97098.56"/>
    <s v="2006"/>
    <s v="50k-100k"/>
    <x v="0"/>
    <s v="Manual"/>
    <s v=""/>
    <s v="Audi"/>
    <n v="97098.559999999998"/>
  </r>
  <r>
    <n v="844"/>
    <x v="5"/>
    <x v="15"/>
    <n v="172188"/>
    <x v="1"/>
    <x v="1"/>
    <s v="Second"/>
    <n v="2667"/>
    <s v="213.8"/>
    <s v="12.17"/>
    <n v="7"/>
    <s v="80121.2"/>
    <s v="2010"/>
    <s v="150k+"/>
    <x v="0"/>
    <s v="Auto"/>
    <s v=""/>
    <s v="Ford"/>
    <n v="80121.2"/>
  </r>
  <r>
    <n v="845"/>
    <x v="5"/>
    <x v="12"/>
    <n v="125987"/>
    <x v="3"/>
    <x v="1"/>
    <s v="Third"/>
    <n v="3538"/>
    <s v="466.8"/>
    <s v="12.01"/>
    <n v="2"/>
    <s v="49572.42"/>
    <s v="2018"/>
    <s v="100k-150k"/>
    <x v="0"/>
    <s v="Auto"/>
    <s v=""/>
    <s v="Ford"/>
    <n v="49572.42"/>
  </r>
  <r>
    <n v="846"/>
    <x v="2"/>
    <x v="5"/>
    <n v="96353"/>
    <x v="3"/>
    <x v="0"/>
    <s v="Second"/>
    <n v="4069"/>
    <s v="564.3"/>
    <s v="8.99"/>
    <n v="2"/>
    <s v="63095.11"/>
    <s v="2008"/>
    <s v="50k-100k"/>
    <x v="0"/>
    <s v="Manual"/>
    <s v=""/>
    <s v="Kia"/>
    <n v="63095.11"/>
  </r>
  <r>
    <n v="847"/>
    <x v="3"/>
    <x v="15"/>
    <n v="100648"/>
    <x v="2"/>
    <x v="1"/>
    <s v="Second"/>
    <n v="3999"/>
    <s v="566.8"/>
    <s v="9.1"/>
    <n v="2"/>
    <s v="96956.33"/>
    <s v="2010"/>
    <s v="100k-150k"/>
    <x v="0"/>
    <s v="Auto"/>
    <s v=""/>
    <s v="Mercedes"/>
    <n v="96956.33"/>
  </r>
  <r>
    <n v="848"/>
    <x v="1"/>
    <x v="11"/>
    <n v="30556"/>
    <x v="2"/>
    <x v="0"/>
    <s v="Third"/>
    <n v="3379"/>
    <s v="137.9"/>
    <s v="12.13"/>
    <n v="5"/>
    <s v="46717.08"/>
    <s v="2023"/>
    <s v="&lt;50k"/>
    <x v="0"/>
    <s v="Manual"/>
    <s v=""/>
    <s v="BMW"/>
    <n v="46717.08"/>
  </r>
  <r>
    <n v="849"/>
    <x v="2"/>
    <x v="15"/>
    <n v="64042"/>
    <x v="2"/>
    <x v="0"/>
    <s v="First"/>
    <n v="4805"/>
    <s v="529.9"/>
    <s v="24.82"/>
    <n v="2"/>
    <s v="48410.21"/>
    <s v="2010"/>
    <s v="50k-100k"/>
    <x v="0"/>
    <s v="Manual"/>
    <s v=""/>
    <s v="Kia"/>
    <n v="48410.21"/>
  </r>
  <r>
    <n v="850"/>
    <x v="6"/>
    <x v="16"/>
    <n v="23099"/>
    <x v="0"/>
    <x v="0"/>
    <s v="Third"/>
    <n v="1040"/>
    <s v="453.0"/>
    <s v="27.64"/>
    <n v="6"/>
    <s v="14195.74"/>
    <s v="2006"/>
    <s v="&lt;50k"/>
    <x v="0"/>
    <s v="Manual"/>
    <s v=""/>
    <s v="Hyundai"/>
    <n v="14195.74"/>
  </r>
  <r>
    <n v="851"/>
    <x v="7"/>
    <x v="18"/>
    <n v="114089"/>
    <x v="0"/>
    <x v="0"/>
    <s v="Second"/>
    <n v="4240"/>
    <s v="181.6"/>
    <s v="29.38"/>
    <n v="2"/>
    <s v="110006.38"/>
    <s v="2022"/>
    <s v="100k-150k"/>
    <x v="0"/>
    <s v="Manual"/>
    <s v=""/>
    <s v="Honda"/>
    <n v="110006.38"/>
  </r>
  <r>
    <n v="852"/>
    <x v="1"/>
    <x v="19"/>
    <n v="181168"/>
    <x v="0"/>
    <x v="1"/>
    <s v="First"/>
    <n v="2207"/>
    <s v="77.7"/>
    <s v="10.81"/>
    <n v="7"/>
    <s v="13651.25"/>
    <s v="2017"/>
    <s v="150k+"/>
    <x v="0"/>
    <s v="Auto"/>
    <s v=""/>
    <s v="BMW"/>
    <n v="13651.25"/>
  </r>
  <r>
    <n v="853"/>
    <x v="1"/>
    <x v="10"/>
    <n v="149302"/>
    <x v="2"/>
    <x v="0"/>
    <s v="Third"/>
    <n v="4302"/>
    <s v="190.1"/>
    <s v="27.03"/>
    <n v="4"/>
    <s v="78840.47"/>
    <s v="2013"/>
    <s v="100k-150k"/>
    <x v="0"/>
    <s v="Manual"/>
    <s v=""/>
    <s v="BMW"/>
    <n v="78840.47"/>
  </r>
  <r>
    <n v="854"/>
    <x v="6"/>
    <x v="11"/>
    <n v="165081"/>
    <x v="1"/>
    <x v="0"/>
    <s v="First"/>
    <n v="4838"/>
    <s v="550.8"/>
    <s v="13.21"/>
    <n v="7"/>
    <s v="51343.75"/>
    <s v="2023"/>
    <s v="150k+"/>
    <x v="0"/>
    <s v="Manual"/>
    <s v=""/>
    <s v="Hyundai"/>
    <n v="51343.75"/>
  </r>
  <r>
    <n v="855"/>
    <x v="6"/>
    <x v="19"/>
    <n v="38866"/>
    <x v="3"/>
    <x v="1"/>
    <s v="First"/>
    <n v="882"/>
    <s v="394.6"/>
    <s v="7.82"/>
    <n v="5"/>
    <s v="50457.47"/>
    <s v="2017"/>
    <s v="&lt;50k"/>
    <x v="0"/>
    <s v="Auto"/>
    <s v=""/>
    <s v="Hyundai"/>
    <n v="50457.47"/>
  </r>
  <r>
    <n v="856"/>
    <x v="8"/>
    <x v="3"/>
    <n v="110400"/>
    <x v="2"/>
    <x v="0"/>
    <s v="Third"/>
    <n v="4568"/>
    <s v="443.8"/>
    <s v="26.75"/>
    <n v="2"/>
    <s v="82507.56"/>
    <s v="2015"/>
    <s v="100k-150k"/>
    <x v="0"/>
    <s v="Manual"/>
    <s v=""/>
    <s v="Toyota"/>
    <n v="82507.56"/>
  </r>
  <r>
    <n v="857"/>
    <x v="2"/>
    <x v="0"/>
    <n v="89246"/>
    <x v="0"/>
    <x v="0"/>
    <s v="First"/>
    <n v="1750"/>
    <s v="184.0"/>
    <s v="20.9"/>
    <n v="2"/>
    <s v="10849.97"/>
    <s v="2005"/>
    <s v="50k-100k"/>
    <x v="0"/>
    <s v="Manual"/>
    <s v=""/>
    <s v="Kia"/>
    <n v="10849.97"/>
  </r>
  <r>
    <n v="858"/>
    <x v="6"/>
    <x v="17"/>
    <n v="81975"/>
    <x v="0"/>
    <x v="1"/>
    <s v="Third"/>
    <n v="1410"/>
    <s v="442.9"/>
    <s v="9.12"/>
    <n v="6"/>
    <s v="72463.58"/>
    <s v="2011"/>
    <s v="50k-100k"/>
    <x v="0"/>
    <s v="Auto"/>
    <s v=""/>
    <s v="Hyundai"/>
    <n v="72463.58"/>
  </r>
  <r>
    <n v="859"/>
    <x v="5"/>
    <x v="1"/>
    <n v="177927"/>
    <x v="2"/>
    <x v="1"/>
    <s v="Second"/>
    <n v="4405"/>
    <s v="55.7"/>
    <s v="15.75"/>
    <n v="2"/>
    <s v="93327.72"/>
    <s v="2019"/>
    <s v="150k+"/>
    <x v="0"/>
    <s v="Auto"/>
    <s v=""/>
    <s v="Ford"/>
    <n v="93327.72"/>
  </r>
  <r>
    <n v="860"/>
    <x v="9"/>
    <x v="0"/>
    <n v="86557"/>
    <x v="2"/>
    <x v="1"/>
    <s v="First"/>
    <n v="4083"/>
    <s v="250.2"/>
    <s v="12.18"/>
    <n v="7"/>
    <s v="99900.89"/>
    <s v="2005"/>
    <s v="50k-100k"/>
    <x v="0"/>
    <s v="Auto"/>
    <s v=""/>
    <s v="Nissan"/>
    <n v="99900.89"/>
  </r>
  <r>
    <n v="861"/>
    <x v="7"/>
    <x v="4"/>
    <n v="142488"/>
    <x v="0"/>
    <x v="0"/>
    <s v="Second"/>
    <n v="2973"/>
    <s v="391.0"/>
    <s v="23.42"/>
    <n v="5"/>
    <s v="22952.06"/>
    <s v="2016"/>
    <s v="100k-150k"/>
    <x v="0"/>
    <s v="Manual"/>
    <s v=""/>
    <s v="Honda"/>
    <n v="22952.06"/>
  </r>
  <r>
    <n v="862"/>
    <x v="2"/>
    <x v="17"/>
    <n v="77516"/>
    <x v="1"/>
    <x v="1"/>
    <s v="Second"/>
    <n v="4284"/>
    <s v="121.8"/>
    <s v="16.34"/>
    <n v="4"/>
    <s v="107998.03"/>
    <s v="2011"/>
    <s v="50k-100k"/>
    <x v="0"/>
    <s v="Auto"/>
    <s v=""/>
    <s v="Kia"/>
    <n v="107998.03"/>
  </r>
  <r>
    <n v="863"/>
    <x v="4"/>
    <x v="1"/>
    <n v="191987"/>
    <x v="0"/>
    <x v="1"/>
    <s v="First"/>
    <n v="2322"/>
    <s v="500.9"/>
    <s v="29.73"/>
    <n v="2"/>
    <s v="79769.09"/>
    <s v="2019"/>
    <s v="150k+"/>
    <x v="0"/>
    <s v="Auto"/>
    <s v=""/>
    <s v="Volkswagen"/>
    <n v="79769.09"/>
  </r>
  <r>
    <n v="864"/>
    <x v="5"/>
    <x v="11"/>
    <n v="154130"/>
    <x v="0"/>
    <x v="0"/>
    <s v="Third"/>
    <n v="3401"/>
    <s v="171.6"/>
    <s v="6.37"/>
    <n v="4"/>
    <s v="106177.01"/>
    <s v="2023"/>
    <s v="150k+"/>
    <x v="0"/>
    <s v="Manual"/>
    <s v=""/>
    <s v="Ford"/>
    <n v="106177.01"/>
  </r>
  <r>
    <n v="865"/>
    <x v="3"/>
    <x v="0"/>
    <n v="176790"/>
    <x v="2"/>
    <x v="0"/>
    <s v="First"/>
    <n v="3457"/>
    <s v="405.3"/>
    <s v="13.88"/>
    <n v="2"/>
    <s v="59777.84"/>
    <s v="2005"/>
    <s v="150k+"/>
    <x v="0"/>
    <s v="Manual"/>
    <s v=""/>
    <s v="Mercedes"/>
    <n v="59777.84"/>
  </r>
  <r>
    <n v="866"/>
    <x v="6"/>
    <x v="9"/>
    <n v="37602"/>
    <x v="1"/>
    <x v="0"/>
    <s v="Second"/>
    <n v="2959"/>
    <s v="266.9"/>
    <s v="17.05"/>
    <n v="5"/>
    <s v="66417.9"/>
    <s v="2021"/>
    <s v="&lt;50k"/>
    <x v="0"/>
    <s v="Manual"/>
    <s v=""/>
    <s v="Hyundai"/>
    <n v="66417.899999999994"/>
  </r>
  <r>
    <n v="867"/>
    <x v="4"/>
    <x v="9"/>
    <n v="194139"/>
    <x v="0"/>
    <x v="0"/>
    <s v="Second"/>
    <n v="3249"/>
    <s v="373.8"/>
    <s v="17.58"/>
    <n v="7"/>
    <s v="110527.48"/>
    <s v="2021"/>
    <s v="150k+"/>
    <x v="0"/>
    <s v="Manual"/>
    <s v=""/>
    <s v="Volkswagen"/>
    <n v="110527.48"/>
  </r>
  <r>
    <n v="868"/>
    <x v="6"/>
    <x v="14"/>
    <n v="163588"/>
    <x v="0"/>
    <x v="0"/>
    <s v="Third"/>
    <n v="4630"/>
    <s v="100.2"/>
    <s v="12.9"/>
    <n v="5"/>
    <s v="108289.42"/>
    <s v="2007"/>
    <s v="150k+"/>
    <x v="0"/>
    <s v="Manual"/>
    <s v=""/>
    <s v="Hyundai"/>
    <n v="108289.42"/>
  </r>
  <r>
    <n v="869"/>
    <x v="1"/>
    <x v="4"/>
    <n v="134295"/>
    <x v="3"/>
    <x v="1"/>
    <s v="First"/>
    <n v="921"/>
    <s v="49.5"/>
    <s v="23.23"/>
    <n v="4"/>
    <s v="55434.82"/>
    <s v="2016"/>
    <s v="100k-150k"/>
    <x v="0"/>
    <s v="Auto"/>
    <s v=""/>
    <s v="BMW"/>
    <n v="55434.82"/>
  </r>
  <r>
    <n v="870"/>
    <x v="5"/>
    <x v="15"/>
    <n v="92969"/>
    <x v="2"/>
    <x v="1"/>
    <s v="Second"/>
    <n v="2117"/>
    <s v="549.4"/>
    <s v="26.87"/>
    <n v="2"/>
    <s v="35106.28"/>
    <s v="2010"/>
    <s v="50k-100k"/>
    <x v="0"/>
    <s v="Auto"/>
    <s v=""/>
    <s v="Ford"/>
    <n v="35106.28"/>
  </r>
  <r>
    <n v="871"/>
    <x v="1"/>
    <x v="3"/>
    <n v="137161"/>
    <x v="3"/>
    <x v="1"/>
    <s v="Second"/>
    <n v="3318"/>
    <s v="191.0"/>
    <s v="28.47"/>
    <n v="4"/>
    <s v="49000.94"/>
    <s v="2015"/>
    <s v="100k-150k"/>
    <x v="0"/>
    <s v="Auto"/>
    <s v=""/>
    <s v="BMW"/>
    <n v="49000.94"/>
  </r>
  <r>
    <n v="872"/>
    <x v="8"/>
    <x v="14"/>
    <n v="173418"/>
    <x v="3"/>
    <x v="0"/>
    <s v="Second"/>
    <n v="2030"/>
    <s v="499.0"/>
    <s v="25.13"/>
    <n v="7"/>
    <s v="48368.43"/>
    <s v="2007"/>
    <s v="150k+"/>
    <x v="0"/>
    <s v="Manual"/>
    <s v=""/>
    <s v="Toyota"/>
    <n v="48368.43"/>
  </r>
  <r>
    <n v="873"/>
    <x v="1"/>
    <x v="2"/>
    <n v="146559"/>
    <x v="0"/>
    <x v="0"/>
    <s v="Third"/>
    <n v="1933"/>
    <s v="599.6"/>
    <s v="26.26"/>
    <n v="5"/>
    <s v="36563.42"/>
    <s v="2012"/>
    <s v="100k-150k"/>
    <x v="0"/>
    <s v="Manual"/>
    <s v=""/>
    <s v="BMW"/>
    <n v="36563.42"/>
  </r>
  <r>
    <n v="874"/>
    <x v="8"/>
    <x v="12"/>
    <n v="5155"/>
    <x v="2"/>
    <x v="0"/>
    <s v="Second"/>
    <n v="2101"/>
    <s v="158.4"/>
    <s v="18.76"/>
    <n v="4"/>
    <s v="34423.81"/>
    <s v="2018"/>
    <s v="&lt;50k"/>
    <x v="0"/>
    <s v="Manual"/>
    <s v=""/>
    <s v="Toyota"/>
    <n v="34423.81"/>
  </r>
  <r>
    <n v="875"/>
    <x v="8"/>
    <x v="12"/>
    <n v="128950"/>
    <x v="1"/>
    <x v="1"/>
    <s v="Second"/>
    <n v="4834"/>
    <s v="188.5"/>
    <s v="25.65"/>
    <n v="4"/>
    <s v="103744.36"/>
    <s v="2018"/>
    <s v="100k-150k"/>
    <x v="0"/>
    <s v="Auto"/>
    <s v=""/>
    <s v="Toyota"/>
    <n v="103744.36"/>
  </r>
  <r>
    <n v="876"/>
    <x v="4"/>
    <x v="8"/>
    <n v="72494"/>
    <x v="0"/>
    <x v="1"/>
    <s v="First"/>
    <n v="2710"/>
    <s v="411.2"/>
    <s v="12.59"/>
    <n v="7"/>
    <s v="11173.84"/>
    <s v="2014"/>
    <s v="50k-100k"/>
    <x v="0"/>
    <s v="Auto"/>
    <s v=""/>
    <s v="Volkswagen"/>
    <n v="11173.84"/>
  </r>
  <r>
    <n v="877"/>
    <x v="6"/>
    <x v="16"/>
    <n v="81229"/>
    <x v="1"/>
    <x v="0"/>
    <s v="First"/>
    <n v="2305"/>
    <s v="580.7"/>
    <s v="14.96"/>
    <n v="2"/>
    <s v="82280.51"/>
    <s v="2006"/>
    <s v="50k-100k"/>
    <x v="0"/>
    <s v="Manual"/>
    <s v=""/>
    <s v="Hyundai"/>
    <n v="82280.509999999995"/>
  </r>
  <r>
    <n v="878"/>
    <x v="3"/>
    <x v="12"/>
    <n v="109648"/>
    <x v="1"/>
    <x v="1"/>
    <s v="Second"/>
    <n v="3985"/>
    <s v="552.9"/>
    <s v="12.92"/>
    <n v="4"/>
    <s v="23219.95"/>
    <s v="2018"/>
    <s v="100k-150k"/>
    <x v="0"/>
    <s v="Auto"/>
    <s v=""/>
    <s v="Mercedes"/>
    <n v="23219.95"/>
  </r>
  <r>
    <n v="879"/>
    <x v="1"/>
    <x v="10"/>
    <n v="43547"/>
    <x v="2"/>
    <x v="0"/>
    <s v="Second"/>
    <n v="2716"/>
    <s v="321.6"/>
    <s v="16.68"/>
    <n v="7"/>
    <s v="43307.19"/>
    <s v="2013"/>
    <s v="&lt;50k"/>
    <x v="0"/>
    <s v="Manual"/>
    <s v=""/>
    <s v="BMW"/>
    <n v="43307.19"/>
  </r>
  <r>
    <n v="880"/>
    <x v="5"/>
    <x v="14"/>
    <n v="33795"/>
    <x v="3"/>
    <x v="1"/>
    <s v="First"/>
    <n v="4348"/>
    <s v="485.3"/>
    <s v="12.14"/>
    <n v="2"/>
    <s v="10200.53"/>
    <s v="2007"/>
    <s v="&lt;50k"/>
    <x v="0"/>
    <s v="Auto"/>
    <s v=""/>
    <s v="Ford"/>
    <n v="10200.530000000001"/>
  </r>
  <r>
    <n v="881"/>
    <x v="8"/>
    <x v="2"/>
    <n v="191368"/>
    <x v="2"/>
    <x v="1"/>
    <s v="Third"/>
    <n v="3557"/>
    <s v="116.0"/>
    <s v="29.04"/>
    <n v="2"/>
    <s v="34586.92"/>
    <s v="2012"/>
    <s v="150k+"/>
    <x v="0"/>
    <s v="Auto"/>
    <s v=""/>
    <s v="Toyota"/>
    <n v="34586.92"/>
  </r>
  <r>
    <n v="882"/>
    <x v="6"/>
    <x v="6"/>
    <n v="26447"/>
    <x v="1"/>
    <x v="1"/>
    <s v="Third"/>
    <n v="2756"/>
    <s v="587.4"/>
    <s v="12.82"/>
    <n v="5"/>
    <s v="92905.27"/>
    <s v="2020"/>
    <s v="&lt;50k"/>
    <x v="0"/>
    <s v="Auto"/>
    <s v=""/>
    <s v="Hyundai"/>
    <n v="92905.27"/>
  </r>
  <r>
    <n v="883"/>
    <x v="7"/>
    <x v="16"/>
    <n v="172670"/>
    <x v="0"/>
    <x v="0"/>
    <s v="Third"/>
    <n v="978"/>
    <s v="580.0"/>
    <s v="7.45"/>
    <n v="7"/>
    <s v="106546.79"/>
    <s v="2006"/>
    <s v="150k+"/>
    <x v="0"/>
    <s v="Manual"/>
    <s v=""/>
    <s v="Honda"/>
    <n v="106546.79"/>
  </r>
  <r>
    <n v="884"/>
    <x v="2"/>
    <x v="15"/>
    <n v="177886"/>
    <x v="1"/>
    <x v="1"/>
    <s v="Third"/>
    <n v="1696"/>
    <s v="131.7"/>
    <s v="18.17"/>
    <n v="2"/>
    <s v="28918.68"/>
    <s v="2010"/>
    <s v="150k+"/>
    <x v="0"/>
    <s v="Auto"/>
    <s v=""/>
    <s v="Kia"/>
    <n v="28918.68"/>
  </r>
  <r>
    <n v="885"/>
    <x v="4"/>
    <x v="4"/>
    <n v="92960"/>
    <x v="0"/>
    <x v="1"/>
    <s v="Third"/>
    <n v="2351"/>
    <s v="207.7"/>
    <s v="6.43"/>
    <n v="5"/>
    <s v="57235.1"/>
    <s v="2016"/>
    <s v="50k-100k"/>
    <x v="0"/>
    <s v="Auto"/>
    <s v=""/>
    <s v="Volkswagen"/>
    <n v="57235.1"/>
  </r>
  <r>
    <n v="886"/>
    <x v="3"/>
    <x v="7"/>
    <n v="68278"/>
    <x v="0"/>
    <x v="0"/>
    <s v="Third"/>
    <n v="1291"/>
    <s v="96.1"/>
    <s v="7.76"/>
    <n v="6"/>
    <s v="58027.91"/>
    <s v="2009"/>
    <s v="50k-100k"/>
    <x v="0"/>
    <s v="Manual"/>
    <s v=""/>
    <s v="Mercedes"/>
    <n v="58027.91"/>
  </r>
  <r>
    <n v="887"/>
    <x v="0"/>
    <x v="16"/>
    <n v="60077"/>
    <x v="2"/>
    <x v="1"/>
    <s v="Third"/>
    <n v="860"/>
    <s v="192.2"/>
    <s v="10.48"/>
    <n v="7"/>
    <s v="105208.31"/>
    <s v="2006"/>
    <s v="50k-100k"/>
    <x v="0"/>
    <s v="Auto"/>
    <s v=""/>
    <s v="Audi"/>
    <n v="105208.31"/>
  </r>
  <r>
    <n v="888"/>
    <x v="4"/>
    <x v="6"/>
    <n v="117782"/>
    <x v="1"/>
    <x v="0"/>
    <s v="Third"/>
    <n v="1877"/>
    <s v="496.9"/>
    <s v="16.61"/>
    <n v="6"/>
    <s v="92247.49"/>
    <s v="2020"/>
    <s v="100k-150k"/>
    <x v="0"/>
    <s v="Manual"/>
    <s v=""/>
    <s v="Volkswagen"/>
    <n v="92247.49"/>
  </r>
  <r>
    <n v="889"/>
    <x v="7"/>
    <x v="7"/>
    <n v="107932"/>
    <x v="3"/>
    <x v="0"/>
    <s v="First"/>
    <n v="3695"/>
    <s v="251.9"/>
    <s v="15.83"/>
    <n v="2"/>
    <s v="63030.03"/>
    <s v="2009"/>
    <s v="100k-150k"/>
    <x v="0"/>
    <s v="Manual"/>
    <s v=""/>
    <s v="Honda"/>
    <n v="63030.03"/>
  </r>
  <r>
    <n v="890"/>
    <x v="2"/>
    <x v="1"/>
    <n v="145600"/>
    <x v="1"/>
    <x v="0"/>
    <s v="Third"/>
    <n v="4960"/>
    <s v="89.5"/>
    <s v="24.99"/>
    <n v="7"/>
    <s v="81477.42"/>
    <s v="2019"/>
    <s v="100k-150k"/>
    <x v="0"/>
    <s v="Manual"/>
    <s v=""/>
    <s v="Kia"/>
    <n v="81477.42"/>
  </r>
  <r>
    <n v="891"/>
    <x v="7"/>
    <x v="4"/>
    <n v="186172"/>
    <x v="1"/>
    <x v="0"/>
    <s v="Third"/>
    <n v="4483"/>
    <s v="231.6"/>
    <s v="23.49"/>
    <n v="5"/>
    <s v="102140.54"/>
    <s v="2016"/>
    <s v="150k+"/>
    <x v="0"/>
    <s v="Manual"/>
    <s v=""/>
    <s v="Honda"/>
    <n v="102140.54"/>
  </r>
  <r>
    <n v="892"/>
    <x v="1"/>
    <x v="5"/>
    <n v="114869"/>
    <x v="3"/>
    <x v="0"/>
    <s v="Third"/>
    <n v="1385"/>
    <s v="589.6"/>
    <s v="15.66"/>
    <n v="2"/>
    <s v="4116.06"/>
    <s v="2008"/>
    <s v="100k-150k"/>
    <x v="0"/>
    <s v="Manual"/>
    <s v=""/>
    <s v="BMW"/>
    <n v="4116.0600000000004"/>
  </r>
  <r>
    <n v="893"/>
    <x v="8"/>
    <x v="1"/>
    <n v="144251"/>
    <x v="2"/>
    <x v="1"/>
    <s v="Second"/>
    <n v="4760"/>
    <s v="392.6"/>
    <s v="13.34"/>
    <n v="7"/>
    <s v="50138.13"/>
    <s v="2019"/>
    <s v="100k-150k"/>
    <x v="0"/>
    <s v="Auto"/>
    <s v=""/>
    <s v="Toyota"/>
    <n v="50138.13"/>
  </r>
  <r>
    <n v="894"/>
    <x v="3"/>
    <x v="3"/>
    <n v="53781"/>
    <x v="1"/>
    <x v="0"/>
    <s v="First"/>
    <n v="4570"/>
    <s v="273.1"/>
    <s v="12.91"/>
    <n v="7"/>
    <s v="109147.45"/>
    <s v="2015"/>
    <s v="50k-100k"/>
    <x v="0"/>
    <s v="Manual"/>
    <s v=""/>
    <s v="Mercedes"/>
    <n v="109147.45"/>
  </r>
  <r>
    <n v="895"/>
    <x v="9"/>
    <x v="6"/>
    <n v="191339"/>
    <x v="1"/>
    <x v="0"/>
    <s v="First"/>
    <n v="1334"/>
    <s v="133.3"/>
    <s v="24.35"/>
    <n v="6"/>
    <s v="89616.62"/>
    <s v="2020"/>
    <s v="150k+"/>
    <x v="0"/>
    <s v="Manual"/>
    <s v=""/>
    <s v="Nissan"/>
    <n v="89616.62"/>
  </r>
  <r>
    <n v="896"/>
    <x v="8"/>
    <x v="15"/>
    <n v="160024"/>
    <x v="0"/>
    <x v="0"/>
    <s v="First"/>
    <n v="4262"/>
    <s v="592.3"/>
    <s v="6.3"/>
    <n v="2"/>
    <s v="66512.44"/>
    <s v="2010"/>
    <s v="150k+"/>
    <x v="0"/>
    <s v="Manual"/>
    <s v=""/>
    <s v="Toyota"/>
    <n v="66512.44"/>
  </r>
  <r>
    <n v="897"/>
    <x v="9"/>
    <x v="12"/>
    <n v="58798"/>
    <x v="1"/>
    <x v="0"/>
    <s v="Third"/>
    <n v="4811"/>
    <s v="499.7"/>
    <s v="5.32"/>
    <n v="5"/>
    <s v="64968.41"/>
    <s v="2018"/>
    <s v="50k-100k"/>
    <x v="0"/>
    <s v="Manual"/>
    <s v=""/>
    <s v="Nissan"/>
    <n v="64968.41"/>
  </r>
  <r>
    <n v="898"/>
    <x v="2"/>
    <x v="18"/>
    <n v="103696"/>
    <x v="3"/>
    <x v="1"/>
    <s v="Third"/>
    <n v="4198"/>
    <s v="197.6"/>
    <s v="24.89"/>
    <n v="5"/>
    <s v="43689.1"/>
    <s v="2022"/>
    <s v="100k-150k"/>
    <x v="0"/>
    <s v="Auto"/>
    <s v=""/>
    <s v="Kia"/>
    <n v="43689.1"/>
  </r>
  <r>
    <n v="899"/>
    <x v="6"/>
    <x v="4"/>
    <n v="55939"/>
    <x v="0"/>
    <x v="0"/>
    <s v="Second"/>
    <n v="2955"/>
    <s v="79.2"/>
    <s v="16.93"/>
    <n v="2"/>
    <s v="63900.9"/>
    <s v="2016"/>
    <s v="50k-100k"/>
    <x v="0"/>
    <s v="Manual"/>
    <s v=""/>
    <s v="Hyundai"/>
    <n v="63900.9"/>
  </r>
  <r>
    <n v="900"/>
    <x v="0"/>
    <x v="3"/>
    <n v="34516"/>
    <x v="2"/>
    <x v="1"/>
    <s v="First"/>
    <n v="1804"/>
    <s v="71.7"/>
    <s v="8.27"/>
    <n v="2"/>
    <s v="79679.83"/>
    <s v="2015"/>
    <s v="&lt;50k"/>
    <x v="0"/>
    <s v="Auto"/>
    <s v=""/>
    <s v="Audi"/>
    <n v="79679.83"/>
  </r>
  <r>
    <n v="901"/>
    <x v="5"/>
    <x v="19"/>
    <n v="192598"/>
    <x v="0"/>
    <x v="0"/>
    <s v="Third"/>
    <n v="3299"/>
    <s v="107.4"/>
    <s v="10.89"/>
    <n v="4"/>
    <s v="51948.48"/>
    <s v="2017"/>
    <s v="150k+"/>
    <x v="0"/>
    <s v="Manual"/>
    <s v=""/>
    <s v="Ford"/>
    <n v="51948.480000000003"/>
  </r>
  <r>
    <n v="902"/>
    <x v="8"/>
    <x v="3"/>
    <n v="146521"/>
    <x v="3"/>
    <x v="1"/>
    <s v="First"/>
    <n v="1126"/>
    <s v="365.2"/>
    <s v="28.31"/>
    <n v="6"/>
    <s v="86555.92"/>
    <s v="2015"/>
    <s v="100k-150k"/>
    <x v="0"/>
    <s v="Auto"/>
    <s v=""/>
    <s v="Toyota"/>
    <n v="86555.92"/>
  </r>
  <r>
    <n v="903"/>
    <x v="3"/>
    <x v="6"/>
    <n v="55290"/>
    <x v="3"/>
    <x v="0"/>
    <s v="Second"/>
    <n v="3506"/>
    <s v="560.1"/>
    <s v="26.49"/>
    <n v="2"/>
    <s v="103764.17"/>
    <s v="2020"/>
    <s v="50k-100k"/>
    <x v="0"/>
    <s v="Manual"/>
    <s v=""/>
    <s v="Mercedes"/>
    <n v="103764.17"/>
  </r>
  <r>
    <n v="904"/>
    <x v="7"/>
    <x v="1"/>
    <n v="131688"/>
    <x v="0"/>
    <x v="0"/>
    <s v="Second"/>
    <n v="801"/>
    <s v="318.2"/>
    <s v="22.74"/>
    <n v="2"/>
    <s v="21098.13"/>
    <s v="2019"/>
    <s v="100k-150k"/>
    <x v="0"/>
    <s v="Manual"/>
    <s v=""/>
    <s v="Honda"/>
    <n v="21098.13"/>
  </r>
  <r>
    <n v="905"/>
    <x v="3"/>
    <x v="1"/>
    <n v="91661"/>
    <x v="2"/>
    <x v="1"/>
    <s v="Second"/>
    <n v="1833"/>
    <s v="512.0"/>
    <s v="17.06"/>
    <n v="4"/>
    <s v="55831.0"/>
    <s v="2019"/>
    <s v="50k-100k"/>
    <x v="0"/>
    <s v="Auto"/>
    <s v=""/>
    <s v="Mercedes"/>
    <n v="55831"/>
  </r>
  <r>
    <n v="906"/>
    <x v="2"/>
    <x v="5"/>
    <n v="77954"/>
    <x v="0"/>
    <x v="0"/>
    <s v="First"/>
    <n v="3281"/>
    <s v="289.7"/>
    <s v="18.01"/>
    <n v="4"/>
    <s v="50738.35"/>
    <s v="2008"/>
    <s v="50k-100k"/>
    <x v="0"/>
    <s v="Manual"/>
    <s v=""/>
    <s v="Kia"/>
    <n v="50738.35"/>
  </r>
  <r>
    <n v="907"/>
    <x v="9"/>
    <x v="3"/>
    <n v="27746"/>
    <x v="2"/>
    <x v="1"/>
    <s v="Third"/>
    <n v="924"/>
    <s v="436.8"/>
    <s v="29.38"/>
    <n v="7"/>
    <s v="83433.38"/>
    <s v="2015"/>
    <s v="&lt;50k"/>
    <x v="0"/>
    <s v="Auto"/>
    <s v=""/>
    <s v="Nissan"/>
    <n v="83433.38"/>
  </r>
  <r>
    <n v="908"/>
    <x v="7"/>
    <x v="11"/>
    <n v="72990"/>
    <x v="0"/>
    <x v="0"/>
    <s v="Third"/>
    <n v="1904"/>
    <s v="449.8"/>
    <s v="29.14"/>
    <n v="5"/>
    <s v="32234.49"/>
    <s v="2023"/>
    <s v="50k-100k"/>
    <x v="0"/>
    <s v="Manual"/>
    <s v=""/>
    <s v="Honda"/>
    <n v="32234.49"/>
  </r>
  <r>
    <n v="909"/>
    <x v="5"/>
    <x v="1"/>
    <n v="63810"/>
    <x v="3"/>
    <x v="1"/>
    <s v="Second"/>
    <n v="3499"/>
    <s v="137.4"/>
    <s v="10.38"/>
    <n v="6"/>
    <s v="77909.36"/>
    <s v="2019"/>
    <s v="50k-100k"/>
    <x v="0"/>
    <s v="Auto"/>
    <s v=""/>
    <s v="Ford"/>
    <n v="77909.36"/>
  </r>
  <r>
    <n v="910"/>
    <x v="5"/>
    <x v="5"/>
    <n v="123362"/>
    <x v="1"/>
    <x v="0"/>
    <s v="Third"/>
    <n v="2661"/>
    <s v="242.3"/>
    <s v="25.28"/>
    <n v="7"/>
    <s v="105666.24"/>
    <s v="2008"/>
    <s v="100k-150k"/>
    <x v="0"/>
    <s v="Manual"/>
    <s v=""/>
    <s v="Ford"/>
    <n v="105666.24000000001"/>
  </r>
  <r>
    <n v="911"/>
    <x v="8"/>
    <x v="19"/>
    <n v="151295"/>
    <x v="1"/>
    <x v="0"/>
    <s v="Second"/>
    <n v="3720"/>
    <s v="396.9"/>
    <s v="9.93"/>
    <n v="2"/>
    <s v="51921.4"/>
    <s v="2017"/>
    <s v="150k+"/>
    <x v="0"/>
    <s v="Manual"/>
    <s v=""/>
    <s v="Toyota"/>
    <n v="51921.4"/>
  </r>
  <r>
    <n v="912"/>
    <x v="2"/>
    <x v="11"/>
    <n v="138669"/>
    <x v="2"/>
    <x v="1"/>
    <s v="First"/>
    <n v="928"/>
    <s v="79.6"/>
    <s v="10.34"/>
    <n v="4"/>
    <s v="109588.84"/>
    <s v="2023"/>
    <s v="100k-150k"/>
    <x v="0"/>
    <s v="Auto"/>
    <s v=""/>
    <s v="Kia"/>
    <n v="109588.84"/>
  </r>
  <r>
    <n v="913"/>
    <x v="6"/>
    <x v="16"/>
    <n v="7659"/>
    <x v="2"/>
    <x v="0"/>
    <s v="Second"/>
    <n v="1237"/>
    <s v="242.5"/>
    <s v="21.9"/>
    <n v="5"/>
    <s v="119200.16"/>
    <s v="2006"/>
    <s v="&lt;50k"/>
    <x v="0"/>
    <s v="Manual"/>
    <s v=""/>
    <s v="Hyundai"/>
    <n v="119200.16"/>
  </r>
  <r>
    <n v="914"/>
    <x v="2"/>
    <x v="12"/>
    <n v="91516"/>
    <x v="2"/>
    <x v="0"/>
    <s v="First"/>
    <n v="3348"/>
    <s v="339.5"/>
    <s v="15.13"/>
    <n v="7"/>
    <s v="15412.77"/>
    <s v="2018"/>
    <s v="50k-100k"/>
    <x v="0"/>
    <s v="Manual"/>
    <s v=""/>
    <s v="Kia"/>
    <n v="15412.77"/>
  </r>
  <r>
    <n v="915"/>
    <x v="9"/>
    <x v="5"/>
    <n v="79567"/>
    <x v="3"/>
    <x v="0"/>
    <s v="Second"/>
    <n v="3929"/>
    <s v="597.9"/>
    <s v="28.29"/>
    <n v="5"/>
    <s v="30267.22"/>
    <s v="2008"/>
    <s v="50k-100k"/>
    <x v="0"/>
    <s v="Manual"/>
    <s v=""/>
    <s v="Nissan"/>
    <n v="30267.22"/>
  </r>
  <r>
    <n v="916"/>
    <x v="3"/>
    <x v="6"/>
    <n v="20037"/>
    <x v="0"/>
    <x v="0"/>
    <s v="Third"/>
    <n v="2021"/>
    <s v="305.7"/>
    <s v="7.23"/>
    <n v="4"/>
    <s v="114194.43"/>
    <s v="2020"/>
    <s v="&lt;50k"/>
    <x v="0"/>
    <s v="Manual"/>
    <s v=""/>
    <s v="Mercedes"/>
    <n v="114194.43"/>
  </r>
  <r>
    <n v="917"/>
    <x v="5"/>
    <x v="13"/>
    <n v="131498"/>
    <x v="3"/>
    <x v="0"/>
    <s v="Third"/>
    <n v="1701"/>
    <s v="497.0"/>
    <s v="17.79"/>
    <n v="7"/>
    <s v="115124.34"/>
    <s v="2024"/>
    <s v="100k-150k"/>
    <x v="0"/>
    <s v="Manual"/>
    <s v=""/>
    <s v="Ford"/>
    <n v="115124.34"/>
  </r>
  <r>
    <n v="918"/>
    <x v="3"/>
    <x v="12"/>
    <n v="182810"/>
    <x v="1"/>
    <x v="0"/>
    <s v="Second"/>
    <n v="3968"/>
    <s v="282.0"/>
    <s v="27.96"/>
    <n v="7"/>
    <s v="14431.75"/>
    <s v="2018"/>
    <s v="150k+"/>
    <x v="0"/>
    <s v="Manual"/>
    <s v=""/>
    <s v="Mercedes"/>
    <n v="14431.75"/>
  </r>
  <r>
    <n v="919"/>
    <x v="3"/>
    <x v="1"/>
    <n v="17109"/>
    <x v="2"/>
    <x v="1"/>
    <s v="Third"/>
    <n v="4718"/>
    <s v="486.0"/>
    <s v="27.6"/>
    <n v="5"/>
    <s v="4754.82"/>
    <s v="2019"/>
    <s v="&lt;50k"/>
    <x v="0"/>
    <s v="Auto"/>
    <s v=""/>
    <s v="Mercedes"/>
    <n v="4754.82"/>
  </r>
  <r>
    <n v="920"/>
    <x v="3"/>
    <x v="14"/>
    <n v="27010"/>
    <x v="0"/>
    <x v="1"/>
    <s v="Third"/>
    <n v="1867"/>
    <s v="373.4"/>
    <s v="8.91"/>
    <n v="4"/>
    <s v="21848.7"/>
    <s v="2007"/>
    <s v="&lt;50k"/>
    <x v="0"/>
    <s v="Auto"/>
    <s v=""/>
    <s v="Mercedes"/>
    <n v="21848.7"/>
  </r>
  <r>
    <n v="921"/>
    <x v="5"/>
    <x v="2"/>
    <n v="13787"/>
    <x v="1"/>
    <x v="1"/>
    <s v="Third"/>
    <n v="826"/>
    <s v="536.5"/>
    <s v="14.17"/>
    <n v="2"/>
    <s v="119533.5"/>
    <s v="2012"/>
    <s v="&lt;50k"/>
    <x v="0"/>
    <s v="Auto"/>
    <s v=""/>
    <s v="Ford"/>
    <n v="119533.5"/>
  </r>
  <r>
    <n v="922"/>
    <x v="4"/>
    <x v="6"/>
    <n v="144544"/>
    <x v="1"/>
    <x v="0"/>
    <s v="First"/>
    <n v="1347"/>
    <s v="270.1"/>
    <s v="20.48"/>
    <n v="7"/>
    <s v="24059.96"/>
    <s v="2020"/>
    <s v="100k-150k"/>
    <x v="0"/>
    <s v="Manual"/>
    <s v=""/>
    <s v="Volkswagen"/>
    <n v="24059.96"/>
  </r>
  <r>
    <n v="923"/>
    <x v="1"/>
    <x v="8"/>
    <n v="159455"/>
    <x v="1"/>
    <x v="1"/>
    <s v="Third"/>
    <n v="3468"/>
    <s v="378.4"/>
    <s v="8.98"/>
    <n v="2"/>
    <s v="61798.07"/>
    <s v="2014"/>
    <s v="150k+"/>
    <x v="0"/>
    <s v="Auto"/>
    <s v=""/>
    <s v="BMW"/>
    <n v="61798.07"/>
  </r>
  <r>
    <n v="924"/>
    <x v="9"/>
    <x v="5"/>
    <n v="66709"/>
    <x v="3"/>
    <x v="0"/>
    <s v="First"/>
    <n v="1366"/>
    <s v="392.8"/>
    <s v="29.2"/>
    <n v="4"/>
    <s v="102264.87"/>
    <s v="2008"/>
    <s v="50k-100k"/>
    <x v="0"/>
    <s v="Manual"/>
    <s v=""/>
    <s v="Nissan"/>
    <n v="102264.87"/>
  </r>
  <r>
    <n v="925"/>
    <x v="4"/>
    <x v="18"/>
    <n v="39518"/>
    <x v="2"/>
    <x v="0"/>
    <s v="Second"/>
    <n v="1503"/>
    <s v="273.7"/>
    <s v="27.87"/>
    <n v="7"/>
    <s v="5386.99"/>
    <s v="2022"/>
    <s v="&lt;50k"/>
    <x v="0"/>
    <s v="Manual"/>
    <s v=""/>
    <s v="Volkswagen"/>
    <n v="5386.99"/>
  </r>
  <r>
    <n v="926"/>
    <x v="9"/>
    <x v="16"/>
    <n v="58909"/>
    <x v="1"/>
    <x v="0"/>
    <s v="Third"/>
    <n v="3940"/>
    <s v="120.8"/>
    <s v="9.17"/>
    <n v="7"/>
    <s v="73725.21"/>
    <s v="2006"/>
    <s v="50k-100k"/>
    <x v="0"/>
    <s v="Manual"/>
    <s v=""/>
    <s v="Nissan"/>
    <n v="73725.210000000006"/>
  </r>
  <r>
    <n v="927"/>
    <x v="7"/>
    <x v="9"/>
    <n v="23351"/>
    <x v="2"/>
    <x v="0"/>
    <s v="Third"/>
    <n v="2390"/>
    <s v="92.4"/>
    <s v="8.03"/>
    <n v="2"/>
    <s v="35411.98"/>
    <s v="2021"/>
    <s v="&lt;50k"/>
    <x v="0"/>
    <s v="Manual"/>
    <s v=""/>
    <s v="Honda"/>
    <n v="35411.980000000003"/>
  </r>
  <r>
    <n v="928"/>
    <x v="2"/>
    <x v="19"/>
    <n v="189402"/>
    <x v="3"/>
    <x v="1"/>
    <s v="Third"/>
    <n v="1605"/>
    <s v="49.3"/>
    <s v="7.14"/>
    <n v="6"/>
    <s v="103893.19"/>
    <s v="2017"/>
    <s v="150k+"/>
    <x v="0"/>
    <s v="Auto"/>
    <s v=""/>
    <s v="Kia"/>
    <n v="103893.19"/>
  </r>
  <r>
    <n v="929"/>
    <x v="2"/>
    <x v="5"/>
    <n v="20282"/>
    <x v="1"/>
    <x v="0"/>
    <s v="Second"/>
    <n v="4591"/>
    <s v="529.2"/>
    <s v="27.74"/>
    <n v="2"/>
    <s v="36164.95"/>
    <s v="2008"/>
    <s v="&lt;50k"/>
    <x v="0"/>
    <s v="Manual"/>
    <s v=""/>
    <s v="Kia"/>
    <n v="36164.949999999997"/>
  </r>
  <r>
    <n v="930"/>
    <x v="0"/>
    <x v="3"/>
    <n v="157850"/>
    <x v="3"/>
    <x v="1"/>
    <s v="First"/>
    <n v="2157"/>
    <s v="172.4"/>
    <s v="9.84"/>
    <n v="2"/>
    <s v="83350.42"/>
    <s v="2015"/>
    <s v="150k+"/>
    <x v="0"/>
    <s v="Auto"/>
    <s v=""/>
    <s v="Audi"/>
    <n v="83350.42"/>
  </r>
  <r>
    <n v="931"/>
    <x v="2"/>
    <x v="17"/>
    <n v="160336"/>
    <x v="3"/>
    <x v="0"/>
    <s v="First"/>
    <n v="4025"/>
    <s v="158.4"/>
    <s v="15.41"/>
    <n v="6"/>
    <s v="81883.7"/>
    <s v="2011"/>
    <s v="150k+"/>
    <x v="0"/>
    <s v="Manual"/>
    <s v=""/>
    <s v="Kia"/>
    <n v="81883.7"/>
  </r>
  <r>
    <n v="932"/>
    <x v="5"/>
    <x v="4"/>
    <n v="195747"/>
    <x v="2"/>
    <x v="1"/>
    <s v="Third"/>
    <n v="4418"/>
    <s v="452.2"/>
    <s v="16.22"/>
    <n v="4"/>
    <s v="28914.75"/>
    <s v="2016"/>
    <s v="150k+"/>
    <x v="0"/>
    <s v="Auto"/>
    <s v=""/>
    <s v="Ford"/>
    <n v="28914.75"/>
  </r>
  <r>
    <n v="933"/>
    <x v="6"/>
    <x v="8"/>
    <n v="10075"/>
    <x v="1"/>
    <x v="1"/>
    <s v="Second"/>
    <n v="2926"/>
    <s v="219.2"/>
    <s v="19.98"/>
    <n v="4"/>
    <s v="7071.51"/>
    <s v="2014"/>
    <s v="&lt;50k"/>
    <x v="0"/>
    <s v="Auto"/>
    <s v=""/>
    <s v="Hyundai"/>
    <n v="7071.51"/>
  </r>
  <r>
    <n v="934"/>
    <x v="8"/>
    <x v="17"/>
    <n v="184526"/>
    <x v="3"/>
    <x v="1"/>
    <s v="Second"/>
    <n v="3260"/>
    <s v="323.4"/>
    <s v="6.79"/>
    <n v="7"/>
    <s v="50882.2"/>
    <s v="2011"/>
    <s v="150k+"/>
    <x v="0"/>
    <s v="Auto"/>
    <s v=""/>
    <s v="Toyota"/>
    <n v="50882.2"/>
  </r>
  <r>
    <n v="935"/>
    <x v="0"/>
    <x v="19"/>
    <n v="33365"/>
    <x v="1"/>
    <x v="1"/>
    <s v="Second"/>
    <n v="1345"/>
    <s v="131.0"/>
    <s v="10.67"/>
    <n v="5"/>
    <s v="36835.6"/>
    <s v="2017"/>
    <s v="&lt;50k"/>
    <x v="0"/>
    <s v="Auto"/>
    <s v=""/>
    <s v="Audi"/>
    <n v="36835.599999999999"/>
  </r>
  <r>
    <n v="936"/>
    <x v="8"/>
    <x v="17"/>
    <n v="184272"/>
    <x v="2"/>
    <x v="1"/>
    <s v="Second"/>
    <n v="3528"/>
    <s v="577.5"/>
    <s v="28.29"/>
    <n v="5"/>
    <s v="97650.4"/>
    <s v="2011"/>
    <s v="150k+"/>
    <x v="0"/>
    <s v="Auto"/>
    <s v=""/>
    <s v="Toyota"/>
    <n v="97650.4"/>
  </r>
  <r>
    <n v="937"/>
    <x v="9"/>
    <x v="9"/>
    <n v="16002"/>
    <x v="3"/>
    <x v="1"/>
    <s v="Second"/>
    <n v="4534"/>
    <s v="516.9"/>
    <s v="27.71"/>
    <n v="7"/>
    <s v="96642.61"/>
    <s v="2021"/>
    <s v="&lt;50k"/>
    <x v="0"/>
    <s v="Auto"/>
    <s v=""/>
    <s v="Nissan"/>
    <n v="96642.61"/>
  </r>
  <r>
    <n v="938"/>
    <x v="8"/>
    <x v="8"/>
    <n v="18947"/>
    <x v="2"/>
    <x v="0"/>
    <s v="First"/>
    <n v="3362"/>
    <s v="523.7"/>
    <s v="24.53"/>
    <n v="5"/>
    <s v="56471.8"/>
    <s v="2014"/>
    <s v="&lt;50k"/>
    <x v="0"/>
    <s v="Manual"/>
    <s v=""/>
    <s v="Toyota"/>
    <n v="56471.8"/>
  </r>
  <r>
    <n v="939"/>
    <x v="8"/>
    <x v="8"/>
    <n v="99840"/>
    <x v="1"/>
    <x v="1"/>
    <s v="First"/>
    <n v="2879"/>
    <s v="267.8"/>
    <s v="5.49"/>
    <n v="2"/>
    <s v="73961.93"/>
    <s v="2014"/>
    <s v="50k-100k"/>
    <x v="0"/>
    <s v="Auto"/>
    <s v=""/>
    <s v="Toyota"/>
    <n v="73961.929999999993"/>
  </r>
  <r>
    <n v="940"/>
    <x v="0"/>
    <x v="5"/>
    <n v="121219"/>
    <x v="1"/>
    <x v="0"/>
    <s v="First"/>
    <n v="3441"/>
    <s v="466.9"/>
    <s v="13.18"/>
    <n v="2"/>
    <s v="73698.36"/>
    <s v="2008"/>
    <s v="100k-150k"/>
    <x v="0"/>
    <s v="Manual"/>
    <s v=""/>
    <s v="Audi"/>
    <n v="73698.36"/>
  </r>
  <r>
    <n v="941"/>
    <x v="7"/>
    <x v="13"/>
    <n v="83610"/>
    <x v="2"/>
    <x v="1"/>
    <s v="Third"/>
    <n v="3914"/>
    <s v="120.6"/>
    <s v="20.7"/>
    <n v="6"/>
    <s v="99777.5"/>
    <s v="2024"/>
    <s v="50k-100k"/>
    <x v="0"/>
    <s v="Auto"/>
    <s v=""/>
    <s v="Honda"/>
    <n v="99777.5"/>
  </r>
  <r>
    <n v="942"/>
    <x v="3"/>
    <x v="5"/>
    <n v="57142"/>
    <x v="0"/>
    <x v="0"/>
    <s v="Second"/>
    <n v="2726"/>
    <s v="44.8"/>
    <s v="11.88"/>
    <n v="6"/>
    <s v="52725.28"/>
    <s v="2008"/>
    <s v="50k-100k"/>
    <x v="0"/>
    <s v="Manual"/>
    <s v=""/>
    <s v="Mercedes"/>
    <n v="52725.279999999999"/>
  </r>
  <r>
    <n v="943"/>
    <x v="2"/>
    <x v="17"/>
    <n v="61307"/>
    <x v="3"/>
    <x v="1"/>
    <s v="Third"/>
    <n v="1416"/>
    <s v="51.2"/>
    <s v="27.74"/>
    <n v="7"/>
    <s v="35227.26"/>
    <s v="2011"/>
    <s v="50k-100k"/>
    <x v="0"/>
    <s v="Auto"/>
    <s v=""/>
    <s v="Kia"/>
    <n v="35227.26"/>
  </r>
  <r>
    <n v="944"/>
    <x v="2"/>
    <x v="0"/>
    <n v="140565"/>
    <x v="1"/>
    <x v="1"/>
    <s v="Second"/>
    <n v="4444"/>
    <s v="368.5"/>
    <s v="20.85"/>
    <n v="7"/>
    <s v="34009.09"/>
    <s v="2005"/>
    <s v="100k-150k"/>
    <x v="0"/>
    <s v="Auto"/>
    <s v=""/>
    <s v="Kia"/>
    <n v="34009.089999999997"/>
  </r>
  <r>
    <n v="945"/>
    <x v="5"/>
    <x v="4"/>
    <n v="55085"/>
    <x v="1"/>
    <x v="0"/>
    <s v="First"/>
    <n v="2003"/>
    <s v="295.0"/>
    <s v="6.8"/>
    <n v="7"/>
    <s v="65734.5"/>
    <s v="2016"/>
    <s v="50k-100k"/>
    <x v="0"/>
    <s v="Manual"/>
    <s v=""/>
    <s v="Ford"/>
    <n v="65734.5"/>
  </r>
  <r>
    <n v="946"/>
    <x v="0"/>
    <x v="19"/>
    <n v="39228"/>
    <x v="3"/>
    <x v="1"/>
    <s v="Third"/>
    <n v="2559"/>
    <s v="330.1"/>
    <s v="27.73"/>
    <n v="2"/>
    <s v="55550.34"/>
    <s v="2017"/>
    <s v="&lt;50k"/>
    <x v="0"/>
    <s v="Auto"/>
    <s v=""/>
    <s v="Audi"/>
    <n v="55550.34"/>
  </r>
  <r>
    <n v="947"/>
    <x v="5"/>
    <x v="8"/>
    <n v="187947"/>
    <x v="2"/>
    <x v="1"/>
    <s v="First"/>
    <n v="3365"/>
    <s v="44.2"/>
    <s v="28.94"/>
    <n v="5"/>
    <s v="54494.13"/>
    <s v="2014"/>
    <s v="150k+"/>
    <x v="0"/>
    <s v="Auto"/>
    <s v=""/>
    <s v="Ford"/>
    <n v="54494.13"/>
  </r>
  <r>
    <n v="948"/>
    <x v="6"/>
    <x v="1"/>
    <n v="167727"/>
    <x v="2"/>
    <x v="1"/>
    <s v="Second"/>
    <n v="3974"/>
    <s v="276.7"/>
    <s v="6.94"/>
    <n v="7"/>
    <s v="13663.07"/>
    <s v="2019"/>
    <s v="150k+"/>
    <x v="0"/>
    <s v="Auto"/>
    <s v=""/>
    <s v="Hyundai"/>
    <n v="13663.07"/>
  </r>
  <r>
    <n v="949"/>
    <x v="6"/>
    <x v="19"/>
    <n v="48472"/>
    <x v="2"/>
    <x v="0"/>
    <s v="Second"/>
    <n v="3881"/>
    <s v="442.1"/>
    <s v="18.31"/>
    <n v="7"/>
    <s v="87076.64"/>
    <s v="2017"/>
    <s v="&lt;50k"/>
    <x v="0"/>
    <s v="Manual"/>
    <s v=""/>
    <s v="Hyundai"/>
    <n v="87076.64"/>
  </r>
  <r>
    <n v="950"/>
    <x v="5"/>
    <x v="10"/>
    <n v="54437"/>
    <x v="0"/>
    <x v="1"/>
    <s v="Second"/>
    <n v="3430"/>
    <s v="287.9"/>
    <s v="12.58"/>
    <n v="2"/>
    <s v="28007.19"/>
    <s v="2013"/>
    <s v="50k-100k"/>
    <x v="0"/>
    <s v="Auto"/>
    <s v=""/>
    <s v="Ford"/>
    <n v="28007.19"/>
  </r>
  <r>
    <n v="951"/>
    <x v="0"/>
    <x v="10"/>
    <n v="185488"/>
    <x v="0"/>
    <x v="0"/>
    <s v="First"/>
    <n v="3961"/>
    <s v="450.0"/>
    <s v="14.82"/>
    <n v="2"/>
    <s v="26043.57"/>
    <s v="2013"/>
    <s v="150k+"/>
    <x v="0"/>
    <s v="Manual"/>
    <s v=""/>
    <s v="Audi"/>
    <n v="26043.57"/>
  </r>
  <r>
    <n v="952"/>
    <x v="5"/>
    <x v="1"/>
    <n v="64711"/>
    <x v="1"/>
    <x v="1"/>
    <s v="Second"/>
    <n v="1469"/>
    <s v="170.5"/>
    <s v="9.49"/>
    <n v="2"/>
    <s v="51292.72"/>
    <s v="2019"/>
    <s v="50k-100k"/>
    <x v="0"/>
    <s v="Auto"/>
    <s v=""/>
    <s v="Ford"/>
    <n v="51292.72"/>
  </r>
  <r>
    <n v="953"/>
    <x v="2"/>
    <x v="8"/>
    <n v="142888"/>
    <x v="2"/>
    <x v="1"/>
    <s v="First"/>
    <n v="3968"/>
    <s v="495.4"/>
    <s v="19.45"/>
    <n v="5"/>
    <s v="29650.07"/>
    <s v="2014"/>
    <s v="100k-150k"/>
    <x v="0"/>
    <s v="Auto"/>
    <s v=""/>
    <s v="Kia"/>
    <n v="29650.07"/>
  </r>
  <r>
    <n v="954"/>
    <x v="4"/>
    <x v="8"/>
    <n v="82175"/>
    <x v="3"/>
    <x v="0"/>
    <s v="Third"/>
    <n v="2921"/>
    <s v="369.5"/>
    <s v="28.95"/>
    <n v="7"/>
    <s v="71311.42"/>
    <s v="2014"/>
    <s v="50k-100k"/>
    <x v="0"/>
    <s v="Manual"/>
    <s v=""/>
    <s v="Volkswagen"/>
    <n v="71311.42"/>
  </r>
  <r>
    <n v="955"/>
    <x v="1"/>
    <x v="2"/>
    <n v="69307"/>
    <x v="1"/>
    <x v="1"/>
    <s v="Second"/>
    <n v="4878"/>
    <s v="158.0"/>
    <s v="17.58"/>
    <n v="4"/>
    <s v="46461.21"/>
    <s v="2012"/>
    <s v="50k-100k"/>
    <x v="0"/>
    <s v="Auto"/>
    <s v=""/>
    <s v="BMW"/>
    <n v="46461.21"/>
  </r>
  <r>
    <n v="956"/>
    <x v="8"/>
    <x v="6"/>
    <n v="51733"/>
    <x v="3"/>
    <x v="1"/>
    <s v="Second"/>
    <n v="4951"/>
    <s v="172.6"/>
    <s v="7.07"/>
    <n v="4"/>
    <s v="55522.67"/>
    <s v="2020"/>
    <s v="50k-100k"/>
    <x v="0"/>
    <s v="Auto"/>
    <s v=""/>
    <s v="Toyota"/>
    <n v="55522.67"/>
  </r>
  <r>
    <n v="957"/>
    <x v="1"/>
    <x v="9"/>
    <n v="133202"/>
    <x v="1"/>
    <x v="0"/>
    <s v="Second"/>
    <n v="1519"/>
    <s v="391.7"/>
    <s v="20.5"/>
    <n v="7"/>
    <s v="65848.81"/>
    <s v="2021"/>
    <s v="100k-150k"/>
    <x v="0"/>
    <s v="Manual"/>
    <s v=""/>
    <s v="BMW"/>
    <n v="65848.81"/>
  </r>
  <r>
    <n v="958"/>
    <x v="0"/>
    <x v="7"/>
    <n v="100028"/>
    <x v="0"/>
    <x v="1"/>
    <s v="Third"/>
    <n v="3400"/>
    <s v="504.8"/>
    <s v="13.51"/>
    <n v="7"/>
    <s v="26813.66"/>
    <s v="2009"/>
    <s v="100k-150k"/>
    <x v="0"/>
    <s v="Auto"/>
    <s v=""/>
    <s v="Audi"/>
    <n v="26813.66"/>
  </r>
  <r>
    <n v="959"/>
    <x v="1"/>
    <x v="5"/>
    <n v="147312"/>
    <x v="1"/>
    <x v="0"/>
    <s v="Second"/>
    <n v="4398"/>
    <s v="272.8"/>
    <s v="26.4"/>
    <n v="7"/>
    <s v="21222.94"/>
    <s v="2008"/>
    <s v="100k-150k"/>
    <x v="0"/>
    <s v="Manual"/>
    <s v=""/>
    <s v="BMW"/>
    <n v="21222.94"/>
  </r>
  <r>
    <n v="960"/>
    <x v="6"/>
    <x v="18"/>
    <n v="97493"/>
    <x v="0"/>
    <x v="0"/>
    <s v="First"/>
    <n v="1466"/>
    <s v="184.6"/>
    <s v="15.87"/>
    <n v="7"/>
    <s v="106009.36"/>
    <s v="2022"/>
    <s v="50k-100k"/>
    <x v="0"/>
    <s v="Manual"/>
    <s v=""/>
    <s v="Hyundai"/>
    <n v="106009.36"/>
  </r>
  <r>
    <n v="961"/>
    <x v="9"/>
    <x v="11"/>
    <n v="130149"/>
    <x v="1"/>
    <x v="0"/>
    <s v="First"/>
    <n v="1083"/>
    <s v="525.5"/>
    <s v="9.82"/>
    <n v="5"/>
    <s v="53745.67"/>
    <s v="2023"/>
    <s v="100k-150k"/>
    <x v="0"/>
    <s v="Manual"/>
    <s v=""/>
    <s v="Nissan"/>
    <n v="53745.67"/>
  </r>
  <r>
    <n v="962"/>
    <x v="8"/>
    <x v="5"/>
    <n v="168834"/>
    <x v="2"/>
    <x v="1"/>
    <s v="Second"/>
    <n v="4703"/>
    <s v="414.8"/>
    <s v="9.78"/>
    <n v="4"/>
    <s v="51214.95"/>
    <s v="2008"/>
    <s v="150k+"/>
    <x v="0"/>
    <s v="Auto"/>
    <s v=""/>
    <s v="Toyota"/>
    <n v="51214.95"/>
  </r>
  <r>
    <n v="963"/>
    <x v="3"/>
    <x v="17"/>
    <n v="13259"/>
    <x v="3"/>
    <x v="0"/>
    <s v="Second"/>
    <n v="4365"/>
    <s v="290.9"/>
    <s v="24.22"/>
    <n v="6"/>
    <s v="7166.62"/>
    <s v="2011"/>
    <s v="&lt;50k"/>
    <x v="0"/>
    <s v="Manual"/>
    <s v=""/>
    <s v="Mercedes"/>
    <n v="7166.62"/>
  </r>
  <r>
    <n v="964"/>
    <x v="0"/>
    <x v="8"/>
    <n v="186211"/>
    <x v="2"/>
    <x v="0"/>
    <s v="Third"/>
    <n v="3034"/>
    <s v="313.2"/>
    <s v="11.64"/>
    <n v="4"/>
    <s v="61263.23"/>
    <s v="2014"/>
    <s v="150k+"/>
    <x v="0"/>
    <s v="Manual"/>
    <s v=""/>
    <s v="Audi"/>
    <n v="61263.23"/>
  </r>
  <r>
    <n v="965"/>
    <x v="8"/>
    <x v="18"/>
    <n v="133775"/>
    <x v="1"/>
    <x v="1"/>
    <s v="Third"/>
    <n v="2265"/>
    <s v="154.4"/>
    <s v="24.18"/>
    <n v="4"/>
    <s v="67837.86"/>
    <s v="2022"/>
    <s v="100k-150k"/>
    <x v="0"/>
    <s v="Auto"/>
    <s v=""/>
    <s v="Toyota"/>
    <n v="67837.86"/>
  </r>
  <r>
    <n v="966"/>
    <x v="1"/>
    <x v="11"/>
    <n v="19849"/>
    <x v="1"/>
    <x v="0"/>
    <s v="Third"/>
    <n v="929"/>
    <s v="391.0"/>
    <s v="10.15"/>
    <n v="2"/>
    <s v="68384.38"/>
    <s v="2023"/>
    <s v="&lt;50k"/>
    <x v="0"/>
    <s v="Manual"/>
    <s v=""/>
    <s v="BMW"/>
    <n v="68384.38"/>
  </r>
  <r>
    <n v="967"/>
    <x v="6"/>
    <x v="5"/>
    <n v="86768"/>
    <x v="1"/>
    <x v="1"/>
    <s v="Second"/>
    <n v="2860"/>
    <s v="240.9"/>
    <s v="13.04"/>
    <n v="7"/>
    <s v="85722.65"/>
    <s v="2008"/>
    <s v="50k-100k"/>
    <x v="0"/>
    <s v="Auto"/>
    <s v=""/>
    <s v="Hyundai"/>
    <n v="85722.65"/>
  </r>
  <r>
    <n v="968"/>
    <x v="7"/>
    <x v="8"/>
    <n v="111108"/>
    <x v="0"/>
    <x v="1"/>
    <s v="Third"/>
    <n v="4472"/>
    <s v="597.6"/>
    <s v="16.64"/>
    <n v="7"/>
    <s v="23765.37"/>
    <s v="2014"/>
    <s v="100k-150k"/>
    <x v="0"/>
    <s v="Auto"/>
    <s v=""/>
    <s v="Honda"/>
    <n v="23765.37"/>
  </r>
  <r>
    <n v="969"/>
    <x v="4"/>
    <x v="0"/>
    <n v="94709"/>
    <x v="3"/>
    <x v="1"/>
    <s v="Third"/>
    <n v="3294"/>
    <s v="308.9"/>
    <s v="28.58"/>
    <n v="7"/>
    <s v="32510.11"/>
    <s v="2005"/>
    <s v="50k-100k"/>
    <x v="0"/>
    <s v="Auto"/>
    <s v=""/>
    <s v="Volkswagen"/>
    <n v="32510.11"/>
  </r>
  <r>
    <n v="970"/>
    <x v="3"/>
    <x v="18"/>
    <n v="59869"/>
    <x v="3"/>
    <x v="1"/>
    <s v="First"/>
    <n v="1792"/>
    <s v="312.1"/>
    <s v="28.29"/>
    <n v="2"/>
    <s v="97855.46"/>
    <s v="2022"/>
    <s v="50k-100k"/>
    <x v="0"/>
    <s v="Auto"/>
    <s v=""/>
    <s v="Mercedes"/>
    <n v="97855.46"/>
  </r>
  <r>
    <n v="971"/>
    <x v="4"/>
    <x v="7"/>
    <n v="131888"/>
    <x v="1"/>
    <x v="0"/>
    <s v="Third"/>
    <n v="2921"/>
    <s v="356.9"/>
    <s v="10.17"/>
    <n v="5"/>
    <s v="113818.96"/>
    <s v="2009"/>
    <s v="100k-150k"/>
    <x v="0"/>
    <s v="Manual"/>
    <s v=""/>
    <s v="Volkswagen"/>
    <n v="113818.96"/>
  </r>
  <r>
    <n v="972"/>
    <x v="8"/>
    <x v="1"/>
    <n v="68095"/>
    <x v="1"/>
    <x v="0"/>
    <s v="First"/>
    <n v="3384"/>
    <s v="553.4"/>
    <s v="13.96"/>
    <n v="5"/>
    <s v="18904.13"/>
    <s v="2019"/>
    <s v="50k-100k"/>
    <x v="0"/>
    <s v="Manual"/>
    <s v=""/>
    <s v="Toyota"/>
    <n v="18904.13"/>
  </r>
  <r>
    <n v="973"/>
    <x v="6"/>
    <x v="9"/>
    <n v="122886"/>
    <x v="0"/>
    <x v="0"/>
    <s v="First"/>
    <n v="4996"/>
    <s v="488.5"/>
    <s v="8.73"/>
    <n v="6"/>
    <s v="61225.0"/>
    <s v="2021"/>
    <s v="100k-150k"/>
    <x v="0"/>
    <s v="Manual"/>
    <s v=""/>
    <s v="Hyundai"/>
    <n v="61225"/>
  </r>
  <r>
    <n v="974"/>
    <x v="6"/>
    <x v="14"/>
    <n v="75910"/>
    <x v="2"/>
    <x v="0"/>
    <s v="Third"/>
    <n v="3023"/>
    <s v="292.6"/>
    <s v="17.75"/>
    <n v="5"/>
    <s v="28058.62"/>
    <s v="2007"/>
    <s v="50k-100k"/>
    <x v="0"/>
    <s v="Manual"/>
    <s v=""/>
    <s v="Hyundai"/>
    <n v="28058.62"/>
  </r>
  <r>
    <n v="975"/>
    <x v="1"/>
    <x v="4"/>
    <n v="28567"/>
    <x v="2"/>
    <x v="0"/>
    <s v="First"/>
    <n v="3988"/>
    <s v="442.5"/>
    <s v="16.51"/>
    <n v="5"/>
    <s v="10028.56"/>
    <s v="2016"/>
    <s v="&lt;50k"/>
    <x v="0"/>
    <s v="Manual"/>
    <s v=""/>
    <s v="BMW"/>
    <n v="10028.56"/>
  </r>
  <r>
    <n v="976"/>
    <x v="2"/>
    <x v="16"/>
    <n v="40292"/>
    <x v="3"/>
    <x v="1"/>
    <s v="Second"/>
    <n v="4037"/>
    <s v="368.3"/>
    <s v="27.52"/>
    <n v="7"/>
    <s v="41083.89"/>
    <s v="2006"/>
    <s v="&lt;50k"/>
    <x v="0"/>
    <s v="Auto"/>
    <s v=""/>
    <s v="Kia"/>
    <n v="41083.89"/>
  </r>
  <r>
    <n v="977"/>
    <x v="1"/>
    <x v="0"/>
    <n v="79813"/>
    <x v="0"/>
    <x v="0"/>
    <s v="Second"/>
    <n v="4936"/>
    <s v="315.7"/>
    <s v="28.25"/>
    <n v="4"/>
    <s v="19811.45"/>
    <s v="2005"/>
    <s v="50k-100k"/>
    <x v="0"/>
    <s v="Manual"/>
    <s v=""/>
    <s v="BMW"/>
    <n v="19811.45"/>
  </r>
  <r>
    <n v="978"/>
    <x v="2"/>
    <x v="9"/>
    <n v="102136"/>
    <x v="1"/>
    <x v="0"/>
    <s v="Third"/>
    <n v="1143"/>
    <s v="147.7"/>
    <s v="14.59"/>
    <n v="5"/>
    <s v="86062.17"/>
    <s v="2021"/>
    <s v="100k-150k"/>
    <x v="0"/>
    <s v="Manual"/>
    <s v=""/>
    <s v="Kia"/>
    <n v="86062.17"/>
  </r>
  <r>
    <n v="979"/>
    <x v="2"/>
    <x v="6"/>
    <n v="56631"/>
    <x v="3"/>
    <x v="0"/>
    <s v="Second"/>
    <n v="3076"/>
    <s v="299.8"/>
    <s v="17.29"/>
    <n v="5"/>
    <s v="65445.87"/>
    <s v="2020"/>
    <s v="50k-100k"/>
    <x v="0"/>
    <s v="Manual"/>
    <s v=""/>
    <s v="Kia"/>
    <n v="65445.87"/>
  </r>
  <r>
    <n v="980"/>
    <x v="3"/>
    <x v="7"/>
    <n v="14885"/>
    <x v="0"/>
    <x v="1"/>
    <s v="First"/>
    <n v="4001"/>
    <s v="177.7"/>
    <s v="27.41"/>
    <n v="2"/>
    <s v="19828.63"/>
    <s v="2009"/>
    <s v="&lt;50k"/>
    <x v="0"/>
    <s v="Auto"/>
    <s v=""/>
    <s v="Mercedes"/>
    <n v="19828.63"/>
  </r>
  <r>
    <n v="981"/>
    <x v="1"/>
    <x v="1"/>
    <n v="195731"/>
    <x v="2"/>
    <x v="1"/>
    <s v="Second"/>
    <n v="1688"/>
    <s v="552.3"/>
    <s v="25.17"/>
    <n v="6"/>
    <s v="4081.27"/>
    <s v="2019"/>
    <s v="150k+"/>
    <x v="0"/>
    <s v="Auto"/>
    <s v=""/>
    <s v="BMW"/>
    <n v="4081.27"/>
  </r>
  <r>
    <n v="982"/>
    <x v="7"/>
    <x v="14"/>
    <n v="190378"/>
    <x v="0"/>
    <x v="0"/>
    <s v="Third"/>
    <n v="2843"/>
    <s v="227.8"/>
    <s v="5.09"/>
    <n v="2"/>
    <s v="97554.37"/>
    <s v="2007"/>
    <s v="150k+"/>
    <x v="0"/>
    <s v="Manual"/>
    <s v=""/>
    <s v="Honda"/>
    <n v="97554.37"/>
  </r>
  <r>
    <n v="983"/>
    <x v="5"/>
    <x v="17"/>
    <n v="71314"/>
    <x v="2"/>
    <x v="1"/>
    <s v="Third"/>
    <n v="2141"/>
    <s v="573.3"/>
    <s v="13.0"/>
    <n v="7"/>
    <s v="23614.75"/>
    <s v="2011"/>
    <s v="50k-100k"/>
    <x v="0"/>
    <s v="Auto"/>
    <s v=""/>
    <s v="Ford"/>
    <n v="23614.75"/>
  </r>
  <r>
    <n v="984"/>
    <x v="5"/>
    <x v="3"/>
    <n v="70087"/>
    <x v="0"/>
    <x v="0"/>
    <s v="First"/>
    <n v="4520"/>
    <s v="338.5"/>
    <s v="15.54"/>
    <n v="4"/>
    <s v="73927.35"/>
    <s v="2015"/>
    <s v="50k-100k"/>
    <x v="0"/>
    <s v="Manual"/>
    <s v=""/>
    <s v="Ford"/>
    <n v="73927.350000000006"/>
  </r>
  <r>
    <n v="985"/>
    <x v="1"/>
    <x v="8"/>
    <n v="165237"/>
    <x v="3"/>
    <x v="0"/>
    <s v="Third"/>
    <n v="3683"/>
    <s v="393.7"/>
    <s v="10.74"/>
    <n v="6"/>
    <s v="42419.86"/>
    <s v="2014"/>
    <s v="150k+"/>
    <x v="0"/>
    <s v="Manual"/>
    <s v=""/>
    <s v="BMW"/>
    <n v="42419.86"/>
  </r>
  <r>
    <n v="986"/>
    <x v="1"/>
    <x v="10"/>
    <n v="195001"/>
    <x v="2"/>
    <x v="1"/>
    <s v="Second"/>
    <n v="3215"/>
    <s v="344.0"/>
    <s v="9.99"/>
    <n v="2"/>
    <s v="71501.85"/>
    <s v="2013"/>
    <s v="150k+"/>
    <x v="0"/>
    <s v="Auto"/>
    <s v=""/>
    <s v="BMW"/>
    <n v="71501.850000000006"/>
  </r>
  <r>
    <n v="987"/>
    <x v="4"/>
    <x v="12"/>
    <n v="100998"/>
    <x v="3"/>
    <x v="1"/>
    <s v="Third"/>
    <n v="1917"/>
    <s v="112.5"/>
    <s v="5.94"/>
    <n v="5"/>
    <s v="39931.47"/>
    <s v="2018"/>
    <s v="100k-150k"/>
    <x v="0"/>
    <s v="Auto"/>
    <s v=""/>
    <s v="Volkswagen"/>
    <n v="39931.47"/>
  </r>
  <r>
    <n v="988"/>
    <x v="3"/>
    <x v="19"/>
    <n v="54812"/>
    <x v="3"/>
    <x v="0"/>
    <s v="First"/>
    <n v="3801"/>
    <s v="250.5"/>
    <s v="21.08"/>
    <n v="5"/>
    <s v="13171.93"/>
    <s v="2017"/>
    <s v="50k-100k"/>
    <x v="0"/>
    <s v="Manual"/>
    <s v=""/>
    <s v="Mercedes"/>
    <n v="13171.93"/>
  </r>
  <r>
    <n v="989"/>
    <x v="1"/>
    <x v="16"/>
    <n v="186572"/>
    <x v="2"/>
    <x v="0"/>
    <s v="Third"/>
    <n v="2538"/>
    <s v="95.5"/>
    <s v="11.56"/>
    <n v="6"/>
    <s v="29085.15"/>
    <s v="2006"/>
    <s v="150k+"/>
    <x v="0"/>
    <s v="Manual"/>
    <s v=""/>
    <s v="BMW"/>
    <n v="29085.15"/>
  </r>
  <r>
    <n v="990"/>
    <x v="4"/>
    <x v="14"/>
    <n v="63643"/>
    <x v="2"/>
    <x v="1"/>
    <s v="Second"/>
    <n v="2164"/>
    <s v="388.9"/>
    <s v="6.31"/>
    <n v="5"/>
    <s v="25002.85"/>
    <s v="2007"/>
    <s v="50k-100k"/>
    <x v="0"/>
    <s v="Auto"/>
    <s v=""/>
    <s v="Volkswagen"/>
    <n v="25002.85"/>
  </r>
  <r>
    <n v="991"/>
    <x v="2"/>
    <x v="17"/>
    <n v="49900"/>
    <x v="1"/>
    <x v="0"/>
    <s v="First"/>
    <n v="3508"/>
    <s v="290.2"/>
    <s v="10.77"/>
    <n v="2"/>
    <s v="53078.26"/>
    <s v="2011"/>
    <s v="&lt;50k"/>
    <x v="0"/>
    <s v="Manual"/>
    <s v=""/>
    <s v="Kia"/>
    <n v="53078.26"/>
  </r>
  <r>
    <n v="992"/>
    <x v="6"/>
    <x v="18"/>
    <n v="179018"/>
    <x v="1"/>
    <x v="1"/>
    <s v="Second"/>
    <n v="1724"/>
    <s v="475.7"/>
    <s v="25.05"/>
    <n v="2"/>
    <s v="80019.2"/>
    <s v="2022"/>
    <s v="150k+"/>
    <x v="0"/>
    <s v="Auto"/>
    <s v=""/>
    <s v="Hyundai"/>
    <n v="80019.199999999997"/>
  </r>
  <r>
    <n v="993"/>
    <x v="6"/>
    <x v="14"/>
    <n v="143923"/>
    <x v="1"/>
    <x v="0"/>
    <s v="First"/>
    <n v="951"/>
    <s v="163.5"/>
    <s v="26.29"/>
    <n v="5"/>
    <s v="33865.31"/>
    <s v="2007"/>
    <s v="100k-150k"/>
    <x v="0"/>
    <s v="Manual"/>
    <s v=""/>
    <s v="Hyundai"/>
    <n v="33865.31"/>
  </r>
  <r>
    <n v="994"/>
    <x v="2"/>
    <x v="8"/>
    <n v="21288"/>
    <x v="3"/>
    <x v="1"/>
    <s v="Third"/>
    <n v="1385"/>
    <s v="132.2"/>
    <s v="17.08"/>
    <n v="5"/>
    <s v="4412.18"/>
    <s v="2014"/>
    <s v="&lt;50k"/>
    <x v="0"/>
    <s v="Auto"/>
    <s v=""/>
    <s v="Kia"/>
    <n v="4412.18"/>
  </r>
  <r>
    <n v="995"/>
    <x v="0"/>
    <x v="17"/>
    <n v="77692"/>
    <x v="3"/>
    <x v="0"/>
    <s v="First"/>
    <n v="1712"/>
    <s v="267.5"/>
    <s v="15.4"/>
    <n v="7"/>
    <s v="63715.67"/>
    <s v="2011"/>
    <s v="50k-100k"/>
    <x v="0"/>
    <s v="Manual"/>
    <s v=""/>
    <s v="Audi"/>
    <n v="63715.67"/>
  </r>
  <r>
    <n v="996"/>
    <x v="4"/>
    <x v="10"/>
    <n v="143440"/>
    <x v="1"/>
    <x v="0"/>
    <s v="First"/>
    <n v="3121"/>
    <s v="558.9"/>
    <s v="29.45"/>
    <n v="4"/>
    <s v="73873.86"/>
    <s v="2013"/>
    <s v="100k-150k"/>
    <x v="0"/>
    <s v="Manual"/>
    <s v=""/>
    <s v="Volkswagen"/>
    <n v="73873.86"/>
  </r>
  <r>
    <n v="997"/>
    <x v="4"/>
    <x v="9"/>
    <n v="90436"/>
    <x v="3"/>
    <x v="1"/>
    <s v="Third"/>
    <n v="1295"/>
    <s v="437.8"/>
    <s v="10.01"/>
    <n v="6"/>
    <s v="115655.85"/>
    <s v="2021"/>
    <s v="50k-100k"/>
    <x v="0"/>
    <s v="Auto"/>
    <s v=""/>
    <s v="Volkswagen"/>
    <n v="115655.85"/>
  </r>
  <r>
    <n v="998"/>
    <x v="2"/>
    <x v="3"/>
    <n v="51403"/>
    <x v="3"/>
    <x v="0"/>
    <s v="Second"/>
    <n v="4595"/>
    <s v="274.6"/>
    <s v="10.38"/>
    <n v="2"/>
    <s v="71968.08"/>
    <s v="2015"/>
    <s v="50k-100k"/>
    <x v="0"/>
    <s v="Manual"/>
    <s v=""/>
    <s v="Kia"/>
    <n v="71968.08"/>
  </r>
  <r>
    <n v="999"/>
    <x v="7"/>
    <x v="17"/>
    <n v="96170"/>
    <x v="2"/>
    <x v="0"/>
    <s v="Third"/>
    <n v="2948"/>
    <s v="329.7"/>
    <s v="12.3"/>
    <n v="6"/>
    <s v="58127.19"/>
    <s v="2011"/>
    <s v="50k-100k"/>
    <x v="0"/>
    <s v="Manual"/>
    <s v=""/>
    <s v="Honda"/>
    <n v="58127.19"/>
  </r>
  <r>
    <n v="1000"/>
    <x v="9"/>
    <x v="12"/>
    <n v="14168"/>
    <x v="2"/>
    <x v="1"/>
    <s v="First"/>
    <n v="1356"/>
    <s v="87.2"/>
    <s v="9.32"/>
    <n v="7"/>
    <s v="70087.99"/>
    <s v="2018"/>
    <s v="&lt;50k"/>
    <x v="0"/>
    <s v="Auto"/>
    <s v=""/>
    <s v="Nissan"/>
    <n v="70087.99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F102EF-F337-40E9-9B0E-3685C8CFF78B}" name="Pivot_Fuel"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G9" firstHeaderRow="1" firstDataRow="2" firstDataCol="1"/>
  <pivotFields count="19">
    <pivotField dataField="1" showAll="0"/>
    <pivotField showAll="0">
      <items count="11">
        <item x="0"/>
        <item x="1"/>
        <item x="5"/>
        <item x="7"/>
        <item x="6"/>
        <item x="2"/>
        <item x="3"/>
        <item x="9"/>
        <item x="8"/>
        <item x="4"/>
        <item t="default"/>
      </items>
    </pivotField>
    <pivotField showAll="0">
      <items count="21">
        <item x="0"/>
        <item x="16"/>
        <item x="14"/>
        <item x="5"/>
        <item x="7"/>
        <item x="15"/>
        <item x="17"/>
        <item x="2"/>
        <item x="10"/>
        <item x="8"/>
        <item x="3"/>
        <item x="4"/>
        <item x="19"/>
        <item x="12"/>
        <item x="1"/>
        <item x="6"/>
        <item x="9"/>
        <item x="18"/>
        <item x="11"/>
        <item x="13"/>
        <item t="default"/>
      </items>
    </pivotField>
    <pivotField showAll="0"/>
    <pivotField axis="axisRow" showAll="0">
      <items count="5">
        <item x="0"/>
        <item x="3"/>
        <item x="1"/>
        <item x="2"/>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s>
  <rowFields count="1">
    <field x="4"/>
  </rowFields>
  <rowItems count="5">
    <i>
      <x/>
    </i>
    <i>
      <x v="1"/>
    </i>
    <i>
      <x v="2"/>
    </i>
    <i>
      <x v="3"/>
    </i>
    <i t="grand">
      <x/>
    </i>
  </rowItems>
  <colFields count="1">
    <field x="5"/>
  </colFields>
  <colItems count="3">
    <i>
      <x/>
    </i>
    <i>
      <x v="1"/>
    </i>
    <i t="grand">
      <x/>
    </i>
  </colItems>
  <dataFields count="1">
    <dataField name="Count of Car_ID"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895480-79CC-4D48-9040-9DB6DF8B5ADB}" name="Pivot_Brand"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19">
    <pivotField showAll="0"/>
    <pivotField axis="axisRow" showAll="0">
      <items count="11">
        <item x="0"/>
        <item x="1"/>
        <item x="5"/>
        <item x="7"/>
        <item x="6"/>
        <item x="2"/>
        <item x="3"/>
        <item x="9"/>
        <item x="8"/>
        <item x="4"/>
        <item t="default"/>
      </items>
    </pivotField>
    <pivotField showAll="0">
      <items count="21">
        <item x="0"/>
        <item x="16"/>
        <item x="14"/>
        <item x="5"/>
        <item x="7"/>
        <item x="15"/>
        <item x="17"/>
        <item x="2"/>
        <item x="10"/>
        <item x="8"/>
        <item x="3"/>
        <item x="4"/>
        <item x="19"/>
        <item x="12"/>
        <item x="1"/>
        <item x="6"/>
        <item x="9"/>
        <item x="18"/>
        <item x="11"/>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1">
    <i>
      <x/>
    </i>
    <i>
      <x v="1"/>
    </i>
    <i>
      <x v="2"/>
    </i>
    <i>
      <x v="3"/>
    </i>
    <i>
      <x v="4"/>
    </i>
    <i>
      <x v="5"/>
    </i>
    <i>
      <x v="6"/>
    </i>
    <i>
      <x v="7"/>
    </i>
    <i>
      <x v="8"/>
    </i>
    <i>
      <x v="9"/>
    </i>
    <i t="grand">
      <x/>
    </i>
  </rowItems>
  <colItems count="1">
    <i/>
  </colItems>
  <dataFields count="1">
    <dataField name="Average of Price_USD_Num" fld="18" subtotal="average" baseField="1" baseItem="0" numFmtId="164"/>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C456CA-3229-4274-AADA-7929EFAB19A1}" autoFormatId="16" applyNumberFormats="0" applyBorderFormats="0" applyFontFormats="0" applyPatternFormats="0" applyAlignmentFormats="0" applyWidthHeightFormats="0">
  <queryTableRefresh nextId="21" unboundColumnsRight="7">
    <queryTableFields count="19">
      <queryTableField id="1" name="Car_ID" tableColumnId="1"/>
      <queryTableField id="2" name="Brand" tableColumnId="2"/>
      <queryTableField id="3" name="Model_Year" tableColumnId="3"/>
      <queryTableField id="4" name="Kilometers_Driven" tableColumnId="4"/>
      <queryTableField id="5" name="Fuel_Type" tableColumnId="5"/>
      <queryTableField id="6" name="Transmission" tableColumnId="6"/>
      <queryTableField id="7" name="Owner_Type" tableColumnId="7"/>
      <queryTableField id="8" name="Engine_CC" tableColumnId="8"/>
      <queryTableField id="9" name="Max_Power_bhp" tableColumnId="9"/>
      <queryTableField id="10" name="Mileage_kmpl" tableColumnId="10"/>
      <queryTableField id="11" name="Seats" tableColumnId="11"/>
      <queryTableField id="12" name="Price_USD" tableColumnId="12"/>
      <queryTableField id="14" dataBound="0" tableColumnId="13"/>
      <queryTableField id="15" dataBound="0" tableColumnId="14"/>
      <queryTableField id="16" dataBound="0" tableColumnId="15"/>
      <queryTableField id="17" dataBound="0" tableColumnId="16"/>
      <queryTableField id="18" dataBound="0" tableColumnId="17"/>
      <queryTableField id="19" dataBound="0" tableColumnId="18"/>
      <queryTableField id="20"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73158DEE-2EB5-4674-85DA-E8A5A5859B47}" sourceName="Brand">
  <pivotTables>
    <pivotTable tabId="5" name="Pivot_Fuel"/>
  </pivotTables>
  <data>
    <tabular pivotCacheId="1211587945">
      <items count="10">
        <i x="0" s="1"/>
        <i x="1" s="1"/>
        <i x="5" s="1"/>
        <i x="7" s="1"/>
        <i x="6" s="1"/>
        <i x="2" s="1"/>
        <i x="3" s="1"/>
        <i x="9" s="1"/>
        <i x="8"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_Year" xr10:uid="{AEC87B5E-F765-4F94-9FF9-F578061E64DD}" sourceName="Model_Year">
  <pivotTables>
    <pivotTable tabId="5" name="Pivot_Fuel"/>
    <pivotTable tabId="5" name="Pivot_Brand"/>
  </pivotTables>
  <data>
    <tabular pivotCacheId="1211587945">
      <items count="20">
        <i x="0" s="1"/>
        <i x="16" s="1"/>
        <i x="14" s="1"/>
        <i x="5" s="1"/>
        <i x="7" s="1"/>
        <i x="15" s="1"/>
        <i x="17" s="1"/>
        <i x="2" s="1"/>
        <i x="10" s="1"/>
        <i x="8" s="1"/>
        <i x="3" s="1"/>
        <i x="4" s="1"/>
        <i x="19" s="1"/>
        <i x="12" s="1"/>
        <i x="1" s="1"/>
        <i x="6" s="1"/>
        <i x="9" s="1"/>
        <i x="18" s="1"/>
        <i x="11"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043684C3-A81B-42B2-A502-5BB3AADC7B18}" sourceName="Fuel_Type">
  <pivotTables>
    <pivotTable tabId="5" name="Pivot_Fuel"/>
  </pivotTables>
  <data>
    <tabular pivotCacheId="1211587945">
      <items count="4">
        <i x="0"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5A8C3263-BBCE-4107-8C41-41DF0C0923CB}" sourceName="Transmission">
  <pivotTables>
    <pivotTable tabId="5" name="Pivot_Fuel"/>
  </pivotTables>
  <data>
    <tabular pivotCacheId="1211587945">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Band" xr10:uid="{FE5174E1-5E34-4495-88FF-65270C92A41D}" sourceName="Price_Band">
  <pivotTables>
    <pivotTable tabId="5" name="Pivot_Fuel"/>
  </pivotTables>
  <data>
    <tabular pivotCacheId="1211587945">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3EC6FCE1-B465-41CE-A90A-638D52014184}" cache="Slicer_Brand" caption="Brand" startItem="3" rowHeight="247650"/>
  <slicer name="Model_Year" xr10:uid="{7E2A6C13-B781-4B66-998A-0E2C1B540965}" cache="Slicer_Model_Year" caption="Model_Year" startItem="13" rowHeight="247650"/>
  <slicer name="Fuel_Type" xr10:uid="{928CDA70-E862-4C3F-9F12-1C9044CC70FB}" cache="Slicer_Fuel_Type" caption="Fuel_Type" rowHeight="247650"/>
  <slicer name="Transmission" xr10:uid="{6F71AE2A-EED9-4E54-9910-03B314740CC5}" cache="Slicer_Transmission" caption="Transmission" rowHeight="247650"/>
  <slicer name="Price_Band" xr10:uid="{6941FEB1-4C7F-4494-B352-8922B3D9BC7F}" cache="Slicer_Price_Band" caption="Price_Band"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26C2A1-1BF8-460F-9F46-016A5E8195E3}" name="tbl_data" displayName="tbl_data" ref="A1:S1001" tableType="queryTable" totalsRowShown="0">
  <autoFilter ref="A1:S1001" xr:uid="{AF26C2A1-1BF8-460F-9F46-016A5E8195E3}"/>
  <tableColumns count="19">
    <tableColumn id="1" xr3:uid="{E265CCAA-A13E-43FE-A4CB-93F19945997D}" uniqueName="1" name="Car_ID" queryTableFieldId="1"/>
    <tableColumn id="2" xr3:uid="{C4DCF77F-2B38-461E-8E88-3D1F57D516C5}" uniqueName="2" name="Brand" queryTableFieldId="2" dataDxfId="13"/>
    <tableColumn id="3" xr3:uid="{3432422B-F38E-43BF-B9C2-EA012CA07640}" uniqueName="3" name="Model_Year" queryTableFieldId="3"/>
    <tableColumn id="4" xr3:uid="{3635C0B2-F963-4F9A-AA62-3161CB2D396B}" uniqueName="4" name="Kilometers_Driven" queryTableFieldId="4"/>
    <tableColumn id="5" xr3:uid="{EE70A599-0D66-4288-812E-1EDA3FC9A26B}" uniqueName="5" name="Fuel_Type" queryTableFieldId="5" dataDxfId="12"/>
    <tableColumn id="6" xr3:uid="{3BD102B9-BA8B-452D-91F4-487103A7C0C7}" uniqueName="6" name="Transmission" queryTableFieldId="6" dataDxfId="11"/>
    <tableColumn id="7" xr3:uid="{034FA96F-9B6D-4DEB-8FCC-5A350BD0AF04}" uniqueName="7" name="Owner_Type" queryTableFieldId="7" dataDxfId="10"/>
    <tableColumn id="8" xr3:uid="{D7C7917D-0E0A-4781-9AB4-E85337A0202E}" uniqueName="8" name="Engine_CC" queryTableFieldId="8"/>
    <tableColumn id="9" xr3:uid="{89E82E2E-203C-44BE-87CB-DBB498646CDA}" uniqueName="9" name="Max_Power_bhp" queryTableFieldId="9" dataDxfId="9"/>
    <tableColumn id="10" xr3:uid="{A6370D52-DA2A-49F6-9466-54F55C4E6357}" uniqueName="10" name="Mileage_kmpl" queryTableFieldId="10" dataDxfId="8"/>
    <tableColumn id="11" xr3:uid="{372DDC36-DE99-47DD-80FB-E994CD6FEC45}" uniqueName="11" name="Seats" queryTableFieldId="11"/>
    <tableColumn id="12" xr3:uid="{EB160BC2-EE86-4185-8508-010A854E1D24}" uniqueName="12" name="Price_USD" queryTableFieldId="12" dataDxfId="7"/>
    <tableColumn id="13" xr3:uid="{989C50B6-4A59-4625-B589-C62AECD71610}" uniqueName="13" name="YearMonth" queryTableFieldId="14" dataDxfId="6">
      <calculatedColumnFormula>TEXT(DATE(tbl_data[[#This Row],[Model_Year]],1,1),"yyyy")</calculatedColumnFormula>
    </tableColumn>
    <tableColumn id="14" xr3:uid="{9FAA78A3-1A1C-4389-8A28-C990AB8FC510}" uniqueName="14" name="KM_Band" queryTableFieldId="15" dataDxfId="5">
      <calculatedColumnFormula>IF(tbl_data[[#This Row],[Kilometers_Driven]]&lt;50000,"&lt;50k",
IF(tbl_data[[#This Row],[Kilometers_Driven]]&lt;100000,"50k-100k",
IF(tbl_data[[#This Row],[Kilometers_Driven]]&lt;150000,"100k-150k","150k+")))</calculatedColumnFormula>
    </tableColumn>
    <tableColumn id="15" xr3:uid="{E980EACB-21E7-42B0-8953-AEBCD6D872D0}" uniqueName="15" name="Price_Band" queryTableFieldId="16" dataDxfId="4">
      <calculatedColumnFormula>IF(tbl_data[[#This Row],[Price_USD]]&gt;=87089,"High",
IF(tbl_data[[#This Row],[Price_USD]]&gt;=56807,"Mid","Low"))</calculatedColumnFormula>
    </tableColumn>
    <tableColumn id="16" xr3:uid="{BE0066C2-07E4-4F70-95E4-24631B0124DD}" uniqueName="16" name="Auto_Flag" queryTableFieldId="17" dataDxfId="3">
      <calculatedColumnFormula>IF(tbl_data[[#This Row],[Transmission]]="Automatic","Auto","Manual")</calculatedColumnFormula>
    </tableColumn>
    <tableColumn id="17" xr3:uid="{23C7D025-47A8-4CD5-9844-81114CA85647}" uniqueName="17" name="Price_per_CC" queryTableFieldId="18" dataDxfId="2">
      <calculatedColumnFormula>IFERROR(IF(VALUE(tbl_data[[#This Row],[Engine_CC]])=0,"",VALUE(tbl_data[[#This Row],[Price_USD]])/VALUE(tbl_data[[#This Row],[Engine_CC]])),"")</calculatedColumnFormula>
    </tableColumn>
    <tableColumn id="18" xr3:uid="{0DB0F6F1-2D83-43DE-B534-BC04064FD213}" uniqueName="18" name="Brand_Clean" queryTableFieldId="19" dataDxfId="1">
      <calculatedColumnFormula>TRIM(tbl_data[[#This Row],[Brand]])</calculatedColumnFormula>
    </tableColumn>
    <tableColumn id="19" xr3:uid="{47FF8855-EF16-425F-8F32-F57938702A60}" uniqueName="19" name="Price_USD_Num" queryTableFieldId="20" dataDxfId="0">
      <calculatedColumnFormula>_xlfn.NUMBERVALUE(tbl_data[[#This Row],[Price_USD]],".",",")</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DED22-7946-4A93-8296-30755A845134}">
  <dimension ref="A1:S1001"/>
  <sheetViews>
    <sheetView workbookViewId="0">
      <selection activeCell="S3" sqref="S3"/>
    </sheetView>
  </sheetViews>
  <sheetFormatPr defaultRowHeight="14.4" x14ac:dyDescent="0.3"/>
  <cols>
    <col min="1" max="1" width="13.33203125" customWidth="1"/>
    <col min="2" max="2" width="14.109375" customWidth="1"/>
    <col min="3" max="3" width="15.5546875" customWidth="1"/>
    <col min="4" max="4" width="18.5546875" bestFit="1" customWidth="1"/>
    <col min="5" max="5" width="14" customWidth="1"/>
    <col min="6" max="6" width="14.21875" bestFit="1" customWidth="1"/>
    <col min="7" max="7" width="13.21875" bestFit="1" customWidth="1"/>
    <col min="8" max="8" width="14.6640625" customWidth="1"/>
    <col min="9" max="9" width="16.5546875" bestFit="1" customWidth="1"/>
    <col min="10" max="10" width="14.77734375" bestFit="1" customWidth="1"/>
    <col min="11" max="11" width="7.88671875" bestFit="1" customWidth="1"/>
    <col min="12" max="12" width="11.88671875" bestFit="1" customWidth="1"/>
    <col min="13" max="13" width="15.5546875" customWidth="1"/>
    <col min="14" max="14" width="10.77734375" bestFit="1" customWidth="1"/>
    <col min="15" max="16" width="13.109375" customWidth="1"/>
    <col min="17" max="17" width="17.77734375" customWidth="1"/>
    <col min="18" max="18" width="13.21875" customWidth="1"/>
    <col min="19" max="19" width="17.77734375" customWidth="1"/>
  </cols>
  <sheetData>
    <row r="1" spans="1:19" x14ac:dyDescent="0.3">
      <c r="A1" t="s">
        <v>0</v>
      </c>
      <c r="B1" t="s">
        <v>1</v>
      </c>
      <c r="C1" t="s">
        <v>2</v>
      </c>
      <c r="D1" t="s">
        <v>3</v>
      </c>
      <c r="E1" t="s">
        <v>4</v>
      </c>
      <c r="F1" t="s">
        <v>5</v>
      </c>
      <c r="G1" t="s">
        <v>6</v>
      </c>
      <c r="H1" t="s">
        <v>7</v>
      </c>
      <c r="I1" t="s">
        <v>8</v>
      </c>
      <c r="J1" t="s">
        <v>9</v>
      </c>
      <c r="K1" t="s">
        <v>10</v>
      </c>
      <c r="L1" t="s">
        <v>11</v>
      </c>
      <c r="M1" t="s">
        <v>2785</v>
      </c>
      <c r="N1" t="s">
        <v>2786</v>
      </c>
      <c r="O1" t="s">
        <v>2787</v>
      </c>
      <c r="P1" t="s">
        <v>2788</v>
      </c>
      <c r="Q1" t="s">
        <v>2789</v>
      </c>
      <c r="R1" t="s">
        <v>2793</v>
      </c>
      <c r="S1" t="s">
        <v>2794</v>
      </c>
    </row>
    <row r="2" spans="1:19" x14ac:dyDescent="0.3">
      <c r="A2">
        <v>1</v>
      </c>
      <c r="B2" t="s">
        <v>12</v>
      </c>
      <c r="C2">
        <v>2005</v>
      </c>
      <c r="D2">
        <v>197018</v>
      </c>
      <c r="E2" t="s">
        <v>13</v>
      </c>
      <c r="F2" t="s">
        <v>14</v>
      </c>
      <c r="G2" t="s">
        <v>15</v>
      </c>
      <c r="H2">
        <v>4046</v>
      </c>
      <c r="I2" t="s">
        <v>16</v>
      </c>
      <c r="J2" t="s">
        <v>17</v>
      </c>
      <c r="K2">
        <v>6</v>
      </c>
      <c r="L2" t="s">
        <v>18</v>
      </c>
      <c r="M2" s="1" t="str">
        <f>TEXT(DATE(tbl_data[[#This Row],[Model_Year]],1,1),"yyyy")</f>
        <v>2005</v>
      </c>
      <c r="N2" s="1" t="str">
        <f>IF(tbl_data[[#This Row],[Kilometers_Driven]]&lt;50000,"&lt;50k",
IF(tbl_data[[#This Row],[Kilometers_Driven]]&lt;100000,"50k-100k",
IF(tbl_data[[#This Row],[Kilometers_Driven]]&lt;150000,"100k-150k","150k+")))</f>
        <v>150k+</v>
      </c>
      <c r="O2" s="1" t="str">
        <f>IF(tbl_data[[#This Row],[Price_USD]]&gt;=87089,"High",
IF(tbl_data[[#This Row],[Price_USD]]&gt;=56807,"Mid","Low"))</f>
        <v>High</v>
      </c>
      <c r="P2" s="1" t="str">
        <f>IF(tbl_data[[#This Row],[Transmission]]="Automatic","Auto","Manual")</f>
        <v>Manual</v>
      </c>
      <c r="Q2" s="1" t="str">
        <f>IFERROR(IF(VALUE(tbl_data[[#This Row],[Engine_CC]])=0,"",VALUE(tbl_data[[#This Row],[Price_USD]])/VALUE(tbl_data[[#This Row],[Engine_CC]])),"")</f>
        <v/>
      </c>
      <c r="R2" s="1" t="str">
        <f>TRIM(tbl_data[[#This Row],[Brand]])</f>
        <v>Audi</v>
      </c>
      <c r="S2" s="1">
        <f>_xlfn.NUMBERVALUE(tbl_data[[#This Row],[Price_USD]],".",",")</f>
        <v>119611.94</v>
      </c>
    </row>
    <row r="3" spans="1:19" x14ac:dyDescent="0.3">
      <c r="A3">
        <v>2</v>
      </c>
      <c r="B3" t="s">
        <v>19</v>
      </c>
      <c r="C3">
        <v>2019</v>
      </c>
      <c r="D3">
        <v>43467</v>
      </c>
      <c r="E3" t="s">
        <v>20</v>
      </c>
      <c r="F3" t="s">
        <v>21</v>
      </c>
      <c r="G3" t="s">
        <v>15</v>
      </c>
      <c r="H3">
        <v>3731</v>
      </c>
      <c r="I3" t="s">
        <v>22</v>
      </c>
      <c r="J3" t="s">
        <v>23</v>
      </c>
      <c r="K3">
        <v>5</v>
      </c>
      <c r="L3" t="s">
        <v>24</v>
      </c>
      <c r="M3" s="1" t="str">
        <f>TEXT(DATE(tbl_data[[#This Row],[Model_Year]],1,1),"yyyy")</f>
        <v>2019</v>
      </c>
      <c r="N3" s="1" t="str">
        <f>IF(tbl_data[[#This Row],[Kilometers_Driven]]&lt;50000,"&lt;50k",
IF(tbl_data[[#This Row],[Kilometers_Driven]]&lt;100000,"50k-100k",
IF(tbl_data[[#This Row],[Kilometers_Driven]]&lt;150000,"100k-150k","150k+")))</f>
        <v>&lt;50k</v>
      </c>
      <c r="O3" s="1" t="str">
        <f>IF(tbl_data[[#This Row],[Price_USD]]&gt;=87089,"High",
IF(tbl_data[[#This Row],[Price_USD]]&gt;=56807,"Mid","Low"))</f>
        <v>High</v>
      </c>
      <c r="P3" s="1" t="str">
        <f>IF(tbl_data[[#This Row],[Transmission]]="Automatic","Auto","Manual")</f>
        <v>Auto</v>
      </c>
      <c r="Q3" s="1" t="str">
        <f>IFERROR(IF(VALUE(tbl_data[[#This Row],[Engine_CC]])=0,"",VALUE(tbl_data[[#This Row],[Price_USD]])/VALUE(tbl_data[[#This Row],[Engine_CC]])),"")</f>
        <v/>
      </c>
      <c r="R3" s="1" t="str">
        <f>TRIM(tbl_data[[#This Row],[Brand]])</f>
        <v>BMW</v>
      </c>
      <c r="S3" s="1">
        <f>_xlfn.NUMBERVALUE(tbl_data[[#This Row],[Price_USD]],".",",")</f>
        <v>90842.46</v>
      </c>
    </row>
    <row r="4" spans="1:19" x14ac:dyDescent="0.3">
      <c r="A4">
        <v>3</v>
      </c>
      <c r="B4" t="s">
        <v>25</v>
      </c>
      <c r="C4">
        <v>2012</v>
      </c>
      <c r="D4">
        <v>153697</v>
      </c>
      <c r="E4" t="s">
        <v>20</v>
      </c>
      <c r="F4" t="s">
        <v>21</v>
      </c>
      <c r="G4" t="s">
        <v>26</v>
      </c>
      <c r="H4">
        <v>4925</v>
      </c>
      <c r="I4" t="s">
        <v>27</v>
      </c>
      <c r="J4" t="s">
        <v>28</v>
      </c>
      <c r="K4">
        <v>6</v>
      </c>
      <c r="L4" t="s">
        <v>29</v>
      </c>
      <c r="M4" s="1" t="str">
        <f>TEXT(DATE(tbl_data[[#This Row],[Model_Year]],1,1),"yyyy")</f>
        <v>2012</v>
      </c>
      <c r="N4" s="1" t="str">
        <f>IF(tbl_data[[#This Row],[Kilometers_Driven]]&lt;50000,"&lt;50k",
IF(tbl_data[[#This Row],[Kilometers_Driven]]&lt;100000,"50k-100k",
IF(tbl_data[[#This Row],[Kilometers_Driven]]&lt;150000,"100k-150k","150k+")))</f>
        <v>150k+</v>
      </c>
      <c r="O4" s="1" t="str">
        <f>IF(tbl_data[[#This Row],[Price_USD]]&gt;=87089,"High",
IF(tbl_data[[#This Row],[Price_USD]]&gt;=56807,"Mid","Low"))</f>
        <v>High</v>
      </c>
      <c r="P4" s="1" t="str">
        <f>IF(tbl_data[[#This Row],[Transmission]]="Automatic","Auto","Manual")</f>
        <v>Auto</v>
      </c>
      <c r="Q4" s="1" t="str">
        <f>IFERROR(IF(VALUE(tbl_data[[#This Row],[Engine_CC]])=0,"",VALUE(tbl_data[[#This Row],[Price_USD]])/VALUE(tbl_data[[#This Row],[Engine_CC]])),"")</f>
        <v/>
      </c>
      <c r="R4" s="1" t="str">
        <f>TRIM(tbl_data[[#This Row],[Brand]])</f>
        <v>Kia</v>
      </c>
      <c r="S4" s="1">
        <f>_xlfn.NUMBERVALUE(tbl_data[[#This Row],[Price_USD]],".",",")</f>
        <v>78432.240000000005</v>
      </c>
    </row>
    <row r="5" spans="1:19" x14ac:dyDescent="0.3">
      <c r="A5">
        <v>4</v>
      </c>
      <c r="B5" t="s">
        <v>30</v>
      </c>
      <c r="C5">
        <v>2015</v>
      </c>
      <c r="D5">
        <v>38893</v>
      </c>
      <c r="E5" t="s">
        <v>31</v>
      </c>
      <c r="F5" t="s">
        <v>21</v>
      </c>
      <c r="G5" t="s">
        <v>32</v>
      </c>
      <c r="H5">
        <v>3771</v>
      </c>
      <c r="I5" t="s">
        <v>33</v>
      </c>
      <c r="J5" t="s">
        <v>34</v>
      </c>
      <c r="K5">
        <v>6</v>
      </c>
      <c r="L5" t="s">
        <v>35</v>
      </c>
      <c r="M5" s="1" t="str">
        <f>TEXT(DATE(tbl_data[[#This Row],[Model_Year]],1,1),"yyyy")</f>
        <v>2015</v>
      </c>
      <c r="N5" s="1" t="str">
        <f>IF(tbl_data[[#This Row],[Kilometers_Driven]]&lt;50000,"&lt;50k",
IF(tbl_data[[#This Row],[Kilometers_Driven]]&lt;100000,"50k-100k",
IF(tbl_data[[#This Row],[Kilometers_Driven]]&lt;150000,"100k-150k","150k+")))</f>
        <v>&lt;50k</v>
      </c>
      <c r="O5" s="1" t="str">
        <f>IF(tbl_data[[#This Row],[Price_USD]]&gt;=87089,"High",
IF(tbl_data[[#This Row],[Price_USD]]&gt;=56807,"Mid","Low"))</f>
        <v>High</v>
      </c>
      <c r="P5" s="1" t="str">
        <f>IF(tbl_data[[#This Row],[Transmission]]="Automatic","Auto","Manual")</f>
        <v>Auto</v>
      </c>
      <c r="Q5" s="1" t="str">
        <f>IFERROR(IF(VALUE(tbl_data[[#This Row],[Engine_CC]])=0,"",VALUE(tbl_data[[#This Row],[Price_USD]])/VALUE(tbl_data[[#This Row],[Engine_CC]])),"")</f>
        <v/>
      </c>
      <c r="R5" s="1" t="str">
        <f>TRIM(tbl_data[[#This Row],[Brand]])</f>
        <v>Mercedes</v>
      </c>
      <c r="S5" s="1">
        <f>_xlfn.NUMBERVALUE(tbl_data[[#This Row],[Price_USD]],".",",")</f>
        <v>44568.89</v>
      </c>
    </row>
    <row r="6" spans="1:19" x14ac:dyDescent="0.3">
      <c r="A6">
        <v>5</v>
      </c>
      <c r="B6" t="s">
        <v>12</v>
      </c>
      <c r="C6">
        <v>2016</v>
      </c>
      <c r="D6">
        <v>81329</v>
      </c>
      <c r="E6" t="s">
        <v>20</v>
      </c>
      <c r="F6" t="s">
        <v>21</v>
      </c>
      <c r="G6" t="s">
        <v>15</v>
      </c>
      <c r="H6">
        <v>2817</v>
      </c>
      <c r="I6" t="s">
        <v>36</v>
      </c>
      <c r="J6" t="s">
        <v>37</v>
      </c>
      <c r="K6">
        <v>5</v>
      </c>
      <c r="L6" t="s">
        <v>38</v>
      </c>
      <c r="M6" s="1" t="str">
        <f>TEXT(DATE(tbl_data[[#This Row],[Model_Year]],1,1),"yyyy")</f>
        <v>2016</v>
      </c>
      <c r="N6" s="1" t="str">
        <f>IF(tbl_data[[#This Row],[Kilometers_Driven]]&lt;50000,"&lt;50k",
IF(tbl_data[[#This Row],[Kilometers_Driven]]&lt;100000,"50k-100k",
IF(tbl_data[[#This Row],[Kilometers_Driven]]&lt;150000,"100k-150k","150k+")))</f>
        <v>50k-100k</v>
      </c>
      <c r="O6" s="1" t="str">
        <f>IF(tbl_data[[#This Row],[Price_USD]]&gt;=87089,"High",
IF(tbl_data[[#This Row],[Price_USD]]&gt;=56807,"Mid","Low"))</f>
        <v>High</v>
      </c>
      <c r="P6" s="1" t="str">
        <f>IF(tbl_data[[#This Row],[Transmission]]="Automatic","Auto","Manual")</f>
        <v>Auto</v>
      </c>
      <c r="Q6" s="1" t="str">
        <f>IFERROR(IF(VALUE(tbl_data[[#This Row],[Engine_CC]])=0,"",VALUE(tbl_data[[#This Row],[Price_USD]])/VALUE(tbl_data[[#This Row],[Engine_CC]])),"")</f>
        <v/>
      </c>
      <c r="R6" s="1" t="str">
        <f>TRIM(tbl_data[[#This Row],[Brand]])</f>
        <v>Audi</v>
      </c>
      <c r="S6" s="1">
        <f>_xlfn.NUMBERVALUE(tbl_data[[#This Row],[Price_USD]],".",",")</f>
        <v>8751.82</v>
      </c>
    </row>
    <row r="7" spans="1:19" x14ac:dyDescent="0.3">
      <c r="A7">
        <v>6</v>
      </c>
      <c r="B7" t="s">
        <v>39</v>
      </c>
      <c r="C7">
        <v>2016</v>
      </c>
      <c r="D7">
        <v>36007</v>
      </c>
      <c r="E7" t="s">
        <v>31</v>
      </c>
      <c r="F7" t="s">
        <v>21</v>
      </c>
      <c r="G7" t="s">
        <v>26</v>
      </c>
      <c r="H7">
        <v>3215</v>
      </c>
      <c r="I7" t="s">
        <v>40</v>
      </c>
      <c r="J7" t="s">
        <v>41</v>
      </c>
      <c r="K7">
        <v>7</v>
      </c>
      <c r="L7" t="s">
        <v>42</v>
      </c>
      <c r="M7" s="1" t="str">
        <f>TEXT(DATE(tbl_data[[#This Row],[Model_Year]],1,1),"yyyy")</f>
        <v>2016</v>
      </c>
      <c r="N7" s="1" t="str">
        <f>IF(tbl_data[[#This Row],[Kilometers_Driven]]&lt;50000,"&lt;50k",
IF(tbl_data[[#This Row],[Kilometers_Driven]]&lt;100000,"50k-100k",
IF(tbl_data[[#This Row],[Kilometers_Driven]]&lt;150000,"100k-150k","150k+")))</f>
        <v>&lt;50k</v>
      </c>
      <c r="O7" s="1" t="str">
        <f>IF(tbl_data[[#This Row],[Price_USD]]&gt;=87089,"High",
IF(tbl_data[[#This Row],[Price_USD]]&gt;=56807,"Mid","Low"))</f>
        <v>High</v>
      </c>
      <c r="P7" s="1" t="str">
        <f>IF(tbl_data[[#This Row],[Transmission]]="Automatic","Auto","Manual")</f>
        <v>Auto</v>
      </c>
      <c r="Q7" s="1" t="str">
        <f>IFERROR(IF(VALUE(tbl_data[[#This Row],[Engine_CC]])=0,"",VALUE(tbl_data[[#This Row],[Price_USD]])/VALUE(tbl_data[[#This Row],[Engine_CC]])),"")</f>
        <v/>
      </c>
      <c r="R7" s="1" t="str">
        <f>TRIM(tbl_data[[#This Row],[Brand]])</f>
        <v>Volkswagen</v>
      </c>
      <c r="S7" s="1">
        <f>_xlfn.NUMBERVALUE(tbl_data[[#This Row],[Price_USD]],".",",")</f>
        <v>6633.65</v>
      </c>
    </row>
    <row r="8" spans="1:19" x14ac:dyDescent="0.3">
      <c r="A8">
        <v>7</v>
      </c>
      <c r="B8" t="s">
        <v>43</v>
      </c>
      <c r="C8">
        <v>2008</v>
      </c>
      <c r="D8">
        <v>175604</v>
      </c>
      <c r="E8" t="s">
        <v>44</v>
      </c>
      <c r="F8" t="s">
        <v>14</v>
      </c>
      <c r="G8" t="s">
        <v>15</v>
      </c>
      <c r="H8">
        <v>3896</v>
      </c>
      <c r="I8" t="s">
        <v>45</v>
      </c>
      <c r="J8" t="s">
        <v>46</v>
      </c>
      <c r="K8">
        <v>6</v>
      </c>
      <c r="L8" t="s">
        <v>47</v>
      </c>
      <c r="M8" s="1" t="str">
        <f>TEXT(DATE(tbl_data[[#This Row],[Model_Year]],1,1),"yyyy")</f>
        <v>2008</v>
      </c>
      <c r="N8" s="1" t="str">
        <f>IF(tbl_data[[#This Row],[Kilometers_Driven]]&lt;50000,"&lt;50k",
IF(tbl_data[[#This Row],[Kilometers_Driven]]&lt;100000,"50k-100k",
IF(tbl_data[[#This Row],[Kilometers_Driven]]&lt;150000,"100k-150k","150k+")))</f>
        <v>150k+</v>
      </c>
      <c r="O8" s="1" t="str">
        <f>IF(tbl_data[[#This Row],[Price_USD]]&gt;=87089,"High",
IF(tbl_data[[#This Row],[Price_USD]]&gt;=56807,"Mid","Low"))</f>
        <v>High</v>
      </c>
      <c r="P8" s="1" t="str">
        <f>IF(tbl_data[[#This Row],[Transmission]]="Automatic","Auto","Manual")</f>
        <v>Manual</v>
      </c>
      <c r="Q8" s="1" t="str">
        <f>IFERROR(IF(VALUE(tbl_data[[#This Row],[Engine_CC]])=0,"",VALUE(tbl_data[[#This Row],[Price_USD]])/VALUE(tbl_data[[#This Row],[Engine_CC]])),"")</f>
        <v/>
      </c>
      <c r="R8" s="1" t="str">
        <f>TRIM(tbl_data[[#This Row],[Brand]])</f>
        <v>Ford</v>
      </c>
      <c r="S8" s="1">
        <f>_xlfn.NUMBERVALUE(tbl_data[[#This Row],[Price_USD]],".",",")</f>
        <v>67839.210000000006</v>
      </c>
    </row>
    <row r="9" spans="1:19" x14ac:dyDescent="0.3">
      <c r="A9">
        <v>8</v>
      </c>
      <c r="B9" t="s">
        <v>12</v>
      </c>
      <c r="C9">
        <v>2020</v>
      </c>
      <c r="D9">
        <v>59253</v>
      </c>
      <c r="E9" t="s">
        <v>44</v>
      </c>
      <c r="F9" t="s">
        <v>14</v>
      </c>
      <c r="G9" t="s">
        <v>15</v>
      </c>
      <c r="H9">
        <v>2409</v>
      </c>
      <c r="I9" t="s">
        <v>48</v>
      </c>
      <c r="J9" t="s">
        <v>49</v>
      </c>
      <c r="K9">
        <v>6</v>
      </c>
      <c r="L9" t="s">
        <v>50</v>
      </c>
      <c r="M9" s="1" t="str">
        <f>TEXT(DATE(tbl_data[[#This Row],[Model_Year]],1,1),"yyyy")</f>
        <v>2020</v>
      </c>
      <c r="N9" s="1" t="str">
        <f>IF(tbl_data[[#This Row],[Kilometers_Driven]]&lt;50000,"&lt;50k",
IF(tbl_data[[#This Row],[Kilometers_Driven]]&lt;100000,"50k-100k",
IF(tbl_data[[#This Row],[Kilometers_Driven]]&lt;150000,"100k-150k","150k+")))</f>
        <v>50k-100k</v>
      </c>
      <c r="O9" s="1" t="str">
        <f>IF(tbl_data[[#This Row],[Price_USD]]&gt;=87089,"High",
IF(tbl_data[[#This Row],[Price_USD]]&gt;=56807,"Mid","Low"))</f>
        <v>High</v>
      </c>
      <c r="P9" s="1" t="str">
        <f>IF(tbl_data[[#This Row],[Transmission]]="Automatic","Auto","Manual")</f>
        <v>Manual</v>
      </c>
      <c r="Q9" s="1" t="str">
        <f>IFERROR(IF(VALUE(tbl_data[[#This Row],[Engine_CC]])=0,"",VALUE(tbl_data[[#This Row],[Price_USD]])/VALUE(tbl_data[[#This Row],[Engine_CC]])),"")</f>
        <v/>
      </c>
      <c r="R9" s="1" t="str">
        <f>TRIM(tbl_data[[#This Row],[Brand]])</f>
        <v>Audi</v>
      </c>
      <c r="S9" s="1">
        <f>_xlfn.NUMBERVALUE(tbl_data[[#This Row],[Price_USD]],".",",")</f>
        <v>92157.83</v>
      </c>
    </row>
    <row r="10" spans="1:19" x14ac:dyDescent="0.3">
      <c r="A10">
        <v>9</v>
      </c>
      <c r="B10" t="s">
        <v>25</v>
      </c>
      <c r="C10">
        <v>2008</v>
      </c>
      <c r="D10">
        <v>17323</v>
      </c>
      <c r="E10" t="s">
        <v>20</v>
      </c>
      <c r="F10" t="s">
        <v>14</v>
      </c>
      <c r="G10" t="s">
        <v>32</v>
      </c>
      <c r="H10">
        <v>1517</v>
      </c>
      <c r="I10" t="s">
        <v>51</v>
      </c>
      <c r="J10" t="s">
        <v>52</v>
      </c>
      <c r="K10">
        <v>6</v>
      </c>
      <c r="L10" t="s">
        <v>53</v>
      </c>
      <c r="M10" s="1" t="str">
        <f>TEXT(DATE(tbl_data[[#This Row],[Model_Year]],1,1),"yyyy")</f>
        <v>2008</v>
      </c>
      <c r="N10" s="1" t="str">
        <f>IF(tbl_data[[#This Row],[Kilometers_Driven]]&lt;50000,"&lt;50k",
IF(tbl_data[[#This Row],[Kilometers_Driven]]&lt;100000,"50k-100k",
IF(tbl_data[[#This Row],[Kilometers_Driven]]&lt;150000,"100k-150k","150k+")))</f>
        <v>&lt;50k</v>
      </c>
      <c r="O10" s="1" t="str">
        <f>IF(tbl_data[[#This Row],[Price_USD]]&gt;=87089,"High",
IF(tbl_data[[#This Row],[Price_USD]]&gt;=56807,"Mid","Low"))</f>
        <v>High</v>
      </c>
      <c r="P10" s="1" t="str">
        <f>IF(tbl_data[[#This Row],[Transmission]]="Automatic","Auto","Manual")</f>
        <v>Manual</v>
      </c>
      <c r="Q10" s="1" t="str">
        <f>IFERROR(IF(VALUE(tbl_data[[#This Row],[Engine_CC]])=0,"",VALUE(tbl_data[[#This Row],[Price_USD]])/VALUE(tbl_data[[#This Row],[Engine_CC]])),"")</f>
        <v/>
      </c>
      <c r="R10" s="1" t="str">
        <f>TRIM(tbl_data[[#This Row],[Brand]])</f>
        <v>Kia</v>
      </c>
      <c r="S10" s="1">
        <f>_xlfn.NUMBERVALUE(tbl_data[[#This Row],[Price_USD]],".",",")</f>
        <v>65873.37</v>
      </c>
    </row>
    <row r="11" spans="1:19" x14ac:dyDescent="0.3">
      <c r="A11">
        <v>10</v>
      </c>
      <c r="B11" t="s">
        <v>30</v>
      </c>
      <c r="C11">
        <v>2009</v>
      </c>
      <c r="D11">
        <v>116335</v>
      </c>
      <c r="E11" t="s">
        <v>20</v>
      </c>
      <c r="F11" t="s">
        <v>14</v>
      </c>
      <c r="G11" t="s">
        <v>15</v>
      </c>
      <c r="H11">
        <v>4361</v>
      </c>
      <c r="I11" t="s">
        <v>54</v>
      </c>
      <c r="J11" t="s">
        <v>55</v>
      </c>
      <c r="K11">
        <v>6</v>
      </c>
      <c r="L11" t="s">
        <v>56</v>
      </c>
      <c r="M11" s="1" t="str">
        <f>TEXT(DATE(tbl_data[[#This Row],[Model_Year]],1,1),"yyyy")</f>
        <v>2009</v>
      </c>
      <c r="N11" s="1" t="str">
        <f>IF(tbl_data[[#This Row],[Kilometers_Driven]]&lt;50000,"&lt;50k",
IF(tbl_data[[#This Row],[Kilometers_Driven]]&lt;100000,"50k-100k",
IF(tbl_data[[#This Row],[Kilometers_Driven]]&lt;150000,"100k-150k","150k+")))</f>
        <v>100k-150k</v>
      </c>
      <c r="O11" s="1" t="str">
        <f>IF(tbl_data[[#This Row],[Price_USD]]&gt;=87089,"High",
IF(tbl_data[[#This Row],[Price_USD]]&gt;=56807,"Mid","Low"))</f>
        <v>High</v>
      </c>
      <c r="P11" s="1" t="str">
        <f>IF(tbl_data[[#This Row],[Transmission]]="Automatic","Auto","Manual")</f>
        <v>Manual</v>
      </c>
      <c r="Q11" s="1" t="str">
        <f>IFERROR(IF(VALUE(tbl_data[[#This Row],[Engine_CC]])=0,"",VALUE(tbl_data[[#This Row],[Price_USD]])/VALUE(tbl_data[[#This Row],[Engine_CC]])),"")</f>
        <v/>
      </c>
      <c r="R11" s="1" t="str">
        <f>TRIM(tbl_data[[#This Row],[Brand]])</f>
        <v>Mercedes</v>
      </c>
      <c r="S11" s="1">
        <f>_xlfn.NUMBERVALUE(tbl_data[[#This Row],[Price_USD]],".",",")</f>
        <v>101371.85</v>
      </c>
    </row>
    <row r="12" spans="1:19" x14ac:dyDescent="0.3">
      <c r="A12">
        <v>11</v>
      </c>
      <c r="B12" t="s">
        <v>19</v>
      </c>
      <c r="C12">
        <v>2009</v>
      </c>
      <c r="D12">
        <v>117356</v>
      </c>
      <c r="E12" t="s">
        <v>13</v>
      </c>
      <c r="F12" t="s">
        <v>21</v>
      </c>
      <c r="G12" t="s">
        <v>26</v>
      </c>
      <c r="H12">
        <v>1816</v>
      </c>
      <c r="I12" t="s">
        <v>57</v>
      </c>
      <c r="J12" t="s">
        <v>58</v>
      </c>
      <c r="K12">
        <v>5</v>
      </c>
      <c r="L12" t="s">
        <v>59</v>
      </c>
      <c r="M12" s="1" t="str">
        <f>TEXT(DATE(tbl_data[[#This Row],[Model_Year]],1,1),"yyyy")</f>
        <v>2009</v>
      </c>
      <c r="N12" s="1" t="str">
        <f>IF(tbl_data[[#This Row],[Kilometers_Driven]]&lt;50000,"&lt;50k",
IF(tbl_data[[#This Row],[Kilometers_Driven]]&lt;100000,"50k-100k",
IF(tbl_data[[#This Row],[Kilometers_Driven]]&lt;150000,"100k-150k","150k+")))</f>
        <v>100k-150k</v>
      </c>
      <c r="O12" s="1" t="str">
        <f>IF(tbl_data[[#This Row],[Price_USD]]&gt;=87089,"High",
IF(tbl_data[[#This Row],[Price_USD]]&gt;=56807,"Mid","Low"))</f>
        <v>High</v>
      </c>
      <c r="P12" s="1" t="str">
        <f>IF(tbl_data[[#This Row],[Transmission]]="Automatic","Auto","Manual")</f>
        <v>Auto</v>
      </c>
      <c r="Q12" s="1" t="str">
        <f>IFERROR(IF(VALUE(tbl_data[[#This Row],[Engine_CC]])=0,"",VALUE(tbl_data[[#This Row],[Price_USD]])/VALUE(tbl_data[[#This Row],[Engine_CC]])),"")</f>
        <v/>
      </c>
      <c r="R12" s="1" t="str">
        <f>TRIM(tbl_data[[#This Row],[Brand]])</f>
        <v>BMW</v>
      </c>
      <c r="S12" s="1">
        <f>_xlfn.NUMBERVALUE(tbl_data[[#This Row],[Price_USD]],".",",")</f>
        <v>6910.9</v>
      </c>
    </row>
    <row r="13" spans="1:19" x14ac:dyDescent="0.3">
      <c r="A13">
        <v>12</v>
      </c>
      <c r="B13" t="s">
        <v>25</v>
      </c>
      <c r="C13">
        <v>2012</v>
      </c>
      <c r="D13">
        <v>115944</v>
      </c>
      <c r="E13" t="s">
        <v>20</v>
      </c>
      <c r="F13" t="s">
        <v>21</v>
      </c>
      <c r="G13" t="s">
        <v>26</v>
      </c>
      <c r="H13">
        <v>4365</v>
      </c>
      <c r="I13" t="s">
        <v>60</v>
      </c>
      <c r="J13" t="s">
        <v>61</v>
      </c>
      <c r="K13">
        <v>7</v>
      </c>
      <c r="L13" t="s">
        <v>62</v>
      </c>
      <c r="M13" s="1" t="str">
        <f>TEXT(DATE(tbl_data[[#This Row],[Model_Year]],1,1),"yyyy")</f>
        <v>2012</v>
      </c>
      <c r="N13" s="1" t="str">
        <f>IF(tbl_data[[#This Row],[Kilometers_Driven]]&lt;50000,"&lt;50k",
IF(tbl_data[[#This Row],[Kilometers_Driven]]&lt;100000,"50k-100k",
IF(tbl_data[[#This Row],[Kilometers_Driven]]&lt;150000,"100k-150k","150k+")))</f>
        <v>100k-150k</v>
      </c>
      <c r="O13" s="1" t="str">
        <f>IF(tbl_data[[#This Row],[Price_USD]]&gt;=87089,"High",
IF(tbl_data[[#This Row],[Price_USD]]&gt;=56807,"Mid","Low"))</f>
        <v>High</v>
      </c>
      <c r="P13" s="1" t="str">
        <f>IF(tbl_data[[#This Row],[Transmission]]="Automatic","Auto","Manual")</f>
        <v>Auto</v>
      </c>
      <c r="Q13" s="1" t="str">
        <f>IFERROR(IF(VALUE(tbl_data[[#This Row],[Engine_CC]])=0,"",VALUE(tbl_data[[#This Row],[Price_USD]])/VALUE(tbl_data[[#This Row],[Engine_CC]])),"")</f>
        <v/>
      </c>
      <c r="R13" s="1" t="str">
        <f>TRIM(tbl_data[[#This Row],[Brand]])</f>
        <v>Kia</v>
      </c>
      <c r="S13" s="1">
        <f>_xlfn.NUMBERVALUE(tbl_data[[#This Row],[Price_USD]],".",",")</f>
        <v>45909.99</v>
      </c>
    </row>
    <row r="14" spans="1:19" x14ac:dyDescent="0.3">
      <c r="A14">
        <v>13</v>
      </c>
      <c r="B14" t="s">
        <v>25</v>
      </c>
      <c r="C14">
        <v>2014</v>
      </c>
      <c r="D14">
        <v>150282</v>
      </c>
      <c r="E14" t="s">
        <v>13</v>
      </c>
      <c r="F14" t="s">
        <v>21</v>
      </c>
      <c r="G14" t="s">
        <v>32</v>
      </c>
      <c r="H14">
        <v>2760</v>
      </c>
      <c r="I14" t="s">
        <v>63</v>
      </c>
      <c r="J14" t="s">
        <v>64</v>
      </c>
      <c r="K14">
        <v>7</v>
      </c>
      <c r="L14" t="s">
        <v>65</v>
      </c>
      <c r="M14" s="1" t="str">
        <f>TEXT(DATE(tbl_data[[#This Row],[Model_Year]],1,1),"yyyy")</f>
        <v>2014</v>
      </c>
      <c r="N14" s="1" t="str">
        <f>IF(tbl_data[[#This Row],[Kilometers_Driven]]&lt;50000,"&lt;50k",
IF(tbl_data[[#This Row],[Kilometers_Driven]]&lt;100000,"50k-100k",
IF(tbl_data[[#This Row],[Kilometers_Driven]]&lt;150000,"100k-150k","150k+")))</f>
        <v>150k+</v>
      </c>
      <c r="O14" s="1" t="str">
        <f>IF(tbl_data[[#This Row],[Price_USD]]&gt;=87089,"High",
IF(tbl_data[[#This Row],[Price_USD]]&gt;=56807,"Mid","Low"))</f>
        <v>High</v>
      </c>
      <c r="P14" s="1" t="str">
        <f>IF(tbl_data[[#This Row],[Transmission]]="Automatic","Auto","Manual")</f>
        <v>Auto</v>
      </c>
      <c r="Q14" s="1" t="str">
        <f>IFERROR(IF(VALUE(tbl_data[[#This Row],[Engine_CC]])=0,"",VALUE(tbl_data[[#This Row],[Price_USD]])/VALUE(tbl_data[[#This Row],[Engine_CC]])),"")</f>
        <v/>
      </c>
      <c r="R14" s="1" t="str">
        <f>TRIM(tbl_data[[#This Row],[Brand]])</f>
        <v>Kia</v>
      </c>
      <c r="S14" s="1">
        <f>_xlfn.NUMBERVALUE(tbl_data[[#This Row],[Price_USD]],".",",")</f>
        <v>30737.24</v>
      </c>
    </row>
    <row r="15" spans="1:19" x14ac:dyDescent="0.3">
      <c r="A15">
        <v>14</v>
      </c>
      <c r="B15" t="s">
        <v>43</v>
      </c>
      <c r="C15">
        <v>2021</v>
      </c>
      <c r="D15">
        <v>21456</v>
      </c>
      <c r="E15" t="s">
        <v>44</v>
      </c>
      <c r="F15" t="s">
        <v>14</v>
      </c>
      <c r="G15" t="s">
        <v>15</v>
      </c>
      <c r="H15">
        <v>1848</v>
      </c>
      <c r="I15" t="s">
        <v>66</v>
      </c>
      <c r="J15" t="s">
        <v>67</v>
      </c>
      <c r="K15">
        <v>2</v>
      </c>
      <c r="L15" t="s">
        <v>68</v>
      </c>
      <c r="M15" s="1" t="str">
        <f>TEXT(DATE(tbl_data[[#This Row],[Model_Year]],1,1),"yyyy")</f>
        <v>2021</v>
      </c>
      <c r="N15" s="1" t="str">
        <f>IF(tbl_data[[#This Row],[Kilometers_Driven]]&lt;50000,"&lt;50k",
IF(tbl_data[[#This Row],[Kilometers_Driven]]&lt;100000,"50k-100k",
IF(tbl_data[[#This Row],[Kilometers_Driven]]&lt;150000,"100k-150k","150k+")))</f>
        <v>&lt;50k</v>
      </c>
      <c r="O15" s="1" t="str">
        <f>IF(tbl_data[[#This Row],[Price_USD]]&gt;=87089,"High",
IF(tbl_data[[#This Row],[Price_USD]]&gt;=56807,"Mid","Low"))</f>
        <v>High</v>
      </c>
      <c r="P15" s="1" t="str">
        <f>IF(tbl_data[[#This Row],[Transmission]]="Automatic","Auto","Manual")</f>
        <v>Manual</v>
      </c>
      <c r="Q15" s="1" t="str">
        <f>IFERROR(IF(VALUE(tbl_data[[#This Row],[Engine_CC]])=0,"",VALUE(tbl_data[[#This Row],[Price_USD]])/VALUE(tbl_data[[#This Row],[Engine_CC]])),"")</f>
        <v/>
      </c>
      <c r="R15" s="1" t="str">
        <f>TRIM(tbl_data[[#This Row],[Brand]])</f>
        <v>Ford</v>
      </c>
      <c r="S15" s="1">
        <f>_xlfn.NUMBERVALUE(tbl_data[[#This Row],[Price_USD]],".",",")</f>
        <v>55330.94</v>
      </c>
    </row>
    <row r="16" spans="1:19" x14ac:dyDescent="0.3">
      <c r="A16">
        <v>15</v>
      </c>
      <c r="B16" t="s">
        <v>69</v>
      </c>
      <c r="C16">
        <v>2013</v>
      </c>
      <c r="D16">
        <v>36367</v>
      </c>
      <c r="E16" t="s">
        <v>44</v>
      </c>
      <c r="F16" t="s">
        <v>21</v>
      </c>
      <c r="G16" t="s">
        <v>26</v>
      </c>
      <c r="H16">
        <v>2157</v>
      </c>
      <c r="I16" t="s">
        <v>70</v>
      </c>
      <c r="J16" t="s">
        <v>71</v>
      </c>
      <c r="K16">
        <v>6</v>
      </c>
      <c r="L16" t="s">
        <v>72</v>
      </c>
      <c r="M16" s="1" t="str">
        <f>TEXT(DATE(tbl_data[[#This Row],[Model_Year]],1,1),"yyyy")</f>
        <v>2013</v>
      </c>
      <c r="N16" s="1" t="str">
        <f>IF(tbl_data[[#This Row],[Kilometers_Driven]]&lt;50000,"&lt;50k",
IF(tbl_data[[#This Row],[Kilometers_Driven]]&lt;100000,"50k-100k",
IF(tbl_data[[#This Row],[Kilometers_Driven]]&lt;150000,"100k-150k","150k+")))</f>
        <v>&lt;50k</v>
      </c>
      <c r="O16" s="1" t="str">
        <f>IF(tbl_data[[#This Row],[Price_USD]]&gt;=87089,"High",
IF(tbl_data[[#This Row],[Price_USD]]&gt;=56807,"Mid","Low"))</f>
        <v>High</v>
      </c>
      <c r="P16" s="1" t="str">
        <f>IF(tbl_data[[#This Row],[Transmission]]="Automatic","Auto","Manual")</f>
        <v>Auto</v>
      </c>
      <c r="Q16" s="1" t="str">
        <f>IFERROR(IF(VALUE(tbl_data[[#This Row],[Engine_CC]])=0,"",VALUE(tbl_data[[#This Row],[Price_USD]])/VALUE(tbl_data[[#This Row],[Engine_CC]])),"")</f>
        <v/>
      </c>
      <c r="R16" s="1" t="str">
        <f>TRIM(tbl_data[[#This Row],[Brand]])</f>
        <v>Hyundai</v>
      </c>
      <c r="S16" s="1">
        <f>_xlfn.NUMBERVALUE(tbl_data[[#This Row],[Price_USD]],".",",")</f>
        <v>11468.04</v>
      </c>
    </row>
    <row r="17" spans="1:19" x14ac:dyDescent="0.3">
      <c r="A17">
        <v>16</v>
      </c>
      <c r="B17" t="s">
        <v>30</v>
      </c>
      <c r="C17">
        <v>2023</v>
      </c>
      <c r="D17">
        <v>59624</v>
      </c>
      <c r="E17" t="s">
        <v>31</v>
      </c>
      <c r="F17" t="s">
        <v>14</v>
      </c>
      <c r="G17" t="s">
        <v>15</v>
      </c>
      <c r="H17">
        <v>4226</v>
      </c>
      <c r="I17" t="s">
        <v>73</v>
      </c>
      <c r="J17" t="s">
        <v>74</v>
      </c>
      <c r="K17">
        <v>6</v>
      </c>
      <c r="L17" t="s">
        <v>75</v>
      </c>
      <c r="M17" s="1" t="str">
        <f>TEXT(DATE(tbl_data[[#This Row],[Model_Year]],1,1),"yyyy")</f>
        <v>2023</v>
      </c>
      <c r="N17" s="1" t="str">
        <f>IF(tbl_data[[#This Row],[Kilometers_Driven]]&lt;50000,"&lt;50k",
IF(tbl_data[[#This Row],[Kilometers_Driven]]&lt;100000,"50k-100k",
IF(tbl_data[[#This Row],[Kilometers_Driven]]&lt;150000,"100k-150k","150k+")))</f>
        <v>50k-100k</v>
      </c>
      <c r="O17" s="1" t="str">
        <f>IF(tbl_data[[#This Row],[Price_USD]]&gt;=87089,"High",
IF(tbl_data[[#This Row],[Price_USD]]&gt;=56807,"Mid","Low"))</f>
        <v>High</v>
      </c>
      <c r="P17" s="1" t="str">
        <f>IF(tbl_data[[#This Row],[Transmission]]="Automatic","Auto","Manual")</f>
        <v>Manual</v>
      </c>
      <c r="Q17" s="1" t="str">
        <f>IFERROR(IF(VALUE(tbl_data[[#This Row],[Engine_CC]])=0,"",VALUE(tbl_data[[#This Row],[Price_USD]])/VALUE(tbl_data[[#This Row],[Engine_CC]])),"")</f>
        <v/>
      </c>
      <c r="R17" s="1" t="str">
        <f>TRIM(tbl_data[[#This Row],[Brand]])</f>
        <v>Mercedes</v>
      </c>
      <c r="S17" s="1">
        <f>_xlfn.NUMBERVALUE(tbl_data[[#This Row],[Price_USD]],".",",")</f>
        <v>114633.4</v>
      </c>
    </row>
    <row r="18" spans="1:19" x14ac:dyDescent="0.3">
      <c r="A18">
        <v>17</v>
      </c>
      <c r="B18" t="s">
        <v>76</v>
      </c>
      <c r="C18">
        <v>2018</v>
      </c>
      <c r="D18">
        <v>146178</v>
      </c>
      <c r="E18" t="s">
        <v>44</v>
      </c>
      <c r="F18" t="s">
        <v>21</v>
      </c>
      <c r="G18" t="s">
        <v>15</v>
      </c>
      <c r="H18">
        <v>915</v>
      </c>
      <c r="I18" t="s">
        <v>77</v>
      </c>
      <c r="J18" t="s">
        <v>78</v>
      </c>
      <c r="K18">
        <v>2</v>
      </c>
      <c r="L18" t="s">
        <v>79</v>
      </c>
      <c r="M18" s="1" t="str">
        <f>TEXT(DATE(tbl_data[[#This Row],[Model_Year]],1,1),"yyyy")</f>
        <v>2018</v>
      </c>
      <c r="N18" s="1" t="str">
        <f>IF(tbl_data[[#This Row],[Kilometers_Driven]]&lt;50000,"&lt;50k",
IF(tbl_data[[#This Row],[Kilometers_Driven]]&lt;100000,"50k-100k",
IF(tbl_data[[#This Row],[Kilometers_Driven]]&lt;150000,"100k-150k","150k+")))</f>
        <v>100k-150k</v>
      </c>
      <c r="O18" s="1" t="str">
        <f>IF(tbl_data[[#This Row],[Price_USD]]&gt;=87089,"High",
IF(tbl_data[[#This Row],[Price_USD]]&gt;=56807,"Mid","Low"))</f>
        <v>High</v>
      </c>
      <c r="P18" s="1" t="str">
        <f>IF(tbl_data[[#This Row],[Transmission]]="Automatic","Auto","Manual")</f>
        <v>Auto</v>
      </c>
      <c r="Q18" s="1" t="str">
        <f>IFERROR(IF(VALUE(tbl_data[[#This Row],[Engine_CC]])=0,"",VALUE(tbl_data[[#This Row],[Price_USD]])/VALUE(tbl_data[[#This Row],[Engine_CC]])),"")</f>
        <v/>
      </c>
      <c r="R18" s="1" t="str">
        <f>TRIM(tbl_data[[#This Row],[Brand]])</f>
        <v>Honda</v>
      </c>
      <c r="S18" s="1">
        <f>_xlfn.NUMBERVALUE(tbl_data[[#This Row],[Price_USD]],".",",")</f>
        <v>29120.880000000001</v>
      </c>
    </row>
    <row r="19" spans="1:19" x14ac:dyDescent="0.3">
      <c r="A19">
        <v>18</v>
      </c>
      <c r="B19" t="s">
        <v>25</v>
      </c>
      <c r="C19">
        <v>2012</v>
      </c>
      <c r="D19">
        <v>73008</v>
      </c>
      <c r="E19" t="s">
        <v>13</v>
      </c>
      <c r="F19" t="s">
        <v>21</v>
      </c>
      <c r="G19" t="s">
        <v>15</v>
      </c>
      <c r="H19">
        <v>2895</v>
      </c>
      <c r="I19" t="s">
        <v>80</v>
      </c>
      <c r="J19" t="s">
        <v>81</v>
      </c>
      <c r="K19">
        <v>7</v>
      </c>
      <c r="L19" t="s">
        <v>82</v>
      </c>
      <c r="M19" s="1" t="str">
        <f>TEXT(DATE(tbl_data[[#This Row],[Model_Year]],1,1),"yyyy")</f>
        <v>2012</v>
      </c>
      <c r="N19" s="1" t="str">
        <f>IF(tbl_data[[#This Row],[Kilometers_Driven]]&lt;50000,"&lt;50k",
IF(tbl_data[[#This Row],[Kilometers_Driven]]&lt;100000,"50k-100k",
IF(tbl_data[[#This Row],[Kilometers_Driven]]&lt;150000,"100k-150k","150k+")))</f>
        <v>50k-100k</v>
      </c>
      <c r="O19" s="1" t="str">
        <f>IF(tbl_data[[#This Row],[Price_USD]]&gt;=87089,"High",
IF(tbl_data[[#This Row],[Price_USD]]&gt;=56807,"Mid","Low"))</f>
        <v>High</v>
      </c>
      <c r="P19" s="1" t="str">
        <f>IF(tbl_data[[#This Row],[Transmission]]="Automatic","Auto","Manual")</f>
        <v>Auto</v>
      </c>
      <c r="Q19" s="1" t="str">
        <f>IFERROR(IF(VALUE(tbl_data[[#This Row],[Engine_CC]])=0,"",VALUE(tbl_data[[#This Row],[Price_USD]])/VALUE(tbl_data[[#This Row],[Engine_CC]])),"")</f>
        <v/>
      </c>
      <c r="R19" s="1" t="str">
        <f>TRIM(tbl_data[[#This Row],[Brand]])</f>
        <v>Kia</v>
      </c>
      <c r="S19" s="1">
        <f>_xlfn.NUMBERVALUE(tbl_data[[#This Row],[Price_USD]],".",",")</f>
        <v>110910.01</v>
      </c>
    </row>
    <row r="20" spans="1:19" x14ac:dyDescent="0.3">
      <c r="A20">
        <v>19</v>
      </c>
      <c r="B20" t="s">
        <v>69</v>
      </c>
      <c r="C20">
        <v>2013</v>
      </c>
      <c r="D20">
        <v>130926</v>
      </c>
      <c r="E20" t="s">
        <v>20</v>
      </c>
      <c r="F20" t="s">
        <v>14</v>
      </c>
      <c r="G20" t="s">
        <v>32</v>
      </c>
      <c r="H20">
        <v>2601</v>
      </c>
      <c r="I20" t="s">
        <v>83</v>
      </c>
      <c r="J20" t="s">
        <v>84</v>
      </c>
      <c r="K20">
        <v>4</v>
      </c>
      <c r="L20" t="s">
        <v>85</v>
      </c>
      <c r="M20" s="1" t="str">
        <f>TEXT(DATE(tbl_data[[#This Row],[Model_Year]],1,1),"yyyy")</f>
        <v>2013</v>
      </c>
      <c r="N20" s="1" t="str">
        <f>IF(tbl_data[[#This Row],[Kilometers_Driven]]&lt;50000,"&lt;50k",
IF(tbl_data[[#This Row],[Kilometers_Driven]]&lt;100000,"50k-100k",
IF(tbl_data[[#This Row],[Kilometers_Driven]]&lt;150000,"100k-150k","150k+")))</f>
        <v>100k-150k</v>
      </c>
      <c r="O20" s="1" t="str">
        <f>IF(tbl_data[[#This Row],[Price_USD]]&gt;=87089,"High",
IF(tbl_data[[#This Row],[Price_USD]]&gt;=56807,"Mid","Low"))</f>
        <v>High</v>
      </c>
      <c r="P20" s="1" t="str">
        <f>IF(tbl_data[[#This Row],[Transmission]]="Automatic","Auto","Manual")</f>
        <v>Manual</v>
      </c>
      <c r="Q20" s="1" t="str">
        <f>IFERROR(IF(VALUE(tbl_data[[#This Row],[Engine_CC]])=0,"",VALUE(tbl_data[[#This Row],[Price_USD]])/VALUE(tbl_data[[#This Row],[Engine_CC]])),"")</f>
        <v/>
      </c>
      <c r="R20" s="1" t="str">
        <f>TRIM(tbl_data[[#This Row],[Brand]])</f>
        <v>Hyundai</v>
      </c>
      <c r="S20" s="1">
        <f>_xlfn.NUMBERVALUE(tbl_data[[#This Row],[Price_USD]],".",",")</f>
        <v>52829.5</v>
      </c>
    </row>
    <row r="21" spans="1:19" x14ac:dyDescent="0.3">
      <c r="A21">
        <v>20</v>
      </c>
      <c r="B21" t="s">
        <v>76</v>
      </c>
      <c r="C21">
        <v>2015</v>
      </c>
      <c r="D21">
        <v>120395</v>
      </c>
      <c r="E21" t="s">
        <v>31</v>
      </c>
      <c r="F21" t="s">
        <v>14</v>
      </c>
      <c r="G21" t="s">
        <v>15</v>
      </c>
      <c r="H21">
        <v>2946</v>
      </c>
      <c r="I21" t="s">
        <v>86</v>
      </c>
      <c r="J21" t="s">
        <v>87</v>
      </c>
      <c r="K21">
        <v>4</v>
      </c>
      <c r="L21" t="s">
        <v>88</v>
      </c>
      <c r="M21" s="1" t="str">
        <f>TEXT(DATE(tbl_data[[#This Row],[Model_Year]],1,1),"yyyy")</f>
        <v>2015</v>
      </c>
      <c r="N21" s="1" t="str">
        <f>IF(tbl_data[[#This Row],[Kilometers_Driven]]&lt;50000,"&lt;50k",
IF(tbl_data[[#This Row],[Kilometers_Driven]]&lt;100000,"50k-100k",
IF(tbl_data[[#This Row],[Kilometers_Driven]]&lt;150000,"100k-150k","150k+")))</f>
        <v>100k-150k</v>
      </c>
      <c r="O21" s="1" t="str">
        <f>IF(tbl_data[[#This Row],[Price_USD]]&gt;=87089,"High",
IF(tbl_data[[#This Row],[Price_USD]]&gt;=56807,"Mid","Low"))</f>
        <v>High</v>
      </c>
      <c r="P21" s="1" t="str">
        <f>IF(tbl_data[[#This Row],[Transmission]]="Automatic","Auto","Manual")</f>
        <v>Manual</v>
      </c>
      <c r="Q21" s="1" t="str">
        <f>IFERROR(IF(VALUE(tbl_data[[#This Row],[Engine_CC]])=0,"",VALUE(tbl_data[[#This Row],[Price_USD]])/VALUE(tbl_data[[#This Row],[Engine_CC]])),"")</f>
        <v/>
      </c>
      <c r="R21" s="1" t="str">
        <f>TRIM(tbl_data[[#This Row],[Brand]])</f>
        <v>Honda</v>
      </c>
      <c r="S21" s="1">
        <f>_xlfn.NUMBERVALUE(tbl_data[[#This Row],[Price_USD]],".",",")</f>
        <v>118306.32</v>
      </c>
    </row>
    <row r="22" spans="1:19" x14ac:dyDescent="0.3">
      <c r="A22">
        <v>21</v>
      </c>
      <c r="B22" t="s">
        <v>30</v>
      </c>
      <c r="C22">
        <v>2005</v>
      </c>
      <c r="D22">
        <v>121492</v>
      </c>
      <c r="E22" t="s">
        <v>13</v>
      </c>
      <c r="F22" t="s">
        <v>21</v>
      </c>
      <c r="G22" t="s">
        <v>26</v>
      </c>
      <c r="H22">
        <v>2420</v>
      </c>
      <c r="I22" t="s">
        <v>89</v>
      </c>
      <c r="J22" t="s">
        <v>90</v>
      </c>
      <c r="K22">
        <v>7</v>
      </c>
      <c r="L22" t="s">
        <v>91</v>
      </c>
      <c r="M22" s="1" t="str">
        <f>TEXT(DATE(tbl_data[[#This Row],[Model_Year]],1,1),"yyyy")</f>
        <v>2005</v>
      </c>
      <c r="N22" s="1" t="str">
        <f>IF(tbl_data[[#This Row],[Kilometers_Driven]]&lt;50000,"&lt;50k",
IF(tbl_data[[#This Row],[Kilometers_Driven]]&lt;100000,"50k-100k",
IF(tbl_data[[#This Row],[Kilometers_Driven]]&lt;150000,"100k-150k","150k+")))</f>
        <v>100k-150k</v>
      </c>
      <c r="O22" s="1" t="str">
        <f>IF(tbl_data[[#This Row],[Price_USD]]&gt;=87089,"High",
IF(tbl_data[[#This Row],[Price_USD]]&gt;=56807,"Mid","Low"))</f>
        <v>High</v>
      </c>
      <c r="P22" s="1" t="str">
        <f>IF(tbl_data[[#This Row],[Transmission]]="Automatic","Auto","Manual")</f>
        <v>Auto</v>
      </c>
      <c r="Q22" s="1" t="str">
        <f>IFERROR(IF(VALUE(tbl_data[[#This Row],[Engine_CC]])=0,"",VALUE(tbl_data[[#This Row],[Price_USD]])/VALUE(tbl_data[[#This Row],[Engine_CC]])),"")</f>
        <v/>
      </c>
      <c r="R22" s="1" t="str">
        <f>TRIM(tbl_data[[#This Row],[Brand]])</f>
        <v>Mercedes</v>
      </c>
      <c r="S22" s="1">
        <f>_xlfn.NUMBERVALUE(tbl_data[[#This Row],[Price_USD]],".",",")</f>
        <v>67824.83</v>
      </c>
    </row>
    <row r="23" spans="1:19" x14ac:dyDescent="0.3">
      <c r="A23">
        <v>22</v>
      </c>
      <c r="B23" t="s">
        <v>92</v>
      </c>
      <c r="C23">
        <v>2018</v>
      </c>
      <c r="D23">
        <v>77240</v>
      </c>
      <c r="E23" t="s">
        <v>20</v>
      </c>
      <c r="F23" t="s">
        <v>21</v>
      </c>
      <c r="G23" t="s">
        <v>15</v>
      </c>
      <c r="H23">
        <v>3750</v>
      </c>
      <c r="I23" t="s">
        <v>93</v>
      </c>
      <c r="J23" t="s">
        <v>94</v>
      </c>
      <c r="K23">
        <v>6</v>
      </c>
      <c r="L23" t="s">
        <v>95</v>
      </c>
      <c r="M23" s="1" t="str">
        <f>TEXT(DATE(tbl_data[[#This Row],[Model_Year]],1,1),"yyyy")</f>
        <v>2018</v>
      </c>
      <c r="N23" s="1" t="str">
        <f>IF(tbl_data[[#This Row],[Kilometers_Driven]]&lt;50000,"&lt;50k",
IF(tbl_data[[#This Row],[Kilometers_Driven]]&lt;100000,"50k-100k",
IF(tbl_data[[#This Row],[Kilometers_Driven]]&lt;150000,"100k-150k","150k+")))</f>
        <v>50k-100k</v>
      </c>
      <c r="O23" s="1" t="str">
        <f>IF(tbl_data[[#This Row],[Price_USD]]&gt;=87089,"High",
IF(tbl_data[[#This Row],[Price_USD]]&gt;=56807,"Mid","Low"))</f>
        <v>High</v>
      </c>
      <c r="P23" s="1" t="str">
        <f>IF(tbl_data[[#This Row],[Transmission]]="Automatic","Auto","Manual")</f>
        <v>Auto</v>
      </c>
      <c r="Q23" s="1" t="str">
        <f>IFERROR(IF(VALUE(tbl_data[[#This Row],[Engine_CC]])=0,"",VALUE(tbl_data[[#This Row],[Price_USD]])/VALUE(tbl_data[[#This Row],[Engine_CC]])),"")</f>
        <v/>
      </c>
      <c r="R23" s="1" t="str">
        <f>TRIM(tbl_data[[#This Row],[Brand]])</f>
        <v>Toyota</v>
      </c>
      <c r="S23" s="1">
        <f>_xlfn.NUMBERVALUE(tbl_data[[#This Row],[Price_USD]],".",",")</f>
        <v>111907.45</v>
      </c>
    </row>
    <row r="24" spans="1:19" x14ac:dyDescent="0.3">
      <c r="A24">
        <v>23</v>
      </c>
      <c r="B24" t="s">
        <v>39</v>
      </c>
      <c r="C24">
        <v>2009</v>
      </c>
      <c r="D24">
        <v>69315</v>
      </c>
      <c r="E24" t="s">
        <v>31</v>
      </c>
      <c r="F24" t="s">
        <v>14</v>
      </c>
      <c r="G24" t="s">
        <v>26</v>
      </c>
      <c r="H24">
        <v>4592</v>
      </c>
      <c r="I24" t="s">
        <v>96</v>
      </c>
      <c r="J24" t="s">
        <v>97</v>
      </c>
      <c r="K24">
        <v>4</v>
      </c>
      <c r="L24" t="s">
        <v>98</v>
      </c>
      <c r="M24" s="1" t="str">
        <f>TEXT(DATE(tbl_data[[#This Row],[Model_Year]],1,1),"yyyy")</f>
        <v>2009</v>
      </c>
      <c r="N24" s="1" t="str">
        <f>IF(tbl_data[[#This Row],[Kilometers_Driven]]&lt;50000,"&lt;50k",
IF(tbl_data[[#This Row],[Kilometers_Driven]]&lt;100000,"50k-100k",
IF(tbl_data[[#This Row],[Kilometers_Driven]]&lt;150000,"100k-150k","150k+")))</f>
        <v>50k-100k</v>
      </c>
      <c r="O24" s="1" t="str">
        <f>IF(tbl_data[[#This Row],[Price_USD]]&gt;=87089,"High",
IF(tbl_data[[#This Row],[Price_USD]]&gt;=56807,"Mid","Low"))</f>
        <v>High</v>
      </c>
      <c r="P24" s="1" t="str">
        <f>IF(tbl_data[[#This Row],[Transmission]]="Automatic","Auto","Manual")</f>
        <v>Manual</v>
      </c>
      <c r="Q24" s="1" t="str">
        <f>IFERROR(IF(VALUE(tbl_data[[#This Row],[Engine_CC]])=0,"",VALUE(tbl_data[[#This Row],[Price_USD]])/VALUE(tbl_data[[#This Row],[Engine_CC]])),"")</f>
        <v/>
      </c>
      <c r="R24" s="1" t="str">
        <f>TRIM(tbl_data[[#This Row],[Brand]])</f>
        <v>Volkswagen</v>
      </c>
      <c r="S24" s="1">
        <f>_xlfn.NUMBERVALUE(tbl_data[[#This Row],[Price_USD]],".",",")</f>
        <v>3625.83</v>
      </c>
    </row>
    <row r="25" spans="1:19" x14ac:dyDescent="0.3">
      <c r="A25">
        <v>24</v>
      </c>
      <c r="B25" t="s">
        <v>69</v>
      </c>
      <c r="C25">
        <v>2018</v>
      </c>
      <c r="D25">
        <v>15756</v>
      </c>
      <c r="E25" t="s">
        <v>44</v>
      </c>
      <c r="F25" t="s">
        <v>21</v>
      </c>
      <c r="G25" t="s">
        <v>15</v>
      </c>
      <c r="H25">
        <v>3741</v>
      </c>
      <c r="I25" t="s">
        <v>99</v>
      </c>
      <c r="J25" t="s">
        <v>100</v>
      </c>
      <c r="K25">
        <v>5</v>
      </c>
      <c r="L25" t="s">
        <v>101</v>
      </c>
      <c r="M25" s="1" t="str">
        <f>TEXT(DATE(tbl_data[[#This Row],[Model_Year]],1,1),"yyyy")</f>
        <v>2018</v>
      </c>
      <c r="N25" s="1" t="str">
        <f>IF(tbl_data[[#This Row],[Kilometers_Driven]]&lt;50000,"&lt;50k",
IF(tbl_data[[#This Row],[Kilometers_Driven]]&lt;100000,"50k-100k",
IF(tbl_data[[#This Row],[Kilometers_Driven]]&lt;150000,"100k-150k","150k+")))</f>
        <v>&lt;50k</v>
      </c>
      <c r="O25" s="1" t="str">
        <f>IF(tbl_data[[#This Row],[Price_USD]]&gt;=87089,"High",
IF(tbl_data[[#This Row],[Price_USD]]&gt;=56807,"Mid","Low"))</f>
        <v>High</v>
      </c>
      <c r="P25" s="1" t="str">
        <f>IF(tbl_data[[#This Row],[Transmission]]="Automatic","Auto","Manual")</f>
        <v>Auto</v>
      </c>
      <c r="Q25" s="1" t="str">
        <f>IFERROR(IF(VALUE(tbl_data[[#This Row],[Engine_CC]])=0,"",VALUE(tbl_data[[#This Row],[Price_USD]])/VALUE(tbl_data[[#This Row],[Engine_CC]])),"")</f>
        <v/>
      </c>
      <c r="R25" s="1" t="str">
        <f>TRIM(tbl_data[[#This Row],[Brand]])</f>
        <v>Hyundai</v>
      </c>
      <c r="S25" s="1">
        <f>_xlfn.NUMBERVALUE(tbl_data[[#This Row],[Price_USD]],".",",")</f>
        <v>90543.94</v>
      </c>
    </row>
    <row r="26" spans="1:19" x14ac:dyDescent="0.3">
      <c r="A26">
        <v>25</v>
      </c>
      <c r="B26" t="s">
        <v>102</v>
      </c>
      <c r="C26">
        <v>2008</v>
      </c>
      <c r="D26">
        <v>41378</v>
      </c>
      <c r="E26" t="s">
        <v>13</v>
      </c>
      <c r="F26" t="s">
        <v>21</v>
      </c>
      <c r="G26" t="s">
        <v>26</v>
      </c>
      <c r="H26">
        <v>1777</v>
      </c>
      <c r="I26" t="s">
        <v>103</v>
      </c>
      <c r="J26" t="s">
        <v>104</v>
      </c>
      <c r="K26">
        <v>5</v>
      </c>
      <c r="L26" t="s">
        <v>105</v>
      </c>
      <c r="M26" s="1" t="str">
        <f>TEXT(DATE(tbl_data[[#This Row],[Model_Year]],1,1),"yyyy")</f>
        <v>2008</v>
      </c>
      <c r="N26" s="1" t="str">
        <f>IF(tbl_data[[#This Row],[Kilometers_Driven]]&lt;50000,"&lt;50k",
IF(tbl_data[[#This Row],[Kilometers_Driven]]&lt;100000,"50k-100k",
IF(tbl_data[[#This Row],[Kilometers_Driven]]&lt;150000,"100k-150k","150k+")))</f>
        <v>&lt;50k</v>
      </c>
      <c r="O26" s="1" t="str">
        <f>IF(tbl_data[[#This Row],[Price_USD]]&gt;=87089,"High",
IF(tbl_data[[#This Row],[Price_USD]]&gt;=56807,"Mid","Low"))</f>
        <v>High</v>
      </c>
      <c r="P26" s="1" t="str">
        <f>IF(tbl_data[[#This Row],[Transmission]]="Automatic","Auto","Manual")</f>
        <v>Auto</v>
      </c>
      <c r="Q26" s="1" t="str">
        <f>IFERROR(IF(VALUE(tbl_data[[#This Row],[Engine_CC]])=0,"",VALUE(tbl_data[[#This Row],[Price_USD]])/VALUE(tbl_data[[#This Row],[Engine_CC]])),"")</f>
        <v/>
      </c>
      <c r="R26" s="1" t="str">
        <f>TRIM(tbl_data[[#This Row],[Brand]])</f>
        <v>Nissan</v>
      </c>
      <c r="S26" s="1">
        <f>_xlfn.NUMBERVALUE(tbl_data[[#This Row],[Price_USD]],".",",")</f>
        <v>108656.93</v>
      </c>
    </row>
    <row r="27" spans="1:19" x14ac:dyDescent="0.3">
      <c r="A27">
        <v>26</v>
      </c>
      <c r="B27" t="s">
        <v>92</v>
      </c>
      <c r="C27">
        <v>2005</v>
      </c>
      <c r="D27">
        <v>140327</v>
      </c>
      <c r="E27" t="s">
        <v>20</v>
      </c>
      <c r="F27" t="s">
        <v>14</v>
      </c>
      <c r="G27" t="s">
        <v>26</v>
      </c>
      <c r="H27">
        <v>3866</v>
      </c>
      <c r="I27" t="s">
        <v>106</v>
      </c>
      <c r="J27" t="s">
        <v>107</v>
      </c>
      <c r="K27">
        <v>2</v>
      </c>
      <c r="L27" t="s">
        <v>108</v>
      </c>
      <c r="M27" s="1" t="str">
        <f>TEXT(DATE(tbl_data[[#This Row],[Model_Year]],1,1),"yyyy")</f>
        <v>2005</v>
      </c>
      <c r="N27" s="1" t="str">
        <f>IF(tbl_data[[#This Row],[Kilometers_Driven]]&lt;50000,"&lt;50k",
IF(tbl_data[[#This Row],[Kilometers_Driven]]&lt;100000,"50k-100k",
IF(tbl_data[[#This Row],[Kilometers_Driven]]&lt;150000,"100k-150k","150k+")))</f>
        <v>100k-150k</v>
      </c>
      <c r="O27" s="1" t="str">
        <f>IF(tbl_data[[#This Row],[Price_USD]]&gt;=87089,"High",
IF(tbl_data[[#This Row],[Price_USD]]&gt;=56807,"Mid","Low"))</f>
        <v>High</v>
      </c>
      <c r="P27" s="1" t="str">
        <f>IF(tbl_data[[#This Row],[Transmission]]="Automatic","Auto","Manual")</f>
        <v>Manual</v>
      </c>
      <c r="Q27" s="1" t="str">
        <f>IFERROR(IF(VALUE(tbl_data[[#This Row],[Engine_CC]])=0,"",VALUE(tbl_data[[#This Row],[Price_USD]])/VALUE(tbl_data[[#This Row],[Engine_CC]])),"")</f>
        <v/>
      </c>
      <c r="R27" s="1" t="str">
        <f>TRIM(tbl_data[[#This Row],[Brand]])</f>
        <v>Toyota</v>
      </c>
      <c r="S27" s="1">
        <f>_xlfn.NUMBERVALUE(tbl_data[[#This Row],[Price_USD]],".",",")</f>
        <v>19347.310000000001</v>
      </c>
    </row>
    <row r="28" spans="1:19" x14ac:dyDescent="0.3">
      <c r="A28">
        <v>27</v>
      </c>
      <c r="B28" t="s">
        <v>39</v>
      </c>
      <c r="C28">
        <v>2023</v>
      </c>
      <c r="D28">
        <v>150556</v>
      </c>
      <c r="E28" t="s">
        <v>31</v>
      </c>
      <c r="F28" t="s">
        <v>21</v>
      </c>
      <c r="G28" t="s">
        <v>15</v>
      </c>
      <c r="H28">
        <v>1583</v>
      </c>
      <c r="I28" t="s">
        <v>109</v>
      </c>
      <c r="J28" t="s">
        <v>110</v>
      </c>
      <c r="K28">
        <v>7</v>
      </c>
      <c r="L28" t="s">
        <v>111</v>
      </c>
      <c r="M28" s="1" t="str">
        <f>TEXT(DATE(tbl_data[[#This Row],[Model_Year]],1,1),"yyyy")</f>
        <v>2023</v>
      </c>
      <c r="N28" s="1" t="str">
        <f>IF(tbl_data[[#This Row],[Kilometers_Driven]]&lt;50000,"&lt;50k",
IF(tbl_data[[#This Row],[Kilometers_Driven]]&lt;100000,"50k-100k",
IF(tbl_data[[#This Row],[Kilometers_Driven]]&lt;150000,"100k-150k","150k+")))</f>
        <v>150k+</v>
      </c>
      <c r="O28" s="1" t="str">
        <f>IF(tbl_data[[#This Row],[Price_USD]]&gt;=87089,"High",
IF(tbl_data[[#This Row],[Price_USD]]&gt;=56807,"Mid","Low"))</f>
        <v>High</v>
      </c>
      <c r="P28" s="1" t="str">
        <f>IF(tbl_data[[#This Row],[Transmission]]="Automatic","Auto","Manual")</f>
        <v>Auto</v>
      </c>
      <c r="Q28" s="1" t="str">
        <f>IFERROR(IF(VALUE(tbl_data[[#This Row],[Engine_CC]])=0,"",VALUE(tbl_data[[#This Row],[Price_USD]])/VALUE(tbl_data[[#This Row],[Engine_CC]])),"")</f>
        <v/>
      </c>
      <c r="R28" s="1" t="str">
        <f>TRIM(tbl_data[[#This Row],[Brand]])</f>
        <v>Volkswagen</v>
      </c>
      <c r="S28" s="1">
        <f>_xlfn.NUMBERVALUE(tbl_data[[#This Row],[Price_USD]],".",",")</f>
        <v>14246.72</v>
      </c>
    </row>
    <row r="29" spans="1:19" x14ac:dyDescent="0.3">
      <c r="A29">
        <v>28</v>
      </c>
      <c r="B29" t="s">
        <v>43</v>
      </c>
      <c r="C29">
        <v>2012</v>
      </c>
      <c r="D29">
        <v>130703</v>
      </c>
      <c r="E29" t="s">
        <v>31</v>
      </c>
      <c r="F29" t="s">
        <v>14</v>
      </c>
      <c r="G29" t="s">
        <v>15</v>
      </c>
      <c r="H29">
        <v>1040</v>
      </c>
      <c r="I29" t="s">
        <v>112</v>
      </c>
      <c r="J29" t="s">
        <v>113</v>
      </c>
      <c r="K29">
        <v>7</v>
      </c>
      <c r="L29" t="s">
        <v>114</v>
      </c>
      <c r="M29" s="1" t="str">
        <f>TEXT(DATE(tbl_data[[#This Row],[Model_Year]],1,1),"yyyy")</f>
        <v>2012</v>
      </c>
      <c r="N29" s="1" t="str">
        <f>IF(tbl_data[[#This Row],[Kilometers_Driven]]&lt;50000,"&lt;50k",
IF(tbl_data[[#This Row],[Kilometers_Driven]]&lt;100000,"50k-100k",
IF(tbl_data[[#This Row],[Kilometers_Driven]]&lt;150000,"100k-150k","150k+")))</f>
        <v>100k-150k</v>
      </c>
      <c r="O29" s="1" t="str">
        <f>IF(tbl_data[[#This Row],[Price_USD]]&gt;=87089,"High",
IF(tbl_data[[#This Row],[Price_USD]]&gt;=56807,"Mid","Low"))</f>
        <v>High</v>
      </c>
      <c r="P29" s="1" t="str">
        <f>IF(tbl_data[[#This Row],[Transmission]]="Automatic","Auto","Manual")</f>
        <v>Manual</v>
      </c>
      <c r="Q29" s="1" t="str">
        <f>IFERROR(IF(VALUE(tbl_data[[#This Row],[Engine_CC]])=0,"",VALUE(tbl_data[[#This Row],[Price_USD]])/VALUE(tbl_data[[#This Row],[Engine_CC]])),"")</f>
        <v/>
      </c>
      <c r="R29" s="1" t="str">
        <f>TRIM(tbl_data[[#This Row],[Brand]])</f>
        <v>Ford</v>
      </c>
      <c r="S29" s="1">
        <f>_xlfn.NUMBERVALUE(tbl_data[[#This Row],[Price_USD]],".",",")</f>
        <v>52675</v>
      </c>
    </row>
    <row r="30" spans="1:19" x14ac:dyDescent="0.3">
      <c r="A30">
        <v>29</v>
      </c>
      <c r="B30" t="s">
        <v>12</v>
      </c>
      <c r="C30">
        <v>2019</v>
      </c>
      <c r="D30">
        <v>61549</v>
      </c>
      <c r="E30" t="s">
        <v>44</v>
      </c>
      <c r="F30" t="s">
        <v>21</v>
      </c>
      <c r="G30" t="s">
        <v>26</v>
      </c>
      <c r="H30">
        <v>2353</v>
      </c>
      <c r="I30" t="s">
        <v>115</v>
      </c>
      <c r="J30" t="s">
        <v>116</v>
      </c>
      <c r="K30">
        <v>4</v>
      </c>
      <c r="L30" t="s">
        <v>117</v>
      </c>
      <c r="M30" s="1" t="str">
        <f>TEXT(DATE(tbl_data[[#This Row],[Model_Year]],1,1),"yyyy")</f>
        <v>2019</v>
      </c>
      <c r="N30" s="1" t="str">
        <f>IF(tbl_data[[#This Row],[Kilometers_Driven]]&lt;50000,"&lt;50k",
IF(tbl_data[[#This Row],[Kilometers_Driven]]&lt;100000,"50k-100k",
IF(tbl_data[[#This Row],[Kilometers_Driven]]&lt;150000,"100k-150k","150k+")))</f>
        <v>50k-100k</v>
      </c>
      <c r="O30" s="1" t="str">
        <f>IF(tbl_data[[#This Row],[Price_USD]]&gt;=87089,"High",
IF(tbl_data[[#This Row],[Price_USD]]&gt;=56807,"Mid","Low"))</f>
        <v>High</v>
      </c>
      <c r="P30" s="1" t="str">
        <f>IF(tbl_data[[#This Row],[Transmission]]="Automatic","Auto","Manual")</f>
        <v>Auto</v>
      </c>
      <c r="Q30" s="1" t="str">
        <f>IFERROR(IF(VALUE(tbl_data[[#This Row],[Engine_CC]])=0,"",VALUE(tbl_data[[#This Row],[Price_USD]])/VALUE(tbl_data[[#This Row],[Engine_CC]])),"")</f>
        <v/>
      </c>
      <c r="R30" s="1" t="str">
        <f>TRIM(tbl_data[[#This Row],[Brand]])</f>
        <v>Audi</v>
      </c>
      <c r="S30" s="1">
        <f>_xlfn.NUMBERVALUE(tbl_data[[#This Row],[Price_USD]],".",",")</f>
        <v>112240.43</v>
      </c>
    </row>
    <row r="31" spans="1:19" x14ac:dyDescent="0.3">
      <c r="A31">
        <v>30</v>
      </c>
      <c r="B31" t="s">
        <v>19</v>
      </c>
      <c r="C31">
        <v>2019</v>
      </c>
      <c r="D31">
        <v>170575</v>
      </c>
      <c r="E31" t="s">
        <v>20</v>
      </c>
      <c r="F31" t="s">
        <v>14</v>
      </c>
      <c r="G31" t="s">
        <v>32</v>
      </c>
      <c r="H31">
        <v>1812</v>
      </c>
      <c r="I31" t="s">
        <v>118</v>
      </c>
      <c r="J31" t="s">
        <v>119</v>
      </c>
      <c r="K31">
        <v>6</v>
      </c>
      <c r="L31" t="s">
        <v>120</v>
      </c>
      <c r="M31" s="1" t="str">
        <f>TEXT(DATE(tbl_data[[#This Row],[Model_Year]],1,1),"yyyy")</f>
        <v>2019</v>
      </c>
      <c r="N31" s="1" t="str">
        <f>IF(tbl_data[[#This Row],[Kilometers_Driven]]&lt;50000,"&lt;50k",
IF(tbl_data[[#This Row],[Kilometers_Driven]]&lt;100000,"50k-100k",
IF(tbl_data[[#This Row],[Kilometers_Driven]]&lt;150000,"100k-150k","150k+")))</f>
        <v>150k+</v>
      </c>
      <c r="O31" s="1" t="str">
        <f>IF(tbl_data[[#This Row],[Price_USD]]&gt;=87089,"High",
IF(tbl_data[[#This Row],[Price_USD]]&gt;=56807,"Mid","Low"))</f>
        <v>High</v>
      </c>
      <c r="P31" s="1" t="str">
        <f>IF(tbl_data[[#This Row],[Transmission]]="Automatic","Auto","Manual")</f>
        <v>Manual</v>
      </c>
      <c r="Q31" s="1" t="str">
        <f>IFERROR(IF(VALUE(tbl_data[[#This Row],[Engine_CC]])=0,"",VALUE(tbl_data[[#This Row],[Price_USD]])/VALUE(tbl_data[[#This Row],[Engine_CC]])),"")</f>
        <v/>
      </c>
      <c r="R31" s="1" t="str">
        <f>TRIM(tbl_data[[#This Row],[Brand]])</f>
        <v>BMW</v>
      </c>
      <c r="S31" s="1">
        <f>_xlfn.NUMBERVALUE(tbl_data[[#This Row],[Price_USD]],".",",")</f>
        <v>66459.23</v>
      </c>
    </row>
    <row r="32" spans="1:19" x14ac:dyDescent="0.3">
      <c r="A32">
        <v>31</v>
      </c>
      <c r="B32" t="s">
        <v>102</v>
      </c>
      <c r="C32">
        <v>2013</v>
      </c>
      <c r="D32">
        <v>78794</v>
      </c>
      <c r="E32" t="s">
        <v>44</v>
      </c>
      <c r="F32" t="s">
        <v>21</v>
      </c>
      <c r="G32" t="s">
        <v>15</v>
      </c>
      <c r="H32">
        <v>986</v>
      </c>
      <c r="I32" t="s">
        <v>121</v>
      </c>
      <c r="J32" t="s">
        <v>122</v>
      </c>
      <c r="K32">
        <v>7</v>
      </c>
      <c r="L32" t="s">
        <v>123</v>
      </c>
      <c r="M32" s="1" t="str">
        <f>TEXT(DATE(tbl_data[[#This Row],[Model_Year]],1,1),"yyyy")</f>
        <v>2013</v>
      </c>
      <c r="N32" s="1" t="str">
        <f>IF(tbl_data[[#This Row],[Kilometers_Driven]]&lt;50000,"&lt;50k",
IF(tbl_data[[#This Row],[Kilometers_Driven]]&lt;100000,"50k-100k",
IF(tbl_data[[#This Row],[Kilometers_Driven]]&lt;150000,"100k-150k","150k+")))</f>
        <v>50k-100k</v>
      </c>
      <c r="O32" s="1" t="str">
        <f>IF(tbl_data[[#This Row],[Price_USD]]&gt;=87089,"High",
IF(tbl_data[[#This Row],[Price_USD]]&gt;=56807,"Mid","Low"))</f>
        <v>High</v>
      </c>
      <c r="P32" s="1" t="str">
        <f>IF(tbl_data[[#This Row],[Transmission]]="Automatic","Auto","Manual")</f>
        <v>Auto</v>
      </c>
      <c r="Q32" s="1" t="str">
        <f>IFERROR(IF(VALUE(tbl_data[[#This Row],[Engine_CC]])=0,"",VALUE(tbl_data[[#This Row],[Price_USD]])/VALUE(tbl_data[[#This Row],[Engine_CC]])),"")</f>
        <v/>
      </c>
      <c r="R32" s="1" t="str">
        <f>TRIM(tbl_data[[#This Row],[Brand]])</f>
        <v>Nissan</v>
      </c>
      <c r="S32" s="1">
        <f>_xlfn.NUMBERVALUE(tbl_data[[#This Row],[Price_USD]],".",",")</f>
        <v>64712.41</v>
      </c>
    </row>
    <row r="33" spans="1:19" x14ac:dyDescent="0.3">
      <c r="A33">
        <v>32</v>
      </c>
      <c r="B33" t="s">
        <v>43</v>
      </c>
      <c r="C33">
        <v>2013</v>
      </c>
      <c r="D33">
        <v>50113</v>
      </c>
      <c r="E33" t="s">
        <v>44</v>
      </c>
      <c r="F33" t="s">
        <v>14</v>
      </c>
      <c r="G33" t="s">
        <v>32</v>
      </c>
      <c r="H33">
        <v>2681</v>
      </c>
      <c r="I33" t="s">
        <v>124</v>
      </c>
      <c r="J33" t="s">
        <v>125</v>
      </c>
      <c r="K33">
        <v>4</v>
      </c>
      <c r="L33" t="s">
        <v>126</v>
      </c>
      <c r="M33" s="1" t="str">
        <f>TEXT(DATE(tbl_data[[#This Row],[Model_Year]],1,1),"yyyy")</f>
        <v>2013</v>
      </c>
      <c r="N33" s="1" t="str">
        <f>IF(tbl_data[[#This Row],[Kilometers_Driven]]&lt;50000,"&lt;50k",
IF(tbl_data[[#This Row],[Kilometers_Driven]]&lt;100000,"50k-100k",
IF(tbl_data[[#This Row],[Kilometers_Driven]]&lt;150000,"100k-150k","150k+")))</f>
        <v>50k-100k</v>
      </c>
      <c r="O33" s="1" t="str">
        <f>IF(tbl_data[[#This Row],[Price_USD]]&gt;=87089,"High",
IF(tbl_data[[#This Row],[Price_USD]]&gt;=56807,"Mid","Low"))</f>
        <v>High</v>
      </c>
      <c r="P33" s="1" t="str">
        <f>IF(tbl_data[[#This Row],[Transmission]]="Automatic","Auto","Manual")</f>
        <v>Manual</v>
      </c>
      <c r="Q33" s="1" t="str">
        <f>IFERROR(IF(VALUE(tbl_data[[#This Row],[Engine_CC]])=0,"",VALUE(tbl_data[[#This Row],[Price_USD]])/VALUE(tbl_data[[#This Row],[Engine_CC]])),"")</f>
        <v/>
      </c>
      <c r="R33" s="1" t="str">
        <f>TRIM(tbl_data[[#This Row],[Brand]])</f>
        <v>Ford</v>
      </c>
      <c r="S33" s="1">
        <f>_xlfn.NUMBERVALUE(tbl_data[[#This Row],[Price_USD]],".",",")</f>
        <v>19511.759999999998</v>
      </c>
    </row>
    <row r="34" spans="1:19" x14ac:dyDescent="0.3">
      <c r="A34">
        <v>33</v>
      </c>
      <c r="B34" t="s">
        <v>30</v>
      </c>
      <c r="C34">
        <v>2014</v>
      </c>
      <c r="D34">
        <v>79069</v>
      </c>
      <c r="E34" t="s">
        <v>20</v>
      </c>
      <c r="F34" t="s">
        <v>21</v>
      </c>
      <c r="G34" t="s">
        <v>15</v>
      </c>
      <c r="H34">
        <v>1230</v>
      </c>
      <c r="I34" t="s">
        <v>127</v>
      </c>
      <c r="J34" t="s">
        <v>128</v>
      </c>
      <c r="K34">
        <v>4</v>
      </c>
      <c r="L34" t="s">
        <v>129</v>
      </c>
      <c r="M34" s="1" t="str">
        <f>TEXT(DATE(tbl_data[[#This Row],[Model_Year]],1,1),"yyyy")</f>
        <v>2014</v>
      </c>
      <c r="N34" s="1" t="str">
        <f>IF(tbl_data[[#This Row],[Kilometers_Driven]]&lt;50000,"&lt;50k",
IF(tbl_data[[#This Row],[Kilometers_Driven]]&lt;100000,"50k-100k",
IF(tbl_data[[#This Row],[Kilometers_Driven]]&lt;150000,"100k-150k","150k+")))</f>
        <v>50k-100k</v>
      </c>
      <c r="O34" s="1" t="str">
        <f>IF(tbl_data[[#This Row],[Price_USD]]&gt;=87089,"High",
IF(tbl_data[[#This Row],[Price_USD]]&gt;=56807,"Mid","Low"))</f>
        <v>High</v>
      </c>
      <c r="P34" s="1" t="str">
        <f>IF(tbl_data[[#This Row],[Transmission]]="Automatic","Auto","Manual")</f>
        <v>Auto</v>
      </c>
      <c r="Q34" s="1" t="str">
        <f>IFERROR(IF(VALUE(tbl_data[[#This Row],[Engine_CC]])=0,"",VALUE(tbl_data[[#This Row],[Price_USD]])/VALUE(tbl_data[[#This Row],[Engine_CC]])),"")</f>
        <v/>
      </c>
      <c r="R34" s="1" t="str">
        <f>TRIM(tbl_data[[#This Row],[Brand]])</f>
        <v>Mercedes</v>
      </c>
      <c r="S34" s="1">
        <f>_xlfn.NUMBERVALUE(tbl_data[[#This Row],[Price_USD]],".",",")</f>
        <v>3092.37</v>
      </c>
    </row>
    <row r="35" spans="1:19" x14ac:dyDescent="0.3">
      <c r="A35">
        <v>34</v>
      </c>
      <c r="B35" t="s">
        <v>43</v>
      </c>
      <c r="C35">
        <v>2024</v>
      </c>
      <c r="D35">
        <v>141321</v>
      </c>
      <c r="E35" t="s">
        <v>20</v>
      </c>
      <c r="F35" t="s">
        <v>14</v>
      </c>
      <c r="G35" t="s">
        <v>15</v>
      </c>
      <c r="H35">
        <v>1038</v>
      </c>
      <c r="I35" t="s">
        <v>130</v>
      </c>
      <c r="J35" t="s">
        <v>131</v>
      </c>
      <c r="K35">
        <v>7</v>
      </c>
      <c r="L35" t="s">
        <v>132</v>
      </c>
      <c r="M35" s="1" t="str">
        <f>TEXT(DATE(tbl_data[[#This Row],[Model_Year]],1,1),"yyyy")</f>
        <v>2024</v>
      </c>
      <c r="N35" s="1" t="str">
        <f>IF(tbl_data[[#This Row],[Kilometers_Driven]]&lt;50000,"&lt;50k",
IF(tbl_data[[#This Row],[Kilometers_Driven]]&lt;100000,"50k-100k",
IF(tbl_data[[#This Row],[Kilometers_Driven]]&lt;150000,"100k-150k","150k+")))</f>
        <v>100k-150k</v>
      </c>
      <c r="O35" s="1" t="str">
        <f>IF(tbl_data[[#This Row],[Price_USD]]&gt;=87089,"High",
IF(tbl_data[[#This Row],[Price_USD]]&gt;=56807,"Mid","Low"))</f>
        <v>High</v>
      </c>
      <c r="P35" s="1" t="str">
        <f>IF(tbl_data[[#This Row],[Transmission]]="Automatic","Auto","Manual")</f>
        <v>Manual</v>
      </c>
      <c r="Q35" s="1" t="str">
        <f>IFERROR(IF(VALUE(tbl_data[[#This Row],[Engine_CC]])=0,"",VALUE(tbl_data[[#This Row],[Price_USD]])/VALUE(tbl_data[[#This Row],[Engine_CC]])),"")</f>
        <v/>
      </c>
      <c r="R35" s="1" t="str">
        <f>TRIM(tbl_data[[#This Row],[Brand]])</f>
        <v>Ford</v>
      </c>
      <c r="S35" s="1">
        <f>_xlfn.NUMBERVALUE(tbl_data[[#This Row],[Price_USD]],".",",")</f>
        <v>97786.39</v>
      </c>
    </row>
    <row r="36" spans="1:19" x14ac:dyDescent="0.3">
      <c r="A36">
        <v>35</v>
      </c>
      <c r="B36" t="s">
        <v>12</v>
      </c>
      <c r="C36">
        <v>2013</v>
      </c>
      <c r="D36">
        <v>155273</v>
      </c>
      <c r="E36" t="s">
        <v>20</v>
      </c>
      <c r="F36" t="s">
        <v>21</v>
      </c>
      <c r="G36" t="s">
        <v>15</v>
      </c>
      <c r="H36">
        <v>3145</v>
      </c>
      <c r="I36" t="s">
        <v>133</v>
      </c>
      <c r="J36" t="s">
        <v>134</v>
      </c>
      <c r="K36">
        <v>4</v>
      </c>
      <c r="L36" t="s">
        <v>135</v>
      </c>
      <c r="M36" s="1" t="str">
        <f>TEXT(DATE(tbl_data[[#This Row],[Model_Year]],1,1),"yyyy")</f>
        <v>2013</v>
      </c>
      <c r="N36" s="1" t="str">
        <f>IF(tbl_data[[#This Row],[Kilometers_Driven]]&lt;50000,"&lt;50k",
IF(tbl_data[[#This Row],[Kilometers_Driven]]&lt;100000,"50k-100k",
IF(tbl_data[[#This Row],[Kilometers_Driven]]&lt;150000,"100k-150k","150k+")))</f>
        <v>150k+</v>
      </c>
      <c r="O36" s="1" t="str">
        <f>IF(tbl_data[[#This Row],[Price_USD]]&gt;=87089,"High",
IF(tbl_data[[#This Row],[Price_USD]]&gt;=56807,"Mid","Low"))</f>
        <v>High</v>
      </c>
      <c r="P36" s="1" t="str">
        <f>IF(tbl_data[[#This Row],[Transmission]]="Automatic","Auto","Manual")</f>
        <v>Auto</v>
      </c>
      <c r="Q36" s="1" t="str">
        <f>IFERROR(IF(VALUE(tbl_data[[#This Row],[Engine_CC]])=0,"",VALUE(tbl_data[[#This Row],[Price_USD]])/VALUE(tbl_data[[#This Row],[Engine_CC]])),"")</f>
        <v/>
      </c>
      <c r="R36" s="1" t="str">
        <f>TRIM(tbl_data[[#This Row],[Brand]])</f>
        <v>Audi</v>
      </c>
      <c r="S36" s="1">
        <f>_xlfn.NUMBERVALUE(tbl_data[[#This Row],[Price_USD]],".",",")</f>
        <v>13246.22</v>
      </c>
    </row>
    <row r="37" spans="1:19" x14ac:dyDescent="0.3">
      <c r="A37">
        <v>36</v>
      </c>
      <c r="B37" t="s">
        <v>30</v>
      </c>
      <c r="C37">
        <v>2007</v>
      </c>
      <c r="D37">
        <v>130541</v>
      </c>
      <c r="E37" t="s">
        <v>13</v>
      </c>
      <c r="F37" t="s">
        <v>21</v>
      </c>
      <c r="G37" t="s">
        <v>15</v>
      </c>
      <c r="H37">
        <v>875</v>
      </c>
      <c r="I37" t="s">
        <v>136</v>
      </c>
      <c r="J37" t="s">
        <v>137</v>
      </c>
      <c r="K37">
        <v>2</v>
      </c>
      <c r="L37" t="s">
        <v>138</v>
      </c>
      <c r="M37" s="1" t="str">
        <f>TEXT(DATE(tbl_data[[#This Row],[Model_Year]],1,1),"yyyy")</f>
        <v>2007</v>
      </c>
      <c r="N37" s="1" t="str">
        <f>IF(tbl_data[[#This Row],[Kilometers_Driven]]&lt;50000,"&lt;50k",
IF(tbl_data[[#This Row],[Kilometers_Driven]]&lt;100000,"50k-100k",
IF(tbl_data[[#This Row],[Kilometers_Driven]]&lt;150000,"100k-150k","150k+")))</f>
        <v>100k-150k</v>
      </c>
      <c r="O37" s="1" t="str">
        <f>IF(tbl_data[[#This Row],[Price_USD]]&gt;=87089,"High",
IF(tbl_data[[#This Row],[Price_USD]]&gt;=56807,"Mid","Low"))</f>
        <v>High</v>
      </c>
      <c r="P37" s="1" t="str">
        <f>IF(tbl_data[[#This Row],[Transmission]]="Automatic","Auto","Manual")</f>
        <v>Auto</v>
      </c>
      <c r="Q37" s="1" t="str">
        <f>IFERROR(IF(VALUE(tbl_data[[#This Row],[Engine_CC]])=0,"",VALUE(tbl_data[[#This Row],[Price_USD]])/VALUE(tbl_data[[#This Row],[Engine_CC]])),"")</f>
        <v/>
      </c>
      <c r="R37" s="1" t="str">
        <f>TRIM(tbl_data[[#This Row],[Brand]])</f>
        <v>Mercedes</v>
      </c>
      <c r="S37" s="1">
        <f>_xlfn.NUMBERVALUE(tbl_data[[#This Row],[Price_USD]],".",",")</f>
        <v>77160.429999999993</v>
      </c>
    </row>
    <row r="38" spans="1:19" x14ac:dyDescent="0.3">
      <c r="A38">
        <v>37</v>
      </c>
      <c r="B38" t="s">
        <v>102</v>
      </c>
      <c r="C38">
        <v>2024</v>
      </c>
      <c r="D38">
        <v>194648</v>
      </c>
      <c r="E38" t="s">
        <v>20</v>
      </c>
      <c r="F38" t="s">
        <v>21</v>
      </c>
      <c r="G38" t="s">
        <v>32</v>
      </c>
      <c r="H38">
        <v>2156</v>
      </c>
      <c r="I38" t="s">
        <v>139</v>
      </c>
      <c r="J38" t="s">
        <v>140</v>
      </c>
      <c r="K38">
        <v>2</v>
      </c>
      <c r="L38" t="s">
        <v>141</v>
      </c>
      <c r="M38" s="1" t="str">
        <f>TEXT(DATE(tbl_data[[#This Row],[Model_Year]],1,1),"yyyy")</f>
        <v>2024</v>
      </c>
      <c r="N38" s="1" t="str">
        <f>IF(tbl_data[[#This Row],[Kilometers_Driven]]&lt;50000,"&lt;50k",
IF(tbl_data[[#This Row],[Kilometers_Driven]]&lt;100000,"50k-100k",
IF(tbl_data[[#This Row],[Kilometers_Driven]]&lt;150000,"100k-150k","150k+")))</f>
        <v>150k+</v>
      </c>
      <c r="O38" s="1" t="str">
        <f>IF(tbl_data[[#This Row],[Price_USD]]&gt;=87089,"High",
IF(tbl_data[[#This Row],[Price_USD]]&gt;=56807,"Mid","Low"))</f>
        <v>High</v>
      </c>
      <c r="P38" s="1" t="str">
        <f>IF(tbl_data[[#This Row],[Transmission]]="Automatic","Auto","Manual")</f>
        <v>Auto</v>
      </c>
      <c r="Q38" s="1" t="str">
        <f>IFERROR(IF(VALUE(tbl_data[[#This Row],[Engine_CC]])=0,"",VALUE(tbl_data[[#This Row],[Price_USD]])/VALUE(tbl_data[[#This Row],[Engine_CC]])),"")</f>
        <v/>
      </c>
      <c r="R38" s="1" t="str">
        <f>TRIM(tbl_data[[#This Row],[Brand]])</f>
        <v>Nissan</v>
      </c>
      <c r="S38" s="1">
        <f>_xlfn.NUMBERVALUE(tbl_data[[#This Row],[Price_USD]],".",",")</f>
        <v>110010.13</v>
      </c>
    </row>
    <row r="39" spans="1:19" x14ac:dyDescent="0.3">
      <c r="A39">
        <v>38</v>
      </c>
      <c r="B39" t="s">
        <v>12</v>
      </c>
      <c r="C39">
        <v>2015</v>
      </c>
      <c r="D39">
        <v>14686</v>
      </c>
      <c r="E39" t="s">
        <v>31</v>
      </c>
      <c r="F39" t="s">
        <v>21</v>
      </c>
      <c r="G39" t="s">
        <v>15</v>
      </c>
      <c r="H39">
        <v>3130</v>
      </c>
      <c r="I39" t="s">
        <v>142</v>
      </c>
      <c r="J39" t="s">
        <v>143</v>
      </c>
      <c r="K39">
        <v>7</v>
      </c>
      <c r="L39" t="s">
        <v>144</v>
      </c>
      <c r="M39" s="1" t="str">
        <f>TEXT(DATE(tbl_data[[#This Row],[Model_Year]],1,1),"yyyy")</f>
        <v>2015</v>
      </c>
      <c r="N39" s="1" t="str">
        <f>IF(tbl_data[[#This Row],[Kilometers_Driven]]&lt;50000,"&lt;50k",
IF(tbl_data[[#This Row],[Kilometers_Driven]]&lt;100000,"50k-100k",
IF(tbl_data[[#This Row],[Kilometers_Driven]]&lt;150000,"100k-150k","150k+")))</f>
        <v>&lt;50k</v>
      </c>
      <c r="O39" s="1" t="str">
        <f>IF(tbl_data[[#This Row],[Price_USD]]&gt;=87089,"High",
IF(tbl_data[[#This Row],[Price_USD]]&gt;=56807,"Mid","Low"))</f>
        <v>High</v>
      </c>
      <c r="P39" s="1" t="str">
        <f>IF(tbl_data[[#This Row],[Transmission]]="Automatic","Auto","Manual")</f>
        <v>Auto</v>
      </c>
      <c r="Q39" s="1" t="str">
        <f>IFERROR(IF(VALUE(tbl_data[[#This Row],[Engine_CC]])=0,"",VALUE(tbl_data[[#This Row],[Price_USD]])/VALUE(tbl_data[[#This Row],[Engine_CC]])),"")</f>
        <v/>
      </c>
      <c r="R39" s="1" t="str">
        <f>TRIM(tbl_data[[#This Row],[Brand]])</f>
        <v>Audi</v>
      </c>
      <c r="S39" s="1">
        <f>_xlfn.NUMBERVALUE(tbl_data[[#This Row],[Price_USD]],".",",")</f>
        <v>27412.27</v>
      </c>
    </row>
    <row r="40" spans="1:19" x14ac:dyDescent="0.3">
      <c r="A40">
        <v>39</v>
      </c>
      <c r="B40" t="s">
        <v>76</v>
      </c>
      <c r="C40">
        <v>2010</v>
      </c>
      <c r="D40">
        <v>58363</v>
      </c>
      <c r="E40" t="s">
        <v>44</v>
      </c>
      <c r="F40" t="s">
        <v>21</v>
      </c>
      <c r="G40" t="s">
        <v>26</v>
      </c>
      <c r="H40">
        <v>2702</v>
      </c>
      <c r="I40" t="s">
        <v>145</v>
      </c>
      <c r="J40" t="s">
        <v>146</v>
      </c>
      <c r="K40">
        <v>6</v>
      </c>
      <c r="L40" t="s">
        <v>147</v>
      </c>
      <c r="M40" s="1" t="str">
        <f>TEXT(DATE(tbl_data[[#This Row],[Model_Year]],1,1),"yyyy")</f>
        <v>2010</v>
      </c>
      <c r="N40" s="1" t="str">
        <f>IF(tbl_data[[#This Row],[Kilometers_Driven]]&lt;50000,"&lt;50k",
IF(tbl_data[[#This Row],[Kilometers_Driven]]&lt;100000,"50k-100k",
IF(tbl_data[[#This Row],[Kilometers_Driven]]&lt;150000,"100k-150k","150k+")))</f>
        <v>50k-100k</v>
      </c>
      <c r="O40" s="1" t="str">
        <f>IF(tbl_data[[#This Row],[Price_USD]]&gt;=87089,"High",
IF(tbl_data[[#This Row],[Price_USD]]&gt;=56807,"Mid","Low"))</f>
        <v>High</v>
      </c>
      <c r="P40" s="1" t="str">
        <f>IF(tbl_data[[#This Row],[Transmission]]="Automatic","Auto","Manual")</f>
        <v>Auto</v>
      </c>
      <c r="Q40" s="1" t="str">
        <f>IFERROR(IF(VALUE(tbl_data[[#This Row],[Engine_CC]])=0,"",VALUE(tbl_data[[#This Row],[Price_USD]])/VALUE(tbl_data[[#This Row],[Engine_CC]])),"")</f>
        <v/>
      </c>
      <c r="R40" s="1" t="str">
        <f>TRIM(tbl_data[[#This Row],[Brand]])</f>
        <v>Honda</v>
      </c>
      <c r="S40" s="1">
        <f>_xlfn.NUMBERVALUE(tbl_data[[#This Row],[Price_USD]],".",",")</f>
        <v>80836.92</v>
      </c>
    </row>
    <row r="41" spans="1:19" x14ac:dyDescent="0.3">
      <c r="A41">
        <v>40</v>
      </c>
      <c r="B41" t="s">
        <v>19</v>
      </c>
      <c r="C41">
        <v>2006</v>
      </c>
      <c r="D41">
        <v>102543</v>
      </c>
      <c r="E41" t="s">
        <v>13</v>
      </c>
      <c r="F41" t="s">
        <v>21</v>
      </c>
      <c r="G41" t="s">
        <v>26</v>
      </c>
      <c r="H41">
        <v>4813</v>
      </c>
      <c r="I41" t="s">
        <v>148</v>
      </c>
      <c r="J41" t="s">
        <v>149</v>
      </c>
      <c r="K41">
        <v>2</v>
      </c>
      <c r="L41" t="s">
        <v>150</v>
      </c>
      <c r="M41" s="1" t="str">
        <f>TEXT(DATE(tbl_data[[#This Row],[Model_Year]],1,1),"yyyy")</f>
        <v>2006</v>
      </c>
      <c r="N41" s="1" t="str">
        <f>IF(tbl_data[[#This Row],[Kilometers_Driven]]&lt;50000,"&lt;50k",
IF(tbl_data[[#This Row],[Kilometers_Driven]]&lt;100000,"50k-100k",
IF(tbl_data[[#This Row],[Kilometers_Driven]]&lt;150000,"100k-150k","150k+")))</f>
        <v>100k-150k</v>
      </c>
      <c r="O41" s="1" t="str">
        <f>IF(tbl_data[[#This Row],[Price_USD]]&gt;=87089,"High",
IF(tbl_data[[#This Row],[Price_USD]]&gt;=56807,"Mid","Low"))</f>
        <v>High</v>
      </c>
      <c r="P41" s="1" t="str">
        <f>IF(tbl_data[[#This Row],[Transmission]]="Automatic","Auto","Manual")</f>
        <v>Auto</v>
      </c>
      <c r="Q41" s="1" t="str">
        <f>IFERROR(IF(VALUE(tbl_data[[#This Row],[Engine_CC]])=0,"",VALUE(tbl_data[[#This Row],[Price_USD]])/VALUE(tbl_data[[#This Row],[Engine_CC]])),"")</f>
        <v/>
      </c>
      <c r="R41" s="1" t="str">
        <f>TRIM(tbl_data[[#This Row],[Brand]])</f>
        <v>BMW</v>
      </c>
      <c r="S41" s="1">
        <f>_xlfn.NUMBERVALUE(tbl_data[[#This Row],[Price_USD]],".",",")</f>
        <v>12207.73</v>
      </c>
    </row>
    <row r="42" spans="1:19" x14ac:dyDescent="0.3">
      <c r="A42">
        <v>41</v>
      </c>
      <c r="B42" t="s">
        <v>102</v>
      </c>
      <c r="C42">
        <v>2011</v>
      </c>
      <c r="D42">
        <v>136733</v>
      </c>
      <c r="E42" t="s">
        <v>20</v>
      </c>
      <c r="F42" t="s">
        <v>21</v>
      </c>
      <c r="G42" t="s">
        <v>32</v>
      </c>
      <c r="H42">
        <v>2859</v>
      </c>
      <c r="I42" t="s">
        <v>151</v>
      </c>
      <c r="J42" t="s">
        <v>152</v>
      </c>
      <c r="K42">
        <v>2</v>
      </c>
      <c r="L42" t="s">
        <v>153</v>
      </c>
      <c r="M42" s="1" t="str">
        <f>TEXT(DATE(tbl_data[[#This Row],[Model_Year]],1,1),"yyyy")</f>
        <v>2011</v>
      </c>
      <c r="N42" s="1" t="str">
        <f>IF(tbl_data[[#This Row],[Kilometers_Driven]]&lt;50000,"&lt;50k",
IF(tbl_data[[#This Row],[Kilometers_Driven]]&lt;100000,"50k-100k",
IF(tbl_data[[#This Row],[Kilometers_Driven]]&lt;150000,"100k-150k","150k+")))</f>
        <v>100k-150k</v>
      </c>
      <c r="O42" s="1" t="str">
        <f>IF(tbl_data[[#This Row],[Price_USD]]&gt;=87089,"High",
IF(tbl_data[[#This Row],[Price_USD]]&gt;=56807,"Mid","Low"))</f>
        <v>High</v>
      </c>
      <c r="P42" s="1" t="str">
        <f>IF(tbl_data[[#This Row],[Transmission]]="Automatic","Auto","Manual")</f>
        <v>Auto</v>
      </c>
      <c r="Q42" s="1" t="str">
        <f>IFERROR(IF(VALUE(tbl_data[[#This Row],[Engine_CC]])=0,"",VALUE(tbl_data[[#This Row],[Price_USD]])/VALUE(tbl_data[[#This Row],[Engine_CC]])),"")</f>
        <v/>
      </c>
      <c r="R42" s="1" t="str">
        <f>TRIM(tbl_data[[#This Row],[Brand]])</f>
        <v>Nissan</v>
      </c>
      <c r="S42" s="1">
        <f>_xlfn.NUMBERVALUE(tbl_data[[#This Row],[Price_USD]],".",",")</f>
        <v>73639.350000000006</v>
      </c>
    </row>
    <row r="43" spans="1:19" x14ac:dyDescent="0.3">
      <c r="A43">
        <v>42</v>
      </c>
      <c r="B43" t="s">
        <v>76</v>
      </c>
      <c r="C43">
        <v>2022</v>
      </c>
      <c r="D43">
        <v>180915</v>
      </c>
      <c r="E43" t="s">
        <v>13</v>
      </c>
      <c r="F43" t="s">
        <v>21</v>
      </c>
      <c r="G43" t="s">
        <v>15</v>
      </c>
      <c r="H43">
        <v>940</v>
      </c>
      <c r="I43" t="s">
        <v>154</v>
      </c>
      <c r="J43" t="s">
        <v>155</v>
      </c>
      <c r="K43">
        <v>7</v>
      </c>
      <c r="L43" t="s">
        <v>156</v>
      </c>
      <c r="M43" s="1" t="str">
        <f>TEXT(DATE(tbl_data[[#This Row],[Model_Year]],1,1),"yyyy")</f>
        <v>2022</v>
      </c>
      <c r="N43" s="1" t="str">
        <f>IF(tbl_data[[#This Row],[Kilometers_Driven]]&lt;50000,"&lt;50k",
IF(tbl_data[[#This Row],[Kilometers_Driven]]&lt;100000,"50k-100k",
IF(tbl_data[[#This Row],[Kilometers_Driven]]&lt;150000,"100k-150k","150k+")))</f>
        <v>150k+</v>
      </c>
      <c r="O43" s="1" t="str">
        <f>IF(tbl_data[[#This Row],[Price_USD]]&gt;=87089,"High",
IF(tbl_data[[#This Row],[Price_USD]]&gt;=56807,"Mid","Low"))</f>
        <v>High</v>
      </c>
      <c r="P43" s="1" t="str">
        <f>IF(tbl_data[[#This Row],[Transmission]]="Automatic","Auto","Manual")</f>
        <v>Auto</v>
      </c>
      <c r="Q43" s="1" t="str">
        <f>IFERROR(IF(VALUE(tbl_data[[#This Row],[Engine_CC]])=0,"",VALUE(tbl_data[[#This Row],[Price_USD]])/VALUE(tbl_data[[#This Row],[Engine_CC]])),"")</f>
        <v/>
      </c>
      <c r="R43" s="1" t="str">
        <f>TRIM(tbl_data[[#This Row],[Brand]])</f>
        <v>Honda</v>
      </c>
      <c r="S43" s="1">
        <f>_xlfn.NUMBERVALUE(tbl_data[[#This Row],[Price_USD]],".",",")</f>
        <v>22180.01</v>
      </c>
    </row>
    <row r="44" spans="1:19" x14ac:dyDescent="0.3">
      <c r="A44">
        <v>43</v>
      </c>
      <c r="B44" t="s">
        <v>39</v>
      </c>
      <c r="C44">
        <v>2006</v>
      </c>
      <c r="D44">
        <v>100673</v>
      </c>
      <c r="E44" t="s">
        <v>20</v>
      </c>
      <c r="F44" t="s">
        <v>21</v>
      </c>
      <c r="G44" t="s">
        <v>26</v>
      </c>
      <c r="H44">
        <v>2589</v>
      </c>
      <c r="I44" t="s">
        <v>157</v>
      </c>
      <c r="J44" t="s">
        <v>158</v>
      </c>
      <c r="K44">
        <v>5</v>
      </c>
      <c r="L44" t="s">
        <v>159</v>
      </c>
      <c r="M44" s="1" t="str">
        <f>TEXT(DATE(tbl_data[[#This Row],[Model_Year]],1,1),"yyyy")</f>
        <v>2006</v>
      </c>
      <c r="N44" s="1" t="str">
        <f>IF(tbl_data[[#This Row],[Kilometers_Driven]]&lt;50000,"&lt;50k",
IF(tbl_data[[#This Row],[Kilometers_Driven]]&lt;100000,"50k-100k",
IF(tbl_data[[#This Row],[Kilometers_Driven]]&lt;150000,"100k-150k","150k+")))</f>
        <v>100k-150k</v>
      </c>
      <c r="O44" s="1" t="str">
        <f>IF(tbl_data[[#This Row],[Price_USD]]&gt;=87089,"High",
IF(tbl_data[[#This Row],[Price_USD]]&gt;=56807,"Mid","Low"))</f>
        <v>High</v>
      </c>
      <c r="P44" s="1" t="str">
        <f>IF(tbl_data[[#This Row],[Transmission]]="Automatic","Auto","Manual")</f>
        <v>Auto</v>
      </c>
      <c r="Q44" s="1" t="str">
        <f>IFERROR(IF(VALUE(tbl_data[[#This Row],[Engine_CC]])=0,"",VALUE(tbl_data[[#This Row],[Price_USD]])/VALUE(tbl_data[[#This Row],[Engine_CC]])),"")</f>
        <v/>
      </c>
      <c r="R44" s="1" t="str">
        <f>TRIM(tbl_data[[#This Row],[Brand]])</f>
        <v>Volkswagen</v>
      </c>
      <c r="S44" s="1">
        <f>_xlfn.NUMBERVALUE(tbl_data[[#This Row],[Price_USD]],".",",")</f>
        <v>89106.57</v>
      </c>
    </row>
    <row r="45" spans="1:19" x14ac:dyDescent="0.3">
      <c r="A45">
        <v>44</v>
      </c>
      <c r="B45" t="s">
        <v>102</v>
      </c>
      <c r="C45">
        <v>2021</v>
      </c>
      <c r="D45">
        <v>197035</v>
      </c>
      <c r="E45" t="s">
        <v>13</v>
      </c>
      <c r="F45" t="s">
        <v>14</v>
      </c>
      <c r="G45" t="s">
        <v>32</v>
      </c>
      <c r="H45">
        <v>4426</v>
      </c>
      <c r="I45" t="s">
        <v>160</v>
      </c>
      <c r="J45" t="s">
        <v>161</v>
      </c>
      <c r="K45">
        <v>4</v>
      </c>
      <c r="L45" t="s">
        <v>162</v>
      </c>
      <c r="M45" s="1" t="str">
        <f>TEXT(DATE(tbl_data[[#This Row],[Model_Year]],1,1),"yyyy")</f>
        <v>2021</v>
      </c>
      <c r="N45" s="1" t="str">
        <f>IF(tbl_data[[#This Row],[Kilometers_Driven]]&lt;50000,"&lt;50k",
IF(tbl_data[[#This Row],[Kilometers_Driven]]&lt;100000,"50k-100k",
IF(tbl_data[[#This Row],[Kilometers_Driven]]&lt;150000,"100k-150k","150k+")))</f>
        <v>150k+</v>
      </c>
      <c r="O45" s="1" t="str">
        <f>IF(tbl_data[[#This Row],[Price_USD]]&gt;=87089,"High",
IF(tbl_data[[#This Row],[Price_USD]]&gt;=56807,"Mid","Low"))</f>
        <v>High</v>
      </c>
      <c r="P45" s="1" t="str">
        <f>IF(tbl_data[[#This Row],[Transmission]]="Automatic","Auto","Manual")</f>
        <v>Manual</v>
      </c>
      <c r="Q45" s="1" t="str">
        <f>IFERROR(IF(VALUE(tbl_data[[#This Row],[Engine_CC]])=0,"",VALUE(tbl_data[[#This Row],[Price_USD]])/VALUE(tbl_data[[#This Row],[Engine_CC]])),"")</f>
        <v/>
      </c>
      <c r="R45" s="1" t="str">
        <f>TRIM(tbl_data[[#This Row],[Brand]])</f>
        <v>Nissan</v>
      </c>
      <c r="S45" s="1">
        <f>_xlfn.NUMBERVALUE(tbl_data[[#This Row],[Price_USD]],".",",")</f>
        <v>38244.06</v>
      </c>
    </row>
    <row r="46" spans="1:19" x14ac:dyDescent="0.3">
      <c r="A46">
        <v>45</v>
      </c>
      <c r="B46" t="s">
        <v>39</v>
      </c>
      <c r="C46">
        <v>2015</v>
      </c>
      <c r="D46">
        <v>47828</v>
      </c>
      <c r="E46" t="s">
        <v>44</v>
      </c>
      <c r="F46" t="s">
        <v>14</v>
      </c>
      <c r="G46" t="s">
        <v>15</v>
      </c>
      <c r="H46">
        <v>816</v>
      </c>
      <c r="I46" t="s">
        <v>163</v>
      </c>
      <c r="J46" t="s">
        <v>164</v>
      </c>
      <c r="K46">
        <v>2</v>
      </c>
      <c r="L46" t="s">
        <v>165</v>
      </c>
      <c r="M46" s="1" t="str">
        <f>TEXT(DATE(tbl_data[[#This Row],[Model_Year]],1,1),"yyyy")</f>
        <v>2015</v>
      </c>
      <c r="N46" s="1" t="str">
        <f>IF(tbl_data[[#This Row],[Kilometers_Driven]]&lt;50000,"&lt;50k",
IF(tbl_data[[#This Row],[Kilometers_Driven]]&lt;100000,"50k-100k",
IF(tbl_data[[#This Row],[Kilometers_Driven]]&lt;150000,"100k-150k","150k+")))</f>
        <v>&lt;50k</v>
      </c>
      <c r="O46" s="1" t="str">
        <f>IF(tbl_data[[#This Row],[Price_USD]]&gt;=87089,"High",
IF(tbl_data[[#This Row],[Price_USD]]&gt;=56807,"Mid","Low"))</f>
        <v>High</v>
      </c>
      <c r="P46" s="1" t="str">
        <f>IF(tbl_data[[#This Row],[Transmission]]="Automatic","Auto","Manual")</f>
        <v>Manual</v>
      </c>
      <c r="Q46" s="1" t="str">
        <f>IFERROR(IF(VALUE(tbl_data[[#This Row],[Engine_CC]])=0,"",VALUE(tbl_data[[#This Row],[Price_USD]])/VALUE(tbl_data[[#This Row],[Engine_CC]])),"")</f>
        <v/>
      </c>
      <c r="R46" s="1" t="str">
        <f>TRIM(tbl_data[[#This Row],[Brand]])</f>
        <v>Volkswagen</v>
      </c>
      <c r="S46" s="1">
        <f>_xlfn.NUMBERVALUE(tbl_data[[#This Row],[Price_USD]],".",",")</f>
        <v>57216.75</v>
      </c>
    </row>
    <row r="47" spans="1:19" x14ac:dyDescent="0.3">
      <c r="A47">
        <v>46</v>
      </c>
      <c r="B47" t="s">
        <v>30</v>
      </c>
      <c r="C47">
        <v>2016</v>
      </c>
      <c r="D47">
        <v>53604</v>
      </c>
      <c r="E47" t="s">
        <v>44</v>
      </c>
      <c r="F47" t="s">
        <v>21</v>
      </c>
      <c r="G47" t="s">
        <v>26</v>
      </c>
      <c r="H47">
        <v>1264</v>
      </c>
      <c r="I47" t="s">
        <v>166</v>
      </c>
      <c r="J47" t="s">
        <v>167</v>
      </c>
      <c r="K47">
        <v>5</v>
      </c>
      <c r="L47" t="s">
        <v>168</v>
      </c>
      <c r="M47" s="1" t="str">
        <f>TEXT(DATE(tbl_data[[#This Row],[Model_Year]],1,1),"yyyy")</f>
        <v>2016</v>
      </c>
      <c r="N47" s="1" t="str">
        <f>IF(tbl_data[[#This Row],[Kilometers_Driven]]&lt;50000,"&lt;50k",
IF(tbl_data[[#This Row],[Kilometers_Driven]]&lt;100000,"50k-100k",
IF(tbl_data[[#This Row],[Kilometers_Driven]]&lt;150000,"100k-150k","150k+")))</f>
        <v>50k-100k</v>
      </c>
      <c r="O47" s="1" t="str">
        <f>IF(tbl_data[[#This Row],[Price_USD]]&gt;=87089,"High",
IF(tbl_data[[#This Row],[Price_USD]]&gt;=56807,"Mid","Low"))</f>
        <v>High</v>
      </c>
      <c r="P47" s="1" t="str">
        <f>IF(tbl_data[[#This Row],[Transmission]]="Automatic","Auto","Manual")</f>
        <v>Auto</v>
      </c>
      <c r="Q47" s="1" t="str">
        <f>IFERROR(IF(VALUE(tbl_data[[#This Row],[Engine_CC]])=0,"",VALUE(tbl_data[[#This Row],[Price_USD]])/VALUE(tbl_data[[#This Row],[Engine_CC]])),"")</f>
        <v/>
      </c>
      <c r="R47" s="1" t="str">
        <f>TRIM(tbl_data[[#This Row],[Brand]])</f>
        <v>Mercedes</v>
      </c>
      <c r="S47" s="1">
        <f>_xlfn.NUMBERVALUE(tbl_data[[#This Row],[Price_USD]],".",",")</f>
        <v>73133.37</v>
      </c>
    </row>
    <row r="48" spans="1:19" x14ac:dyDescent="0.3">
      <c r="A48">
        <v>47</v>
      </c>
      <c r="B48" t="s">
        <v>76</v>
      </c>
      <c r="C48">
        <v>2023</v>
      </c>
      <c r="D48">
        <v>15526</v>
      </c>
      <c r="E48" t="s">
        <v>31</v>
      </c>
      <c r="F48" t="s">
        <v>14</v>
      </c>
      <c r="G48" t="s">
        <v>26</v>
      </c>
      <c r="H48">
        <v>2627</v>
      </c>
      <c r="I48" t="s">
        <v>169</v>
      </c>
      <c r="J48" t="s">
        <v>170</v>
      </c>
      <c r="K48">
        <v>6</v>
      </c>
      <c r="L48" t="s">
        <v>171</v>
      </c>
      <c r="M48" s="1" t="str">
        <f>TEXT(DATE(tbl_data[[#This Row],[Model_Year]],1,1),"yyyy")</f>
        <v>2023</v>
      </c>
      <c r="N48" s="1" t="str">
        <f>IF(tbl_data[[#This Row],[Kilometers_Driven]]&lt;50000,"&lt;50k",
IF(tbl_data[[#This Row],[Kilometers_Driven]]&lt;100000,"50k-100k",
IF(tbl_data[[#This Row],[Kilometers_Driven]]&lt;150000,"100k-150k","150k+")))</f>
        <v>&lt;50k</v>
      </c>
      <c r="O48" s="1" t="str">
        <f>IF(tbl_data[[#This Row],[Price_USD]]&gt;=87089,"High",
IF(tbl_data[[#This Row],[Price_USD]]&gt;=56807,"Mid","Low"))</f>
        <v>High</v>
      </c>
      <c r="P48" s="1" t="str">
        <f>IF(tbl_data[[#This Row],[Transmission]]="Automatic","Auto","Manual")</f>
        <v>Manual</v>
      </c>
      <c r="Q48" s="1" t="str">
        <f>IFERROR(IF(VALUE(tbl_data[[#This Row],[Engine_CC]])=0,"",VALUE(tbl_data[[#This Row],[Price_USD]])/VALUE(tbl_data[[#This Row],[Engine_CC]])),"")</f>
        <v/>
      </c>
      <c r="R48" s="1" t="str">
        <f>TRIM(tbl_data[[#This Row],[Brand]])</f>
        <v>Honda</v>
      </c>
      <c r="S48" s="1">
        <f>_xlfn.NUMBERVALUE(tbl_data[[#This Row],[Price_USD]],".",",")</f>
        <v>23038.99</v>
      </c>
    </row>
    <row r="49" spans="1:19" x14ac:dyDescent="0.3">
      <c r="A49">
        <v>48</v>
      </c>
      <c r="B49" t="s">
        <v>19</v>
      </c>
      <c r="C49">
        <v>2011</v>
      </c>
      <c r="D49">
        <v>73910</v>
      </c>
      <c r="E49" t="s">
        <v>31</v>
      </c>
      <c r="F49" t="s">
        <v>21</v>
      </c>
      <c r="G49" t="s">
        <v>32</v>
      </c>
      <c r="H49">
        <v>3828</v>
      </c>
      <c r="I49" t="s">
        <v>172</v>
      </c>
      <c r="J49" t="s">
        <v>173</v>
      </c>
      <c r="K49">
        <v>5</v>
      </c>
      <c r="L49" t="s">
        <v>174</v>
      </c>
      <c r="M49" s="1" t="str">
        <f>TEXT(DATE(tbl_data[[#This Row],[Model_Year]],1,1),"yyyy")</f>
        <v>2011</v>
      </c>
      <c r="N49" s="1" t="str">
        <f>IF(tbl_data[[#This Row],[Kilometers_Driven]]&lt;50000,"&lt;50k",
IF(tbl_data[[#This Row],[Kilometers_Driven]]&lt;100000,"50k-100k",
IF(tbl_data[[#This Row],[Kilometers_Driven]]&lt;150000,"100k-150k","150k+")))</f>
        <v>50k-100k</v>
      </c>
      <c r="O49" s="1" t="str">
        <f>IF(tbl_data[[#This Row],[Price_USD]]&gt;=87089,"High",
IF(tbl_data[[#This Row],[Price_USD]]&gt;=56807,"Mid","Low"))</f>
        <v>High</v>
      </c>
      <c r="P49" s="1" t="str">
        <f>IF(tbl_data[[#This Row],[Transmission]]="Automatic","Auto","Manual")</f>
        <v>Auto</v>
      </c>
      <c r="Q49" s="1" t="str">
        <f>IFERROR(IF(VALUE(tbl_data[[#This Row],[Engine_CC]])=0,"",VALUE(tbl_data[[#This Row],[Price_USD]])/VALUE(tbl_data[[#This Row],[Engine_CC]])),"")</f>
        <v/>
      </c>
      <c r="R49" s="1" t="str">
        <f>TRIM(tbl_data[[#This Row],[Brand]])</f>
        <v>BMW</v>
      </c>
      <c r="S49" s="1">
        <f>_xlfn.NUMBERVALUE(tbl_data[[#This Row],[Price_USD]],".",",")</f>
        <v>89771.62</v>
      </c>
    </row>
    <row r="50" spans="1:19" x14ac:dyDescent="0.3">
      <c r="A50">
        <v>49</v>
      </c>
      <c r="B50" t="s">
        <v>12</v>
      </c>
      <c r="C50">
        <v>2024</v>
      </c>
      <c r="D50">
        <v>30592</v>
      </c>
      <c r="E50" t="s">
        <v>20</v>
      </c>
      <c r="F50" t="s">
        <v>21</v>
      </c>
      <c r="G50" t="s">
        <v>15</v>
      </c>
      <c r="H50">
        <v>1319</v>
      </c>
      <c r="I50" t="s">
        <v>175</v>
      </c>
      <c r="J50" t="s">
        <v>176</v>
      </c>
      <c r="K50">
        <v>7</v>
      </c>
      <c r="L50" t="s">
        <v>177</v>
      </c>
      <c r="M50" s="1" t="str">
        <f>TEXT(DATE(tbl_data[[#This Row],[Model_Year]],1,1),"yyyy")</f>
        <v>2024</v>
      </c>
      <c r="N50" s="1" t="str">
        <f>IF(tbl_data[[#This Row],[Kilometers_Driven]]&lt;50000,"&lt;50k",
IF(tbl_data[[#This Row],[Kilometers_Driven]]&lt;100000,"50k-100k",
IF(tbl_data[[#This Row],[Kilometers_Driven]]&lt;150000,"100k-150k","150k+")))</f>
        <v>&lt;50k</v>
      </c>
      <c r="O50" s="1" t="str">
        <f>IF(tbl_data[[#This Row],[Price_USD]]&gt;=87089,"High",
IF(tbl_data[[#This Row],[Price_USD]]&gt;=56807,"Mid","Low"))</f>
        <v>High</v>
      </c>
      <c r="P50" s="1" t="str">
        <f>IF(tbl_data[[#This Row],[Transmission]]="Automatic","Auto","Manual")</f>
        <v>Auto</v>
      </c>
      <c r="Q50" s="1" t="str">
        <f>IFERROR(IF(VALUE(tbl_data[[#This Row],[Engine_CC]])=0,"",VALUE(tbl_data[[#This Row],[Price_USD]])/VALUE(tbl_data[[#This Row],[Engine_CC]])),"")</f>
        <v/>
      </c>
      <c r="R50" s="1" t="str">
        <f>TRIM(tbl_data[[#This Row],[Brand]])</f>
        <v>Audi</v>
      </c>
      <c r="S50" s="1">
        <f>_xlfn.NUMBERVALUE(tbl_data[[#This Row],[Price_USD]],".",",")</f>
        <v>38408.92</v>
      </c>
    </row>
    <row r="51" spans="1:19" x14ac:dyDescent="0.3">
      <c r="A51">
        <v>50</v>
      </c>
      <c r="B51" t="s">
        <v>25</v>
      </c>
      <c r="C51">
        <v>2010</v>
      </c>
      <c r="D51">
        <v>33982</v>
      </c>
      <c r="E51" t="s">
        <v>44</v>
      </c>
      <c r="F51" t="s">
        <v>14</v>
      </c>
      <c r="G51" t="s">
        <v>15</v>
      </c>
      <c r="H51">
        <v>889</v>
      </c>
      <c r="I51" t="s">
        <v>178</v>
      </c>
      <c r="J51" t="s">
        <v>179</v>
      </c>
      <c r="K51">
        <v>6</v>
      </c>
      <c r="L51" t="s">
        <v>180</v>
      </c>
      <c r="M51" s="1" t="str">
        <f>TEXT(DATE(tbl_data[[#This Row],[Model_Year]],1,1),"yyyy")</f>
        <v>2010</v>
      </c>
      <c r="N51" s="1" t="str">
        <f>IF(tbl_data[[#This Row],[Kilometers_Driven]]&lt;50000,"&lt;50k",
IF(tbl_data[[#This Row],[Kilometers_Driven]]&lt;100000,"50k-100k",
IF(tbl_data[[#This Row],[Kilometers_Driven]]&lt;150000,"100k-150k","150k+")))</f>
        <v>&lt;50k</v>
      </c>
      <c r="O51" s="1" t="str">
        <f>IF(tbl_data[[#This Row],[Price_USD]]&gt;=87089,"High",
IF(tbl_data[[#This Row],[Price_USD]]&gt;=56807,"Mid","Low"))</f>
        <v>High</v>
      </c>
      <c r="P51" s="1" t="str">
        <f>IF(tbl_data[[#This Row],[Transmission]]="Automatic","Auto","Manual")</f>
        <v>Manual</v>
      </c>
      <c r="Q51" s="1" t="str">
        <f>IFERROR(IF(VALUE(tbl_data[[#This Row],[Engine_CC]])=0,"",VALUE(tbl_data[[#This Row],[Price_USD]])/VALUE(tbl_data[[#This Row],[Engine_CC]])),"")</f>
        <v/>
      </c>
      <c r="R51" s="1" t="str">
        <f>TRIM(tbl_data[[#This Row],[Brand]])</f>
        <v>Kia</v>
      </c>
      <c r="S51" s="1">
        <f>_xlfn.NUMBERVALUE(tbl_data[[#This Row],[Price_USD]],".",",")</f>
        <v>80497.509999999995</v>
      </c>
    </row>
    <row r="52" spans="1:19" x14ac:dyDescent="0.3">
      <c r="A52">
        <v>51</v>
      </c>
      <c r="B52" t="s">
        <v>43</v>
      </c>
      <c r="C52">
        <v>2005</v>
      </c>
      <c r="D52">
        <v>5207</v>
      </c>
      <c r="E52" t="s">
        <v>13</v>
      </c>
      <c r="F52" t="s">
        <v>21</v>
      </c>
      <c r="G52" t="s">
        <v>26</v>
      </c>
      <c r="H52">
        <v>3651</v>
      </c>
      <c r="I52" t="s">
        <v>181</v>
      </c>
      <c r="J52" t="s">
        <v>182</v>
      </c>
      <c r="K52">
        <v>6</v>
      </c>
      <c r="L52" t="s">
        <v>183</v>
      </c>
      <c r="M52" s="1" t="str">
        <f>TEXT(DATE(tbl_data[[#This Row],[Model_Year]],1,1),"yyyy")</f>
        <v>2005</v>
      </c>
      <c r="N52" s="1" t="str">
        <f>IF(tbl_data[[#This Row],[Kilometers_Driven]]&lt;50000,"&lt;50k",
IF(tbl_data[[#This Row],[Kilometers_Driven]]&lt;100000,"50k-100k",
IF(tbl_data[[#This Row],[Kilometers_Driven]]&lt;150000,"100k-150k","150k+")))</f>
        <v>&lt;50k</v>
      </c>
      <c r="O52" s="1" t="str">
        <f>IF(tbl_data[[#This Row],[Price_USD]]&gt;=87089,"High",
IF(tbl_data[[#This Row],[Price_USD]]&gt;=56807,"Mid","Low"))</f>
        <v>High</v>
      </c>
      <c r="P52" s="1" t="str">
        <f>IF(tbl_data[[#This Row],[Transmission]]="Automatic","Auto","Manual")</f>
        <v>Auto</v>
      </c>
      <c r="Q52" s="1" t="str">
        <f>IFERROR(IF(VALUE(tbl_data[[#This Row],[Engine_CC]])=0,"",VALUE(tbl_data[[#This Row],[Price_USD]])/VALUE(tbl_data[[#This Row],[Engine_CC]])),"")</f>
        <v/>
      </c>
      <c r="R52" s="1" t="str">
        <f>TRIM(tbl_data[[#This Row],[Brand]])</f>
        <v>Ford</v>
      </c>
      <c r="S52" s="1">
        <f>_xlfn.NUMBERVALUE(tbl_data[[#This Row],[Price_USD]],".",",")</f>
        <v>21519.119999999999</v>
      </c>
    </row>
    <row r="53" spans="1:19" x14ac:dyDescent="0.3">
      <c r="A53">
        <v>52</v>
      </c>
      <c r="B53" t="s">
        <v>92</v>
      </c>
      <c r="C53">
        <v>2021</v>
      </c>
      <c r="D53">
        <v>93733</v>
      </c>
      <c r="E53" t="s">
        <v>13</v>
      </c>
      <c r="F53" t="s">
        <v>21</v>
      </c>
      <c r="G53" t="s">
        <v>26</v>
      </c>
      <c r="H53">
        <v>3643</v>
      </c>
      <c r="I53" t="s">
        <v>184</v>
      </c>
      <c r="J53" t="s">
        <v>185</v>
      </c>
      <c r="K53">
        <v>5</v>
      </c>
      <c r="L53" t="s">
        <v>186</v>
      </c>
      <c r="M53" s="1" t="str">
        <f>TEXT(DATE(tbl_data[[#This Row],[Model_Year]],1,1),"yyyy")</f>
        <v>2021</v>
      </c>
      <c r="N53" s="1" t="str">
        <f>IF(tbl_data[[#This Row],[Kilometers_Driven]]&lt;50000,"&lt;50k",
IF(tbl_data[[#This Row],[Kilometers_Driven]]&lt;100000,"50k-100k",
IF(tbl_data[[#This Row],[Kilometers_Driven]]&lt;150000,"100k-150k","150k+")))</f>
        <v>50k-100k</v>
      </c>
      <c r="O53" s="1" t="str">
        <f>IF(tbl_data[[#This Row],[Price_USD]]&gt;=87089,"High",
IF(tbl_data[[#This Row],[Price_USD]]&gt;=56807,"Mid","Low"))</f>
        <v>High</v>
      </c>
      <c r="P53" s="1" t="str">
        <f>IF(tbl_data[[#This Row],[Transmission]]="Automatic","Auto","Manual")</f>
        <v>Auto</v>
      </c>
      <c r="Q53" s="1" t="str">
        <f>IFERROR(IF(VALUE(tbl_data[[#This Row],[Engine_CC]])=0,"",VALUE(tbl_data[[#This Row],[Price_USD]])/VALUE(tbl_data[[#This Row],[Engine_CC]])),"")</f>
        <v/>
      </c>
      <c r="R53" s="1" t="str">
        <f>TRIM(tbl_data[[#This Row],[Brand]])</f>
        <v>Toyota</v>
      </c>
      <c r="S53" s="1">
        <f>_xlfn.NUMBERVALUE(tbl_data[[#This Row],[Price_USD]],".",",")</f>
        <v>83509.77</v>
      </c>
    </row>
    <row r="54" spans="1:19" x14ac:dyDescent="0.3">
      <c r="A54">
        <v>53</v>
      </c>
      <c r="B54" t="s">
        <v>19</v>
      </c>
      <c r="C54">
        <v>2015</v>
      </c>
      <c r="D54">
        <v>129982</v>
      </c>
      <c r="E54" t="s">
        <v>13</v>
      </c>
      <c r="F54" t="s">
        <v>14</v>
      </c>
      <c r="G54" t="s">
        <v>26</v>
      </c>
      <c r="H54">
        <v>2684</v>
      </c>
      <c r="I54" t="s">
        <v>187</v>
      </c>
      <c r="J54" t="s">
        <v>188</v>
      </c>
      <c r="K54">
        <v>7</v>
      </c>
      <c r="L54" t="s">
        <v>189</v>
      </c>
      <c r="M54" s="1" t="str">
        <f>TEXT(DATE(tbl_data[[#This Row],[Model_Year]],1,1),"yyyy")</f>
        <v>2015</v>
      </c>
      <c r="N54" s="1" t="str">
        <f>IF(tbl_data[[#This Row],[Kilometers_Driven]]&lt;50000,"&lt;50k",
IF(tbl_data[[#This Row],[Kilometers_Driven]]&lt;100000,"50k-100k",
IF(tbl_data[[#This Row],[Kilometers_Driven]]&lt;150000,"100k-150k","150k+")))</f>
        <v>100k-150k</v>
      </c>
      <c r="O54" s="1" t="str">
        <f>IF(tbl_data[[#This Row],[Price_USD]]&gt;=87089,"High",
IF(tbl_data[[#This Row],[Price_USD]]&gt;=56807,"Mid","Low"))</f>
        <v>High</v>
      </c>
      <c r="P54" s="1" t="str">
        <f>IF(tbl_data[[#This Row],[Transmission]]="Automatic","Auto","Manual")</f>
        <v>Manual</v>
      </c>
      <c r="Q54" s="1" t="str">
        <f>IFERROR(IF(VALUE(tbl_data[[#This Row],[Engine_CC]])=0,"",VALUE(tbl_data[[#This Row],[Price_USD]])/VALUE(tbl_data[[#This Row],[Engine_CC]])),"")</f>
        <v/>
      </c>
      <c r="R54" s="1" t="str">
        <f>TRIM(tbl_data[[#This Row],[Brand]])</f>
        <v>BMW</v>
      </c>
      <c r="S54" s="1">
        <f>_xlfn.NUMBERVALUE(tbl_data[[#This Row],[Price_USD]],".",",")</f>
        <v>17998</v>
      </c>
    </row>
    <row r="55" spans="1:19" x14ac:dyDescent="0.3">
      <c r="A55">
        <v>54</v>
      </c>
      <c r="B55" t="s">
        <v>76</v>
      </c>
      <c r="C55">
        <v>2022</v>
      </c>
      <c r="D55">
        <v>73619</v>
      </c>
      <c r="E55" t="s">
        <v>31</v>
      </c>
      <c r="F55" t="s">
        <v>14</v>
      </c>
      <c r="G55" t="s">
        <v>15</v>
      </c>
      <c r="H55">
        <v>4971</v>
      </c>
      <c r="I55" t="s">
        <v>190</v>
      </c>
      <c r="J55" t="s">
        <v>131</v>
      </c>
      <c r="K55">
        <v>2</v>
      </c>
      <c r="L55" t="s">
        <v>191</v>
      </c>
      <c r="M55" s="1" t="str">
        <f>TEXT(DATE(tbl_data[[#This Row],[Model_Year]],1,1),"yyyy")</f>
        <v>2022</v>
      </c>
      <c r="N55" s="1" t="str">
        <f>IF(tbl_data[[#This Row],[Kilometers_Driven]]&lt;50000,"&lt;50k",
IF(tbl_data[[#This Row],[Kilometers_Driven]]&lt;100000,"50k-100k",
IF(tbl_data[[#This Row],[Kilometers_Driven]]&lt;150000,"100k-150k","150k+")))</f>
        <v>50k-100k</v>
      </c>
      <c r="O55" s="1" t="str">
        <f>IF(tbl_data[[#This Row],[Price_USD]]&gt;=87089,"High",
IF(tbl_data[[#This Row],[Price_USD]]&gt;=56807,"Mid","Low"))</f>
        <v>High</v>
      </c>
      <c r="P55" s="1" t="str">
        <f>IF(tbl_data[[#This Row],[Transmission]]="Automatic","Auto","Manual")</f>
        <v>Manual</v>
      </c>
      <c r="Q55" s="1" t="str">
        <f>IFERROR(IF(VALUE(tbl_data[[#This Row],[Engine_CC]])=0,"",VALUE(tbl_data[[#This Row],[Price_USD]])/VALUE(tbl_data[[#This Row],[Engine_CC]])),"")</f>
        <v/>
      </c>
      <c r="R55" s="1" t="str">
        <f>TRIM(tbl_data[[#This Row],[Brand]])</f>
        <v>Honda</v>
      </c>
      <c r="S55" s="1">
        <f>_xlfn.NUMBERVALUE(tbl_data[[#This Row],[Price_USD]],".",",")</f>
        <v>52766.71</v>
      </c>
    </row>
    <row r="56" spans="1:19" x14ac:dyDescent="0.3">
      <c r="A56">
        <v>55</v>
      </c>
      <c r="B56" t="s">
        <v>25</v>
      </c>
      <c r="C56">
        <v>2021</v>
      </c>
      <c r="D56">
        <v>165400</v>
      </c>
      <c r="E56" t="s">
        <v>13</v>
      </c>
      <c r="F56" t="s">
        <v>21</v>
      </c>
      <c r="G56" t="s">
        <v>32</v>
      </c>
      <c r="H56">
        <v>1725</v>
      </c>
      <c r="I56" t="s">
        <v>192</v>
      </c>
      <c r="J56" t="s">
        <v>193</v>
      </c>
      <c r="K56">
        <v>5</v>
      </c>
      <c r="L56" t="s">
        <v>194</v>
      </c>
      <c r="M56" s="1" t="str">
        <f>TEXT(DATE(tbl_data[[#This Row],[Model_Year]],1,1),"yyyy")</f>
        <v>2021</v>
      </c>
      <c r="N56" s="1" t="str">
        <f>IF(tbl_data[[#This Row],[Kilometers_Driven]]&lt;50000,"&lt;50k",
IF(tbl_data[[#This Row],[Kilometers_Driven]]&lt;100000,"50k-100k",
IF(tbl_data[[#This Row],[Kilometers_Driven]]&lt;150000,"100k-150k","150k+")))</f>
        <v>150k+</v>
      </c>
      <c r="O56" s="1" t="str">
        <f>IF(tbl_data[[#This Row],[Price_USD]]&gt;=87089,"High",
IF(tbl_data[[#This Row],[Price_USD]]&gt;=56807,"Mid","Low"))</f>
        <v>High</v>
      </c>
      <c r="P56" s="1" t="str">
        <f>IF(tbl_data[[#This Row],[Transmission]]="Automatic","Auto","Manual")</f>
        <v>Auto</v>
      </c>
      <c r="Q56" s="1" t="str">
        <f>IFERROR(IF(VALUE(tbl_data[[#This Row],[Engine_CC]])=0,"",VALUE(tbl_data[[#This Row],[Price_USD]])/VALUE(tbl_data[[#This Row],[Engine_CC]])),"")</f>
        <v/>
      </c>
      <c r="R56" s="1" t="str">
        <f>TRIM(tbl_data[[#This Row],[Brand]])</f>
        <v>Kia</v>
      </c>
      <c r="S56" s="1">
        <f>_xlfn.NUMBERVALUE(tbl_data[[#This Row],[Price_USD]],".",",")</f>
        <v>31923.11</v>
      </c>
    </row>
    <row r="57" spans="1:19" x14ac:dyDescent="0.3">
      <c r="A57">
        <v>56</v>
      </c>
      <c r="B57" t="s">
        <v>19</v>
      </c>
      <c r="C57">
        <v>2011</v>
      </c>
      <c r="D57">
        <v>51479</v>
      </c>
      <c r="E57" t="s">
        <v>31</v>
      </c>
      <c r="F57" t="s">
        <v>14</v>
      </c>
      <c r="G57" t="s">
        <v>32</v>
      </c>
      <c r="H57">
        <v>4534</v>
      </c>
      <c r="I57" t="s">
        <v>195</v>
      </c>
      <c r="J57" t="s">
        <v>196</v>
      </c>
      <c r="K57">
        <v>2</v>
      </c>
      <c r="L57" t="s">
        <v>197</v>
      </c>
      <c r="M57" s="1" t="str">
        <f>TEXT(DATE(tbl_data[[#This Row],[Model_Year]],1,1),"yyyy")</f>
        <v>2011</v>
      </c>
      <c r="N57" s="1" t="str">
        <f>IF(tbl_data[[#This Row],[Kilometers_Driven]]&lt;50000,"&lt;50k",
IF(tbl_data[[#This Row],[Kilometers_Driven]]&lt;100000,"50k-100k",
IF(tbl_data[[#This Row],[Kilometers_Driven]]&lt;150000,"100k-150k","150k+")))</f>
        <v>50k-100k</v>
      </c>
      <c r="O57" s="1" t="str">
        <f>IF(tbl_data[[#This Row],[Price_USD]]&gt;=87089,"High",
IF(tbl_data[[#This Row],[Price_USD]]&gt;=56807,"Mid","Low"))</f>
        <v>High</v>
      </c>
      <c r="P57" s="1" t="str">
        <f>IF(tbl_data[[#This Row],[Transmission]]="Automatic","Auto","Manual")</f>
        <v>Manual</v>
      </c>
      <c r="Q57" s="1" t="str">
        <f>IFERROR(IF(VALUE(tbl_data[[#This Row],[Engine_CC]])=0,"",VALUE(tbl_data[[#This Row],[Price_USD]])/VALUE(tbl_data[[#This Row],[Engine_CC]])),"")</f>
        <v/>
      </c>
      <c r="R57" s="1" t="str">
        <f>TRIM(tbl_data[[#This Row],[Brand]])</f>
        <v>BMW</v>
      </c>
      <c r="S57" s="1">
        <f>_xlfn.NUMBERVALUE(tbl_data[[#This Row],[Price_USD]],".",",")</f>
        <v>90559.9</v>
      </c>
    </row>
    <row r="58" spans="1:19" x14ac:dyDescent="0.3">
      <c r="A58">
        <v>57</v>
      </c>
      <c r="B58" t="s">
        <v>76</v>
      </c>
      <c r="C58">
        <v>2021</v>
      </c>
      <c r="D58">
        <v>156175</v>
      </c>
      <c r="E58" t="s">
        <v>31</v>
      </c>
      <c r="F58" t="s">
        <v>14</v>
      </c>
      <c r="G58" t="s">
        <v>15</v>
      </c>
      <c r="H58">
        <v>1769</v>
      </c>
      <c r="I58" t="s">
        <v>198</v>
      </c>
      <c r="J58" t="s">
        <v>199</v>
      </c>
      <c r="K58">
        <v>5</v>
      </c>
      <c r="L58" t="s">
        <v>200</v>
      </c>
      <c r="M58" s="1" t="str">
        <f>TEXT(DATE(tbl_data[[#This Row],[Model_Year]],1,1),"yyyy")</f>
        <v>2021</v>
      </c>
      <c r="N58" s="1" t="str">
        <f>IF(tbl_data[[#This Row],[Kilometers_Driven]]&lt;50000,"&lt;50k",
IF(tbl_data[[#This Row],[Kilometers_Driven]]&lt;100000,"50k-100k",
IF(tbl_data[[#This Row],[Kilometers_Driven]]&lt;150000,"100k-150k","150k+")))</f>
        <v>150k+</v>
      </c>
      <c r="O58" s="1" t="str">
        <f>IF(tbl_data[[#This Row],[Price_USD]]&gt;=87089,"High",
IF(tbl_data[[#This Row],[Price_USD]]&gt;=56807,"Mid","Low"))</f>
        <v>High</v>
      </c>
      <c r="P58" s="1" t="str">
        <f>IF(tbl_data[[#This Row],[Transmission]]="Automatic","Auto","Manual")</f>
        <v>Manual</v>
      </c>
      <c r="Q58" s="1" t="str">
        <f>IFERROR(IF(VALUE(tbl_data[[#This Row],[Engine_CC]])=0,"",VALUE(tbl_data[[#This Row],[Price_USD]])/VALUE(tbl_data[[#This Row],[Engine_CC]])),"")</f>
        <v/>
      </c>
      <c r="R58" s="1" t="str">
        <f>TRIM(tbl_data[[#This Row],[Brand]])</f>
        <v>Honda</v>
      </c>
      <c r="S58" s="1">
        <f>_xlfn.NUMBERVALUE(tbl_data[[#This Row],[Price_USD]],".",",")</f>
        <v>33658.1</v>
      </c>
    </row>
    <row r="59" spans="1:19" x14ac:dyDescent="0.3">
      <c r="A59">
        <v>58</v>
      </c>
      <c r="B59" t="s">
        <v>69</v>
      </c>
      <c r="C59">
        <v>2024</v>
      </c>
      <c r="D59">
        <v>175963</v>
      </c>
      <c r="E59" t="s">
        <v>20</v>
      </c>
      <c r="F59" t="s">
        <v>21</v>
      </c>
      <c r="G59" t="s">
        <v>32</v>
      </c>
      <c r="H59">
        <v>1894</v>
      </c>
      <c r="I59" t="s">
        <v>201</v>
      </c>
      <c r="J59" t="s">
        <v>202</v>
      </c>
      <c r="K59">
        <v>2</v>
      </c>
      <c r="L59" t="s">
        <v>203</v>
      </c>
      <c r="M59" s="1" t="str">
        <f>TEXT(DATE(tbl_data[[#This Row],[Model_Year]],1,1),"yyyy")</f>
        <v>2024</v>
      </c>
      <c r="N59" s="1" t="str">
        <f>IF(tbl_data[[#This Row],[Kilometers_Driven]]&lt;50000,"&lt;50k",
IF(tbl_data[[#This Row],[Kilometers_Driven]]&lt;100000,"50k-100k",
IF(tbl_data[[#This Row],[Kilometers_Driven]]&lt;150000,"100k-150k","150k+")))</f>
        <v>150k+</v>
      </c>
      <c r="O59" s="1" t="str">
        <f>IF(tbl_data[[#This Row],[Price_USD]]&gt;=87089,"High",
IF(tbl_data[[#This Row],[Price_USD]]&gt;=56807,"Mid","Low"))</f>
        <v>High</v>
      </c>
      <c r="P59" s="1" t="str">
        <f>IF(tbl_data[[#This Row],[Transmission]]="Automatic","Auto","Manual")</f>
        <v>Auto</v>
      </c>
      <c r="Q59" s="1" t="str">
        <f>IFERROR(IF(VALUE(tbl_data[[#This Row],[Engine_CC]])=0,"",VALUE(tbl_data[[#This Row],[Price_USD]])/VALUE(tbl_data[[#This Row],[Engine_CC]])),"")</f>
        <v/>
      </c>
      <c r="R59" s="1" t="str">
        <f>TRIM(tbl_data[[#This Row],[Brand]])</f>
        <v>Hyundai</v>
      </c>
      <c r="S59" s="1">
        <f>_xlfn.NUMBERVALUE(tbl_data[[#This Row],[Price_USD]],".",",")</f>
        <v>106160.92</v>
      </c>
    </row>
    <row r="60" spans="1:19" x14ac:dyDescent="0.3">
      <c r="A60">
        <v>59</v>
      </c>
      <c r="B60" t="s">
        <v>69</v>
      </c>
      <c r="C60">
        <v>2013</v>
      </c>
      <c r="D60">
        <v>146826</v>
      </c>
      <c r="E60" t="s">
        <v>13</v>
      </c>
      <c r="F60" t="s">
        <v>14</v>
      </c>
      <c r="G60" t="s">
        <v>26</v>
      </c>
      <c r="H60">
        <v>3995</v>
      </c>
      <c r="I60" t="s">
        <v>204</v>
      </c>
      <c r="J60" t="s">
        <v>205</v>
      </c>
      <c r="K60">
        <v>5</v>
      </c>
      <c r="L60" t="s">
        <v>206</v>
      </c>
      <c r="M60" s="1" t="str">
        <f>TEXT(DATE(tbl_data[[#This Row],[Model_Year]],1,1),"yyyy")</f>
        <v>2013</v>
      </c>
      <c r="N60" s="1" t="str">
        <f>IF(tbl_data[[#This Row],[Kilometers_Driven]]&lt;50000,"&lt;50k",
IF(tbl_data[[#This Row],[Kilometers_Driven]]&lt;100000,"50k-100k",
IF(tbl_data[[#This Row],[Kilometers_Driven]]&lt;150000,"100k-150k","150k+")))</f>
        <v>100k-150k</v>
      </c>
      <c r="O60" s="1" t="str">
        <f>IF(tbl_data[[#This Row],[Price_USD]]&gt;=87089,"High",
IF(tbl_data[[#This Row],[Price_USD]]&gt;=56807,"Mid","Low"))</f>
        <v>High</v>
      </c>
      <c r="P60" s="1" t="str">
        <f>IF(tbl_data[[#This Row],[Transmission]]="Automatic","Auto","Manual")</f>
        <v>Manual</v>
      </c>
      <c r="Q60" s="1" t="str">
        <f>IFERROR(IF(VALUE(tbl_data[[#This Row],[Engine_CC]])=0,"",VALUE(tbl_data[[#This Row],[Price_USD]])/VALUE(tbl_data[[#This Row],[Engine_CC]])),"")</f>
        <v/>
      </c>
      <c r="R60" s="1" t="str">
        <f>TRIM(tbl_data[[#This Row],[Brand]])</f>
        <v>Hyundai</v>
      </c>
      <c r="S60" s="1">
        <f>_xlfn.NUMBERVALUE(tbl_data[[#This Row],[Price_USD]],".",",")</f>
        <v>107342.96</v>
      </c>
    </row>
    <row r="61" spans="1:19" x14ac:dyDescent="0.3">
      <c r="A61">
        <v>60</v>
      </c>
      <c r="B61" t="s">
        <v>39</v>
      </c>
      <c r="C61">
        <v>2021</v>
      </c>
      <c r="D61">
        <v>86437</v>
      </c>
      <c r="E61" t="s">
        <v>13</v>
      </c>
      <c r="F61" t="s">
        <v>14</v>
      </c>
      <c r="G61" t="s">
        <v>32</v>
      </c>
      <c r="H61">
        <v>2204</v>
      </c>
      <c r="I61" t="s">
        <v>207</v>
      </c>
      <c r="J61" t="s">
        <v>208</v>
      </c>
      <c r="K61">
        <v>6</v>
      </c>
      <c r="L61" t="s">
        <v>209</v>
      </c>
      <c r="M61" s="1" t="str">
        <f>TEXT(DATE(tbl_data[[#This Row],[Model_Year]],1,1),"yyyy")</f>
        <v>2021</v>
      </c>
      <c r="N61" s="1" t="str">
        <f>IF(tbl_data[[#This Row],[Kilometers_Driven]]&lt;50000,"&lt;50k",
IF(tbl_data[[#This Row],[Kilometers_Driven]]&lt;100000,"50k-100k",
IF(tbl_data[[#This Row],[Kilometers_Driven]]&lt;150000,"100k-150k","150k+")))</f>
        <v>50k-100k</v>
      </c>
      <c r="O61" s="1" t="str">
        <f>IF(tbl_data[[#This Row],[Price_USD]]&gt;=87089,"High",
IF(tbl_data[[#This Row],[Price_USD]]&gt;=56807,"Mid","Low"))</f>
        <v>High</v>
      </c>
      <c r="P61" s="1" t="str">
        <f>IF(tbl_data[[#This Row],[Transmission]]="Automatic","Auto","Manual")</f>
        <v>Manual</v>
      </c>
      <c r="Q61" s="1" t="str">
        <f>IFERROR(IF(VALUE(tbl_data[[#This Row],[Engine_CC]])=0,"",VALUE(tbl_data[[#This Row],[Price_USD]])/VALUE(tbl_data[[#This Row],[Engine_CC]])),"")</f>
        <v/>
      </c>
      <c r="R61" s="1" t="str">
        <f>TRIM(tbl_data[[#This Row],[Brand]])</f>
        <v>Volkswagen</v>
      </c>
      <c r="S61" s="1">
        <f>_xlfn.NUMBERVALUE(tbl_data[[#This Row],[Price_USD]],".",",")</f>
        <v>25983.63</v>
      </c>
    </row>
    <row r="62" spans="1:19" x14ac:dyDescent="0.3">
      <c r="A62">
        <v>61</v>
      </c>
      <c r="B62" t="s">
        <v>19</v>
      </c>
      <c r="C62">
        <v>2024</v>
      </c>
      <c r="D62">
        <v>103540</v>
      </c>
      <c r="E62" t="s">
        <v>44</v>
      </c>
      <c r="F62" t="s">
        <v>21</v>
      </c>
      <c r="G62" t="s">
        <v>32</v>
      </c>
      <c r="H62">
        <v>4164</v>
      </c>
      <c r="I62" t="s">
        <v>210</v>
      </c>
      <c r="J62" t="s">
        <v>211</v>
      </c>
      <c r="K62">
        <v>4</v>
      </c>
      <c r="L62" t="s">
        <v>212</v>
      </c>
      <c r="M62" s="1" t="str">
        <f>TEXT(DATE(tbl_data[[#This Row],[Model_Year]],1,1),"yyyy")</f>
        <v>2024</v>
      </c>
      <c r="N62" s="1" t="str">
        <f>IF(tbl_data[[#This Row],[Kilometers_Driven]]&lt;50000,"&lt;50k",
IF(tbl_data[[#This Row],[Kilometers_Driven]]&lt;100000,"50k-100k",
IF(tbl_data[[#This Row],[Kilometers_Driven]]&lt;150000,"100k-150k","150k+")))</f>
        <v>100k-150k</v>
      </c>
      <c r="O62" s="1" t="str">
        <f>IF(tbl_data[[#This Row],[Price_USD]]&gt;=87089,"High",
IF(tbl_data[[#This Row],[Price_USD]]&gt;=56807,"Mid","Low"))</f>
        <v>High</v>
      </c>
      <c r="P62" s="1" t="str">
        <f>IF(tbl_data[[#This Row],[Transmission]]="Automatic","Auto","Manual")</f>
        <v>Auto</v>
      </c>
      <c r="Q62" s="1" t="str">
        <f>IFERROR(IF(VALUE(tbl_data[[#This Row],[Engine_CC]])=0,"",VALUE(tbl_data[[#This Row],[Price_USD]])/VALUE(tbl_data[[#This Row],[Engine_CC]])),"")</f>
        <v/>
      </c>
      <c r="R62" s="1" t="str">
        <f>TRIM(tbl_data[[#This Row],[Brand]])</f>
        <v>BMW</v>
      </c>
      <c r="S62" s="1">
        <f>_xlfn.NUMBERVALUE(tbl_data[[#This Row],[Price_USD]],".",",")</f>
        <v>74819.98</v>
      </c>
    </row>
    <row r="63" spans="1:19" x14ac:dyDescent="0.3">
      <c r="A63">
        <v>62</v>
      </c>
      <c r="B63" t="s">
        <v>69</v>
      </c>
      <c r="C63">
        <v>2012</v>
      </c>
      <c r="D63">
        <v>77982</v>
      </c>
      <c r="E63" t="s">
        <v>20</v>
      </c>
      <c r="F63" t="s">
        <v>14</v>
      </c>
      <c r="G63" t="s">
        <v>32</v>
      </c>
      <c r="H63">
        <v>4782</v>
      </c>
      <c r="I63" t="s">
        <v>213</v>
      </c>
      <c r="J63" t="s">
        <v>214</v>
      </c>
      <c r="K63">
        <v>6</v>
      </c>
      <c r="L63" t="s">
        <v>215</v>
      </c>
      <c r="M63" s="1" t="str">
        <f>TEXT(DATE(tbl_data[[#This Row],[Model_Year]],1,1),"yyyy")</f>
        <v>2012</v>
      </c>
      <c r="N63" s="1" t="str">
        <f>IF(tbl_data[[#This Row],[Kilometers_Driven]]&lt;50000,"&lt;50k",
IF(tbl_data[[#This Row],[Kilometers_Driven]]&lt;100000,"50k-100k",
IF(tbl_data[[#This Row],[Kilometers_Driven]]&lt;150000,"100k-150k","150k+")))</f>
        <v>50k-100k</v>
      </c>
      <c r="O63" s="1" t="str">
        <f>IF(tbl_data[[#This Row],[Price_USD]]&gt;=87089,"High",
IF(tbl_data[[#This Row],[Price_USD]]&gt;=56807,"Mid","Low"))</f>
        <v>High</v>
      </c>
      <c r="P63" s="1" t="str">
        <f>IF(tbl_data[[#This Row],[Transmission]]="Automatic","Auto","Manual")</f>
        <v>Manual</v>
      </c>
      <c r="Q63" s="1" t="str">
        <f>IFERROR(IF(VALUE(tbl_data[[#This Row],[Engine_CC]])=0,"",VALUE(tbl_data[[#This Row],[Price_USD]])/VALUE(tbl_data[[#This Row],[Engine_CC]])),"")</f>
        <v/>
      </c>
      <c r="R63" s="1" t="str">
        <f>TRIM(tbl_data[[#This Row],[Brand]])</f>
        <v>Hyundai</v>
      </c>
      <c r="S63" s="1">
        <f>_xlfn.NUMBERVALUE(tbl_data[[#This Row],[Price_USD]],".",",")</f>
        <v>13262.96</v>
      </c>
    </row>
    <row r="64" spans="1:19" x14ac:dyDescent="0.3">
      <c r="A64">
        <v>63</v>
      </c>
      <c r="B64" t="s">
        <v>76</v>
      </c>
      <c r="C64">
        <v>2021</v>
      </c>
      <c r="D64">
        <v>107747</v>
      </c>
      <c r="E64" t="s">
        <v>44</v>
      </c>
      <c r="F64" t="s">
        <v>14</v>
      </c>
      <c r="G64" t="s">
        <v>26</v>
      </c>
      <c r="H64">
        <v>4813</v>
      </c>
      <c r="I64" t="s">
        <v>216</v>
      </c>
      <c r="J64" t="s">
        <v>217</v>
      </c>
      <c r="K64">
        <v>2</v>
      </c>
      <c r="L64" t="s">
        <v>218</v>
      </c>
      <c r="M64" s="1" t="str">
        <f>TEXT(DATE(tbl_data[[#This Row],[Model_Year]],1,1),"yyyy")</f>
        <v>2021</v>
      </c>
      <c r="N64" s="1" t="str">
        <f>IF(tbl_data[[#This Row],[Kilometers_Driven]]&lt;50000,"&lt;50k",
IF(tbl_data[[#This Row],[Kilometers_Driven]]&lt;100000,"50k-100k",
IF(tbl_data[[#This Row],[Kilometers_Driven]]&lt;150000,"100k-150k","150k+")))</f>
        <v>100k-150k</v>
      </c>
      <c r="O64" s="1" t="str">
        <f>IF(tbl_data[[#This Row],[Price_USD]]&gt;=87089,"High",
IF(tbl_data[[#This Row],[Price_USD]]&gt;=56807,"Mid","Low"))</f>
        <v>High</v>
      </c>
      <c r="P64" s="1" t="str">
        <f>IF(tbl_data[[#This Row],[Transmission]]="Automatic","Auto","Manual")</f>
        <v>Manual</v>
      </c>
      <c r="Q64" s="1" t="str">
        <f>IFERROR(IF(VALUE(tbl_data[[#This Row],[Engine_CC]])=0,"",VALUE(tbl_data[[#This Row],[Price_USD]])/VALUE(tbl_data[[#This Row],[Engine_CC]])),"")</f>
        <v/>
      </c>
      <c r="R64" s="1" t="str">
        <f>TRIM(tbl_data[[#This Row],[Brand]])</f>
        <v>Honda</v>
      </c>
      <c r="S64" s="1">
        <f>_xlfn.NUMBERVALUE(tbl_data[[#This Row],[Price_USD]],".",",")</f>
        <v>48809.84</v>
      </c>
    </row>
    <row r="65" spans="1:19" x14ac:dyDescent="0.3">
      <c r="A65">
        <v>64</v>
      </c>
      <c r="B65" t="s">
        <v>39</v>
      </c>
      <c r="C65">
        <v>2011</v>
      </c>
      <c r="D65">
        <v>191994</v>
      </c>
      <c r="E65" t="s">
        <v>20</v>
      </c>
      <c r="F65" t="s">
        <v>21</v>
      </c>
      <c r="G65" t="s">
        <v>15</v>
      </c>
      <c r="H65">
        <v>3892</v>
      </c>
      <c r="I65" t="s">
        <v>219</v>
      </c>
      <c r="J65" t="s">
        <v>220</v>
      </c>
      <c r="K65">
        <v>7</v>
      </c>
      <c r="L65" t="s">
        <v>221</v>
      </c>
      <c r="M65" s="1" t="str">
        <f>TEXT(DATE(tbl_data[[#This Row],[Model_Year]],1,1),"yyyy")</f>
        <v>2011</v>
      </c>
      <c r="N65" s="1" t="str">
        <f>IF(tbl_data[[#This Row],[Kilometers_Driven]]&lt;50000,"&lt;50k",
IF(tbl_data[[#This Row],[Kilometers_Driven]]&lt;100000,"50k-100k",
IF(tbl_data[[#This Row],[Kilometers_Driven]]&lt;150000,"100k-150k","150k+")))</f>
        <v>150k+</v>
      </c>
      <c r="O65" s="1" t="str">
        <f>IF(tbl_data[[#This Row],[Price_USD]]&gt;=87089,"High",
IF(tbl_data[[#This Row],[Price_USD]]&gt;=56807,"Mid","Low"))</f>
        <v>High</v>
      </c>
      <c r="P65" s="1" t="str">
        <f>IF(tbl_data[[#This Row],[Transmission]]="Automatic","Auto","Manual")</f>
        <v>Auto</v>
      </c>
      <c r="Q65" s="1" t="str">
        <f>IFERROR(IF(VALUE(tbl_data[[#This Row],[Engine_CC]])=0,"",VALUE(tbl_data[[#This Row],[Price_USD]])/VALUE(tbl_data[[#This Row],[Engine_CC]])),"")</f>
        <v/>
      </c>
      <c r="R65" s="1" t="str">
        <f>TRIM(tbl_data[[#This Row],[Brand]])</f>
        <v>Volkswagen</v>
      </c>
      <c r="S65" s="1">
        <f>_xlfn.NUMBERVALUE(tbl_data[[#This Row],[Price_USD]],".",",")</f>
        <v>86458.64</v>
      </c>
    </row>
    <row r="66" spans="1:19" x14ac:dyDescent="0.3">
      <c r="A66">
        <v>65</v>
      </c>
      <c r="B66" t="s">
        <v>76</v>
      </c>
      <c r="C66">
        <v>2005</v>
      </c>
      <c r="D66">
        <v>53231</v>
      </c>
      <c r="E66" t="s">
        <v>13</v>
      </c>
      <c r="F66" t="s">
        <v>21</v>
      </c>
      <c r="G66" t="s">
        <v>26</v>
      </c>
      <c r="H66">
        <v>4959</v>
      </c>
      <c r="I66" t="s">
        <v>222</v>
      </c>
      <c r="J66" t="s">
        <v>223</v>
      </c>
      <c r="K66">
        <v>6</v>
      </c>
      <c r="L66" t="s">
        <v>224</v>
      </c>
      <c r="M66" s="1" t="str">
        <f>TEXT(DATE(tbl_data[[#This Row],[Model_Year]],1,1),"yyyy")</f>
        <v>2005</v>
      </c>
      <c r="N66" s="1" t="str">
        <f>IF(tbl_data[[#This Row],[Kilometers_Driven]]&lt;50000,"&lt;50k",
IF(tbl_data[[#This Row],[Kilometers_Driven]]&lt;100000,"50k-100k",
IF(tbl_data[[#This Row],[Kilometers_Driven]]&lt;150000,"100k-150k","150k+")))</f>
        <v>50k-100k</v>
      </c>
      <c r="O66" s="1" t="str">
        <f>IF(tbl_data[[#This Row],[Price_USD]]&gt;=87089,"High",
IF(tbl_data[[#This Row],[Price_USD]]&gt;=56807,"Mid","Low"))</f>
        <v>High</v>
      </c>
      <c r="P66" s="1" t="str">
        <f>IF(tbl_data[[#This Row],[Transmission]]="Automatic","Auto","Manual")</f>
        <v>Auto</v>
      </c>
      <c r="Q66" s="1" t="str">
        <f>IFERROR(IF(VALUE(tbl_data[[#This Row],[Engine_CC]])=0,"",VALUE(tbl_data[[#This Row],[Price_USD]])/VALUE(tbl_data[[#This Row],[Engine_CC]])),"")</f>
        <v/>
      </c>
      <c r="R66" s="1" t="str">
        <f>TRIM(tbl_data[[#This Row],[Brand]])</f>
        <v>Honda</v>
      </c>
      <c r="S66" s="1">
        <f>_xlfn.NUMBERVALUE(tbl_data[[#This Row],[Price_USD]],".",",")</f>
        <v>80152.52</v>
      </c>
    </row>
    <row r="67" spans="1:19" x14ac:dyDescent="0.3">
      <c r="A67">
        <v>66</v>
      </c>
      <c r="B67" t="s">
        <v>39</v>
      </c>
      <c r="C67">
        <v>2017</v>
      </c>
      <c r="D67">
        <v>34301</v>
      </c>
      <c r="E67" t="s">
        <v>31</v>
      </c>
      <c r="F67" t="s">
        <v>21</v>
      </c>
      <c r="G67" t="s">
        <v>15</v>
      </c>
      <c r="H67">
        <v>2874</v>
      </c>
      <c r="I67" t="s">
        <v>225</v>
      </c>
      <c r="J67" t="s">
        <v>226</v>
      </c>
      <c r="K67">
        <v>4</v>
      </c>
      <c r="L67" t="s">
        <v>227</v>
      </c>
      <c r="M67" s="1" t="str">
        <f>TEXT(DATE(tbl_data[[#This Row],[Model_Year]],1,1),"yyyy")</f>
        <v>2017</v>
      </c>
      <c r="N67" s="1" t="str">
        <f>IF(tbl_data[[#This Row],[Kilometers_Driven]]&lt;50000,"&lt;50k",
IF(tbl_data[[#This Row],[Kilometers_Driven]]&lt;100000,"50k-100k",
IF(tbl_data[[#This Row],[Kilometers_Driven]]&lt;150000,"100k-150k","150k+")))</f>
        <v>&lt;50k</v>
      </c>
      <c r="O67" s="1" t="str">
        <f>IF(tbl_data[[#This Row],[Price_USD]]&gt;=87089,"High",
IF(tbl_data[[#This Row],[Price_USD]]&gt;=56807,"Mid","Low"))</f>
        <v>High</v>
      </c>
      <c r="P67" s="1" t="str">
        <f>IF(tbl_data[[#This Row],[Transmission]]="Automatic","Auto","Manual")</f>
        <v>Auto</v>
      </c>
      <c r="Q67" s="1" t="str">
        <f>IFERROR(IF(VALUE(tbl_data[[#This Row],[Engine_CC]])=0,"",VALUE(tbl_data[[#This Row],[Price_USD]])/VALUE(tbl_data[[#This Row],[Engine_CC]])),"")</f>
        <v/>
      </c>
      <c r="R67" s="1" t="str">
        <f>TRIM(tbl_data[[#This Row],[Brand]])</f>
        <v>Volkswagen</v>
      </c>
      <c r="S67" s="1">
        <f>_xlfn.NUMBERVALUE(tbl_data[[#This Row],[Price_USD]],".",",")</f>
        <v>76089.98</v>
      </c>
    </row>
    <row r="68" spans="1:19" x14ac:dyDescent="0.3">
      <c r="A68">
        <v>67</v>
      </c>
      <c r="B68" t="s">
        <v>19</v>
      </c>
      <c r="C68">
        <v>2023</v>
      </c>
      <c r="D68">
        <v>198783</v>
      </c>
      <c r="E68" t="s">
        <v>31</v>
      </c>
      <c r="F68" t="s">
        <v>14</v>
      </c>
      <c r="G68" t="s">
        <v>15</v>
      </c>
      <c r="H68">
        <v>1084</v>
      </c>
      <c r="I68" t="s">
        <v>228</v>
      </c>
      <c r="J68" t="s">
        <v>229</v>
      </c>
      <c r="K68">
        <v>2</v>
      </c>
      <c r="L68" t="s">
        <v>230</v>
      </c>
      <c r="M68" s="1" t="str">
        <f>TEXT(DATE(tbl_data[[#This Row],[Model_Year]],1,1),"yyyy")</f>
        <v>2023</v>
      </c>
      <c r="N68" s="1" t="str">
        <f>IF(tbl_data[[#This Row],[Kilometers_Driven]]&lt;50000,"&lt;50k",
IF(tbl_data[[#This Row],[Kilometers_Driven]]&lt;100000,"50k-100k",
IF(tbl_data[[#This Row],[Kilometers_Driven]]&lt;150000,"100k-150k","150k+")))</f>
        <v>150k+</v>
      </c>
      <c r="O68" s="1" t="str">
        <f>IF(tbl_data[[#This Row],[Price_USD]]&gt;=87089,"High",
IF(tbl_data[[#This Row],[Price_USD]]&gt;=56807,"Mid","Low"))</f>
        <v>High</v>
      </c>
      <c r="P68" s="1" t="str">
        <f>IF(tbl_data[[#This Row],[Transmission]]="Automatic","Auto","Manual")</f>
        <v>Manual</v>
      </c>
      <c r="Q68" s="1" t="str">
        <f>IFERROR(IF(VALUE(tbl_data[[#This Row],[Engine_CC]])=0,"",VALUE(tbl_data[[#This Row],[Price_USD]])/VALUE(tbl_data[[#This Row],[Engine_CC]])),"")</f>
        <v/>
      </c>
      <c r="R68" s="1" t="str">
        <f>TRIM(tbl_data[[#This Row],[Brand]])</f>
        <v>BMW</v>
      </c>
      <c r="S68" s="1">
        <f>_xlfn.NUMBERVALUE(tbl_data[[#This Row],[Price_USD]],".",",")</f>
        <v>36057.279999999999</v>
      </c>
    </row>
    <row r="69" spans="1:19" x14ac:dyDescent="0.3">
      <c r="A69">
        <v>68</v>
      </c>
      <c r="B69" t="s">
        <v>25</v>
      </c>
      <c r="C69">
        <v>2023</v>
      </c>
      <c r="D69">
        <v>177395</v>
      </c>
      <c r="E69" t="s">
        <v>31</v>
      </c>
      <c r="F69" t="s">
        <v>21</v>
      </c>
      <c r="G69" t="s">
        <v>15</v>
      </c>
      <c r="H69">
        <v>1987</v>
      </c>
      <c r="I69" t="s">
        <v>231</v>
      </c>
      <c r="J69" t="s">
        <v>232</v>
      </c>
      <c r="K69">
        <v>6</v>
      </c>
      <c r="L69" t="s">
        <v>233</v>
      </c>
      <c r="M69" s="1" t="str">
        <f>TEXT(DATE(tbl_data[[#This Row],[Model_Year]],1,1),"yyyy")</f>
        <v>2023</v>
      </c>
      <c r="N69" s="1" t="str">
        <f>IF(tbl_data[[#This Row],[Kilometers_Driven]]&lt;50000,"&lt;50k",
IF(tbl_data[[#This Row],[Kilometers_Driven]]&lt;100000,"50k-100k",
IF(tbl_data[[#This Row],[Kilometers_Driven]]&lt;150000,"100k-150k","150k+")))</f>
        <v>150k+</v>
      </c>
      <c r="O69" s="1" t="str">
        <f>IF(tbl_data[[#This Row],[Price_USD]]&gt;=87089,"High",
IF(tbl_data[[#This Row],[Price_USD]]&gt;=56807,"Mid","Low"))</f>
        <v>High</v>
      </c>
      <c r="P69" s="1" t="str">
        <f>IF(tbl_data[[#This Row],[Transmission]]="Automatic","Auto","Manual")</f>
        <v>Auto</v>
      </c>
      <c r="Q69" s="1" t="str">
        <f>IFERROR(IF(VALUE(tbl_data[[#This Row],[Engine_CC]])=0,"",VALUE(tbl_data[[#This Row],[Price_USD]])/VALUE(tbl_data[[#This Row],[Engine_CC]])),"")</f>
        <v/>
      </c>
      <c r="R69" s="1" t="str">
        <f>TRIM(tbl_data[[#This Row],[Brand]])</f>
        <v>Kia</v>
      </c>
      <c r="S69" s="1">
        <f>_xlfn.NUMBERVALUE(tbl_data[[#This Row],[Price_USD]],".",",")</f>
        <v>47228.92</v>
      </c>
    </row>
    <row r="70" spans="1:19" x14ac:dyDescent="0.3">
      <c r="A70">
        <v>69</v>
      </c>
      <c r="B70" t="s">
        <v>12</v>
      </c>
      <c r="C70">
        <v>2021</v>
      </c>
      <c r="D70">
        <v>23752</v>
      </c>
      <c r="E70" t="s">
        <v>31</v>
      </c>
      <c r="F70" t="s">
        <v>21</v>
      </c>
      <c r="G70" t="s">
        <v>32</v>
      </c>
      <c r="H70">
        <v>4769</v>
      </c>
      <c r="I70" t="s">
        <v>234</v>
      </c>
      <c r="J70" t="s">
        <v>235</v>
      </c>
      <c r="K70">
        <v>5</v>
      </c>
      <c r="L70" t="s">
        <v>236</v>
      </c>
      <c r="M70" s="1" t="str">
        <f>TEXT(DATE(tbl_data[[#This Row],[Model_Year]],1,1),"yyyy")</f>
        <v>2021</v>
      </c>
      <c r="N70" s="1" t="str">
        <f>IF(tbl_data[[#This Row],[Kilometers_Driven]]&lt;50000,"&lt;50k",
IF(tbl_data[[#This Row],[Kilometers_Driven]]&lt;100000,"50k-100k",
IF(tbl_data[[#This Row],[Kilometers_Driven]]&lt;150000,"100k-150k","150k+")))</f>
        <v>&lt;50k</v>
      </c>
      <c r="O70" s="1" t="str">
        <f>IF(tbl_data[[#This Row],[Price_USD]]&gt;=87089,"High",
IF(tbl_data[[#This Row],[Price_USD]]&gt;=56807,"Mid","Low"))</f>
        <v>High</v>
      </c>
      <c r="P70" s="1" t="str">
        <f>IF(tbl_data[[#This Row],[Transmission]]="Automatic","Auto","Manual")</f>
        <v>Auto</v>
      </c>
      <c r="Q70" s="1" t="str">
        <f>IFERROR(IF(VALUE(tbl_data[[#This Row],[Engine_CC]])=0,"",VALUE(tbl_data[[#This Row],[Price_USD]])/VALUE(tbl_data[[#This Row],[Engine_CC]])),"")</f>
        <v/>
      </c>
      <c r="R70" s="1" t="str">
        <f>TRIM(tbl_data[[#This Row],[Brand]])</f>
        <v>Audi</v>
      </c>
      <c r="S70" s="1">
        <f>_xlfn.NUMBERVALUE(tbl_data[[#This Row],[Price_USD]],".",",")</f>
        <v>15044.7</v>
      </c>
    </row>
    <row r="71" spans="1:19" x14ac:dyDescent="0.3">
      <c r="A71">
        <v>70</v>
      </c>
      <c r="B71" t="s">
        <v>102</v>
      </c>
      <c r="C71">
        <v>2017</v>
      </c>
      <c r="D71">
        <v>103452</v>
      </c>
      <c r="E71" t="s">
        <v>31</v>
      </c>
      <c r="F71" t="s">
        <v>14</v>
      </c>
      <c r="G71" t="s">
        <v>32</v>
      </c>
      <c r="H71">
        <v>3765</v>
      </c>
      <c r="I71" t="s">
        <v>237</v>
      </c>
      <c r="J71" t="s">
        <v>238</v>
      </c>
      <c r="K71">
        <v>7</v>
      </c>
      <c r="L71" t="s">
        <v>239</v>
      </c>
      <c r="M71" s="1" t="str">
        <f>TEXT(DATE(tbl_data[[#This Row],[Model_Year]],1,1),"yyyy")</f>
        <v>2017</v>
      </c>
      <c r="N71" s="1" t="str">
        <f>IF(tbl_data[[#This Row],[Kilometers_Driven]]&lt;50000,"&lt;50k",
IF(tbl_data[[#This Row],[Kilometers_Driven]]&lt;100000,"50k-100k",
IF(tbl_data[[#This Row],[Kilometers_Driven]]&lt;150000,"100k-150k","150k+")))</f>
        <v>100k-150k</v>
      </c>
      <c r="O71" s="1" t="str">
        <f>IF(tbl_data[[#This Row],[Price_USD]]&gt;=87089,"High",
IF(tbl_data[[#This Row],[Price_USD]]&gt;=56807,"Mid","Low"))</f>
        <v>High</v>
      </c>
      <c r="P71" s="1" t="str">
        <f>IF(tbl_data[[#This Row],[Transmission]]="Automatic","Auto","Manual")</f>
        <v>Manual</v>
      </c>
      <c r="Q71" s="1" t="str">
        <f>IFERROR(IF(VALUE(tbl_data[[#This Row],[Engine_CC]])=0,"",VALUE(tbl_data[[#This Row],[Price_USD]])/VALUE(tbl_data[[#This Row],[Engine_CC]])),"")</f>
        <v/>
      </c>
      <c r="R71" s="1" t="str">
        <f>TRIM(tbl_data[[#This Row],[Brand]])</f>
        <v>Nissan</v>
      </c>
      <c r="S71" s="1">
        <f>_xlfn.NUMBERVALUE(tbl_data[[#This Row],[Price_USD]],".",",")</f>
        <v>87125.67</v>
      </c>
    </row>
    <row r="72" spans="1:19" x14ac:dyDescent="0.3">
      <c r="A72">
        <v>71</v>
      </c>
      <c r="B72" t="s">
        <v>25</v>
      </c>
      <c r="C72">
        <v>2020</v>
      </c>
      <c r="D72">
        <v>149467</v>
      </c>
      <c r="E72" t="s">
        <v>44</v>
      </c>
      <c r="F72" t="s">
        <v>21</v>
      </c>
      <c r="G72" t="s">
        <v>15</v>
      </c>
      <c r="H72">
        <v>1583</v>
      </c>
      <c r="I72" t="s">
        <v>240</v>
      </c>
      <c r="J72" t="s">
        <v>241</v>
      </c>
      <c r="K72">
        <v>2</v>
      </c>
      <c r="L72" t="s">
        <v>242</v>
      </c>
      <c r="M72" s="1" t="str">
        <f>TEXT(DATE(tbl_data[[#This Row],[Model_Year]],1,1),"yyyy")</f>
        <v>2020</v>
      </c>
      <c r="N72" s="1" t="str">
        <f>IF(tbl_data[[#This Row],[Kilometers_Driven]]&lt;50000,"&lt;50k",
IF(tbl_data[[#This Row],[Kilometers_Driven]]&lt;100000,"50k-100k",
IF(tbl_data[[#This Row],[Kilometers_Driven]]&lt;150000,"100k-150k","150k+")))</f>
        <v>100k-150k</v>
      </c>
      <c r="O72" s="1" t="str">
        <f>IF(tbl_data[[#This Row],[Price_USD]]&gt;=87089,"High",
IF(tbl_data[[#This Row],[Price_USD]]&gt;=56807,"Mid","Low"))</f>
        <v>High</v>
      </c>
      <c r="P72" s="1" t="str">
        <f>IF(tbl_data[[#This Row],[Transmission]]="Automatic","Auto","Manual")</f>
        <v>Auto</v>
      </c>
      <c r="Q72" s="1" t="str">
        <f>IFERROR(IF(VALUE(tbl_data[[#This Row],[Engine_CC]])=0,"",VALUE(tbl_data[[#This Row],[Price_USD]])/VALUE(tbl_data[[#This Row],[Engine_CC]])),"")</f>
        <v/>
      </c>
      <c r="R72" s="1" t="str">
        <f>TRIM(tbl_data[[#This Row],[Brand]])</f>
        <v>Kia</v>
      </c>
      <c r="S72" s="1">
        <f>_xlfn.NUMBERVALUE(tbl_data[[#This Row],[Price_USD]],".",",")</f>
        <v>61954.99</v>
      </c>
    </row>
    <row r="73" spans="1:19" x14ac:dyDescent="0.3">
      <c r="A73">
        <v>72</v>
      </c>
      <c r="B73" t="s">
        <v>30</v>
      </c>
      <c r="C73">
        <v>2012</v>
      </c>
      <c r="D73">
        <v>126237</v>
      </c>
      <c r="E73" t="s">
        <v>20</v>
      </c>
      <c r="F73" t="s">
        <v>21</v>
      </c>
      <c r="G73" t="s">
        <v>15</v>
      </c>
      <c r="H73">
        <v>1749</v>
      </c>
      <c r="I73" t="s">
        <v>243</v>
      </c>
      <c r="J73" t="s">
        <v>244</v>
      </c>
      <c r="K73">
        <v>6</v>
      </c>
      <c r="L73" t="s">
        <v>245</v>
      </c>
      <c r="M73" s="1" t="str">
        <f>TEXT(DATE(tbl_data[[#This Row],[Model_Year]],1,1),"yyyy")</f>
        <v>2012</v>
      </c>
      <c r="N73" s="1" t="str">
        <f>IF(tbl_data[[#This Row],[Kilometers_Driven]]&lt;50000,"&lt;50k",
IF(tbl_data[[#This Row],[Kilometers_Driven]]&lt;100000,"50k-100k",
IF(tbl_data[[#This Row],[Kilometers_Driven]]&lt;150000,"100k-150k","150k+")))</f>
        <v>100k-150k</v>
      </c>
      <c r="O73" s="1" t="str">
        <f>IF(tbl_data[[#This Row],[Price_USD]]&gt;=87089,"High",
IF(tbl_data[[#This Row],[Price_USD]]&gt;=56807,"Mid","Low"))</f>
        <v>High</v>
      </c>
      <c r="P73" s="1" t="str">
        <f>IF(tbl_data[[#This Row],[Transmission]]="Automatic","Auto","Manual")</f>
        <v>Auto</v>
      </c>
      <c r="Q73" s="1" t="str">
        <f>IFERROR(IF(VALUE(tbl_data[[#This Row],[Engine_CC]])=0,"",VALUE(tbl_data[[#This Row],[Price_USD]])/VALUE(tbl_data[[#This Row],[Engine_CC]])),"")</f>
        <v/>
      </c>
      <c r="R73" s="1" t="str">
        <f>TRIM(tbl_data[[#This Row],[Brand]])</f>
        <v>Mercedes</v>
      </c>
      <c r="S73" s="1">
        <f>_xlfn.NUMBERVALUE(tbl_data[[#This Row],[Price_USD]],".",",")</f>
        <v>85925.58</v>
      </c>
    </row>
    <row r="74" spans="1:19" x14ac:dyDescent="0.3">
      <c r="A74">
        <v>73</v>
      </c>
      <c r="B74" t="s">
        <v>76</v>
      </c>
      <c r="C74">
        <v>2023</v>
      </c>
      <c r="D74">
        <v>61273</v>
      </c>
      <c r="E74" t="s">
        <v>13</v>
      </c>
      <c r="F74" t="s">
        <v>21</v>
      </c>
      <c r="G74" t="s">
        <v>32</v>
      </c>
      <c r="H74">
        <v>4739</v>
      </c>
      <c r="I74" t="s">
        <v>246</v>
      </c>
      <c r="J74" t="s">
        <v>247</v>
      </c>
      <c r="K74">
        <v>2</v>
      </c>
      <c r="L74" t="s">
        <v>248</v>
      </c>
      <c r="M74" s="1" t="str">
        <f>TEXT(DATE(tbl_data[[#This Row],[Model_Year]],1,1),"yyyy")</f>
        <v>2023</v>
      </c>
      <c r="N74" s="1" t="str">
        <f>IF(tbl_data[[#This Row],[Kilometers_Driven]]&lt;50000,"&lt;50k",
IF(tbl_data[[#This Row],[Kilometers_Driven]]&lt;100000,"50k-100k",
IF(tbl_data[[#This Row],[Kilometers_Driven]]&lt;150000,"100k-150k","150k+")))</f>
        <v>50k-100k</v>
      </c>
      <c r="O74" s="1" t="str">
        <f>IF(tbl_data[[#This Row],[Price_USD]]&gt;=87089,"High",
IF(tbl_data[[#This Row],[Price_USD]]&gt;=56807,"Mid","Low"))</f>
        <v>High</v>
      </c>
      <c r="P74" s="1" t="str">
        <f>IF(tbl_data[[#This Row],[Transmission]]="Automatic","Auto","Manual")</f>
        <v>Auto</v>
      </c>
      <c r="Q74" s="1" t="str">
        <f>IFERROR(IF(VALUE(tbl_data[[#This Row],[Engine_CC]])=0,"",VALUE(tbl_data[[#This Row],[Price_USD]])/VALUE(tbl_data[[#This Row],[Engine_CC]])),"")</f>
        <v/>
      </c>
      <c r="R74" s="1" t="str">
        <f>TRIM(tbl_data[[#This Row],[Brand]])</f>
        <v>Honda</v>
      </c>
      <c r="S74" s="1">
        <f>_xlfn.NUMBERVALUE(tbl_data[[#This Row],[Price_USD]],".",",")</f>
        <v>32126.39</v>
      </c>
    </row>
    <row r="75" spans="1:19" x14ac:dyDescent="0.3">
      <c r="A75">
        <v>74</v>
      </c>
      <c r="B75" t="s">
        <v>30</v>
      </c>
      <c r="C75">
        <v>2022</v>
      </c>
      <c r="D75">
        <v>96878</v>
      </c>
      <c r="E75" t="s">
        <v>44</v>
      </c>
      <c r="F75" t="s">
        <v>21</v>
      </c>
      <c r="G75" t="s">
        <v>26</v>
      </c>
      <c r="H75">
        <v>844</v>
      </c>
      <c r="I75" t="s">
        <v>249</v>
      </c>
      <c r="J75" t="s">
        <v>250</v>
      </c>
      <c r="K75">
        <v>5</v>
      </c>
      <c r="L75" t="s">
        <v>251</v>
      </c>
      <c r="M75" s="1" t="str">
        <f>TEXT(DATE(tbl_data[[#This Row],[Model_Year]],1,1),"yyyy")</f>
        <v>2022</v>
      </c>
      <c r="N75" s="1" t="str">
        <f>IF(tbl_data[[#This Row],[Kilometers_Driven]]&lt;50000,"&lt;50k",
IF(tbl_data[[#This Row],[Kilometers_Driven]]&lt;100000,"50k-100k",
IF(tbl_data[[#This Row],[Kilometers_Driven]]&lt;150000,"100k-150k","150k+")))</f>
        <v>50k-100k</v>
      </c>
      <c r="O75" s="1" t="str">
        <f>IF(tbl_data[[#This Row],[Price_USD]]&gt;=87089,"High",
IF(tbl_data[[#This Row],[Price_USD]]&gt;=56807,"Mid","Low"))</f>
        <v>High</v>
      </c>
      <c r="P75" s="1" t="str">
        <f>IF(tbl_data[[#This Row],[Transmission]]="Automatic","Auto","Manual")</f>
        <v>Auto</v>
      </c>
      <c r="Q75" s="1" t="str">
        <f>IFERROR(IF(VALUE(tbl_data[[#This Row],[Engine_CC]])=0,"",VALUE(tbl_data[[#This Row],[Price_USD]])/VALUE(tbl_data[[#This Row],[Engine_CC]])),"")</f>
        <v/>
      </c>
      <c r="R75" s="1" t="str">
        <f>TRIM(tbl_data[[#This Row],[Brand]])</f>
        <v>Mercedes</v>
      </c>
      <c r="S75" s="1">
        <f>_xlfn.NUMBERVALUE(tbl_data[[#This Row],[Price_USD]],".",",")</f>
        <v>40959.269999999997</v>
      </c>
    </row>
    <row r="76" spans="1:19" x14ac:dyDescent="0.3">
      <c r="A76">
        <v>75</v>
      </c>
      <c r="B76" t="s">
        <v>25</v>
      </c>
      <c r="C76">
        <v>2005</v>
      </c>
      <c r="D76">
        <v>9895</v>
      </c>
      <c r="E76" t="s">
        <v>20</v>
      </c>
      <c r="F76" t="s">
        <v>14</v>
      </c>
      <c r="G76" t="s">
        <v>15</v>
      </c>
      <c r="H76">
        <v>2610</v>
      </c>
      <c r="I76" t="s">
        <v>252</v>
      </c>
      <c r="J76" t="s">
        <v>253</v>
      </c>
      <c r="K76">
        <v>4</v>
      </c>
      <c r="L76" t="s">
        <v>254</v>
      </c>
      <c r="M76" s="1" t="str">
        <f>TEXT(DATE(tbl_data[[#This Row],[Model_Year]],1,1),"yyyy")</f>
        <v>2005</v>
      </c>
      <c r="N76" s="1" t="str">
        <f>IF(tbl_data[[#This Row],[Kilometers_Driven]]&lt;50000,"&lt;50k",
IF(tbl_data[[#This Row],[Kilometers_Driven]]&lt;100000,"50k-100k",
IF(tbl_data[[#This Row],[Kilometers_Driven]]&lt;150000,"100k-150k","150k+")))</f>
        <v>&lt;50k</v>
      </c>
      <c r="O76" s="1" t="str">
        <f>IF(tbl_data[[#This Row],[Price_USD]]&gt;=87089,"High",
IF(tbl_data[[#This Row],[Price_USD]]&gt;=56807,"Mid","Low"))</f>
        <v>High</v>
      </c>
      <c r="P76" s="1" t="str">
        <f>IF(tbl_data[[#This Row],[Transmission]]="Automatic","Auto","Manual")</f>
        <v>Manual</v>
      </c>
      <c r="Q76" s="1" t="str">
        <f>IFERROR(IF(VALUE(tbl_data[[#This Row],[Engine_CC]])=0,"",VALUE(tbl_data[[#This Row],[Price_USD]])/VALUE(tbl_data[[#This Row],[Engine_CC]])),"")</f>
        <v/>
      </c>
      <c r="R76" s="1" t="str">
        <f>TRIM(tbl_data[[#This Row],[Brand]])</f>
        <v>Kia</v>
      </c>
      <c r="S76" s="1">
        <f>_xlfn.NUMBERVALUE(tbl_data[[#This Row],[Price_USD]],".",",")</f>
        <v>42103.19</v>
      </c>
    </row>
    <row r="77" spans="1:19" x14ac:dyDescent="0.3">
      <c r="A77">
        <v>76</v>
      </c>
      <c r="B77" t="s">
        <v>39</v>
      </c>
      <c r="C77">
        <v>2018</v>
      </c>
      <c r="D77">
        <v>124968</v>
      </c>
      <c r="E77" t="s">
        <v>31</v>
      </c>
      <c r="F77" t="s">
        <v>21</v>
      </c>
      <c r="G77" t="s">
        <v>26</v>
      </c>
      <c r="H77">
        <v>2881</v>
      </c>
      <c r="I77" t="s">
        <v>255</v>
      </c>
      <c r="J77" t="s">
        <v>256</v>
      </c>
      <c r="K77">
        <v>6</v>
      </c>
      <c r="L77" t="s">
        <v>257</v>
      </c>
      <c r="M77" s="1" t="str">
        <f>TEXT(DATE(tbl_data[[#This Row],[Model_Year]],1,1),"yyyy")</f>
        <v>2018</v>
      </c>
      <c r="N77" s="1" t="str">
        <f>IF(tbl_data[[#This Row],[Kilometers_Driven]]&lt;50000,"&lt;50k",
IF(tbl_data[[#This Row],[Kilometers_Driven]]&lt;100000,"50k-100k",
IF(tbl_data[[#This Row],[Kilometers_Driven]]&lt;150000,"100k-150k","150k+")))</f>
        <v>100k-150k</v>
      </c>
      <c r="O77" s="1" t="str">
        <f>IF(tbl_data[[#This Row],[Price_USD]]&gt;=87089,"High",
IF(tbl_data[[#This Row],[Price_USD]]&gt;=56807,"Mid","Low"))</f>
        <v>High</v>
      </c>
      <c r="P77" s="1" t="str">
        <f>IF(tbl_data[[#This Row],[Transmission]]="Automatic","Auto","Manual")</f>
        <v>Auto</v>
      </c>
      <c r="Q77" s="1" t="str">
        <f>IFERROR(IF(VALUE(tbl_data[[#This Row],[Engine_CC]])=0,"",VALUE(tbl_data[[#This Row],[Price_USD]])/VALUE(tbl_data[[#This Row],[Engine_CC]])),"")</f>
        <v/>
      </c>
      <c r="R77" s="1" t="str">
        <f>TRIM(tbl_data[[#This Row],[Brand]])</f>
        <v>Volkswagen</v>
      </c>
      <c r="S77" s="1">
        <f>_xlfn.NUMBERVALUE(tbl_data[[#This Row],[Price_USD]],".",",")</f>
        <v>6011.86</v>
      </c>
    </row>
    <row r="78" spans="1:19" x14ac:dyDescent="0.3">
      <c r="A78">
        <v>77</v>
      </c>
      <c r="B78" t="s">
        <v>102</v>
      </c>
      <c r="C78">
        <v>2023</v>
      </c>
      <c r="D78">
        <v>120700</v>
      </c>
      <c r="E78" t="s">
        <v>20</v>
      </c>
      <c r="F78" t="s">
        <v>21</v>
      </c>
      <c r="G78" t="s">
        <v>32</v>
      </c>
      <c r="H78">
        <v>4298</v>
      </c>
      <c r="I78" t="s">
        <v>258</v>
      </c>
      <c r="J78" t="s">
        <v>259</v>
      </c>
      <c r="K78">
        <v>2</v>
      </c>
      <c r="L78" t="s">
        <v>260</v>
      </c>
      <c r="M78" s="1" t="str">
        <f>TEXT(DATE(tbl_data[[#This Row],[Model_Year]],1,1),"yyyy")</f>
        <v>2023</v>
      </c>
      <c r="N78" s="1" t="str">
        <f>IF(tbl_data[[#This Row],[Kilometers_Driven]]&lt;50000,"&lt;50k",
IF(tbl_data[[#This Row],[Kilometers_Driven]]&lt;100000,"50k-100k",
IF(tbl_data[[#This Row],[Kilometers_Driven]]&lt;150000,"100k-150k","150k+")))</f>
        <v>100k-150k</v>
      </c>
      <c r="O78" s="1" t="str">
        <f>IF(tbl_data[[#This Row],[Price_USD]]&gt;=87089,"High",
IF(tbl_data[[#This Row],[Price_USD]]&gt;=56807,"Mid","Low"))</f>
        <v>High</v>
      </c>
      <c r="P78" s="1" t="str">
        <f>IF(tbl_data[[#This Row],[Transmission]]="Automatic","Auto","Manual")</f>
        <v>Auto</v>
      </c>
      <c r="Q78" s="1" t="str">
        <f>IFERROR(IF(VALUE(tbl_data[[#This Row],[Engine_CC]])=0,"",VALUE(tbl_data[[#This Row],[Price_USD]])/VALUE(tbl_data[[#This Row],[Engine_CC]])),"")</f>
        <v/>
      </c>
      <c r="R78" s="1" t="str">
        <f>TRIM(tbl_data[[#This Row],[Brand]])</f>
        <v>Nissan</v>
      </c>
      <c r="S78" s="1">
        <f>_xlfn.NUMBERVALUE(tbl_data[[#This Row],[Price_USD]],".",",")</f>
        <v>42902.6</v>
      </c>
    </row>
    <row r="79" spans="1:19" x14ac:dyDescent="0.3">
      <c r="A79">
        <v>78</v>
      </c>
      <c r="B79" t="s">
        <v>102</v>
      </c>
      <c r="C79">
        <v>2019</v>
      </c>
      <c r="D79">
        <v>81559</v>
      </c>
      <c r="E79" t="s">
        <v>20</v>
      </c>
      <c r="F79" t="s">
        <v>14</v>
      </c>
      <c r="G79" t="s">
        <v>15</v>
      </c>
      <c r="H79">
        <v>1629</v>
      </c>
      <c r="I79" t="s">
        <v>261</v>
      </c>
      <c r="J79" t="s">
        <v>262</v>
      </c>
      <c r="K79">
        <v>2</v>
      </c>
      <c r="L79" t="s">
        <v>263</v>
      </c>
      <c r="M79" s="1" t="str">
        <f>TEXT(DATE(tbl_data[[#This Row],[Model_Year]],1,1),"yyyy")</f>
        <v>2019</v>
      </c>
      <c r="N79" s="1" t="str">
        <f>IF(tbl_data[[#This Row],[Kilometers_Driven]]&lt;50000,"&lt;50k",
IF(tbl_data[[#This Row],[Kilometers_Driven]]&lt;100000,"50k-100k",
IF(tbl_data[[#This Row],[Kilometers_Driven]]&lt;150000,"100k-150k","150k+")))</f>
        <v>50k-100k</v>
      </c>
      <c r="O79" s="1" t="str">
        <f>IF(tbl_data[[#This Row],[Price_USD]]&gt;=87089,"High",
IF(tbl_data[[#This Row],[Price_USD]]&gt;=56807,"Mid","Low"))</f>
        <v>High</v>
      </c>
      <c r="P79" s="1" t="str">
        <f>IF(tbl_data[[#This Row],[Transmission]]="Automatic","Auto","Manual")</f>
        <v>Manual</v>
      </c>
      <c r="Q79" s="1" t="str">
        <f>IFERROR(IF(VALUE(tbl_data[[#This Row],[Engine_CC]])=0,"",VALUE(tbl_data[[#This Row],[Price_USD]])/VALUE(tbl_data[[#This Row],[Engine_CC]])),"")</f>
        <v/>
      </c>
      <c r="R79" s="1" t="str">
        <f>TRIM(tbl_data[[#This Row],[Brand]])</f>
        <v>Nissan</v>
      </c>
      <c r="S79" s="1">
        <f>_xlfn.NUMBERVALUE(tbl_data[[#This Row],[Price_USD]],".",",")</f>
        <v>96986.64</v>
      </c>
    </row>
    <row r="80" spans="1:19" x14ac:dyDescent="0.3">
      <c r="A80">
        <v>79</v>
      </c>
      <c r="B80" t="s">
        <v>92</v>
      </c>
      <c r="C80">
        <v>2022</v>
      </c>
      <c r="D80">
        <v>15699</v>
      </c>
      <c r="E80" t="s">
        <v>31</v>
      </c>
      <c r="F80" t="s">
        <v>21</v>
      </c>
      <c r="G80" t="s">
        <v>26</v>
      </c>
      <c r="H80">
        <v>2709</v>
      </c>
      <c r="I80" t="s">
        <v>264</v>
      </c>
      <c r="J80" t="s">
        <v>265</v>
      </c>
      <c r="K80">
        <v>2</v>
      </c>
      <c r="L80" t="s">
        <v>266</v>
      </c>
      <c r="M80" s="1" t="str">
        <f>TEXT(DATE(tbl_data[[#This Row],[Model_Year]],1,1),"yyyy")</f>
        <v>2022</v>
      </c>
      <c r="N80" s="1" t="str">
        <f>IF(tbl_data[[#This Row],[Kilometers_Driven]]&lt;50000,"&lt;50k",
IF(tbl_data[[#This Row],[Kilometers_Driven]]&lt;100000,"50k-100k",
IF(tbl_data[[#This Row],[Kilometers_Driven]]&lt;150000,"100k-150k","150k+")))</f>
        <v>&lt;50k</v>
      </c>
      <c r="O80" s="1" t="str">
        <f>IF(tbl_data[[#This Row],[Price_USD]]&gt;=87089,"High",
IF(tbl_data[[#This Row],[Price_USD]]&gt;=56807,"Mid","Low"))</f>
        <v>High</v>
      </c>
      <c r="P80" s="1" t="str">
        <f>IF(tbl_data[[#This Row],[Transmission]]="Automatic","Auto","Manual")</f>
        <v>Auto</v>
      </c>
      <c r="Q80" s="1" t="str">
        <f>IFERROR(IF(VALUE(tbl_data[[#This Row],[Engine_CC]])=0,"",VALUE(tbl_data[[#This Row],[Price_USD]])/VALUE(tbl_data[[#This Row],[Engine_CC]])),"")</f>
        <v/>
      </c>
      <c r="R80" s="1" t="str">
        <f>TRIM(tbl_data[[#This Row],[Brand]])</f>
        <v>Toyota</v>
      </c>
      <c r="S80" s="1">
        <f>_xlfn.NUMBERVALUE(tbl_data[[#This Row],[Price_USD]],".",",")</f>
        <v>107983.92</v>
      </c>
    </row>
    <row r="81" spans="1:19" x14ac:dyDescent="0.3">
      <c r="A81">
        <v>80</v>
      </c>
      <c r="B81" t="s">
        <v>102</v>
      </c>
      <c r="C81">
        <v>2006</v>
      </c>
      <c r="D81">
        <v>14715</v>
      </c>
      <c r="E81" t="s">
        <v>31</v>
      </c>
      <c r="F81" t="s">
        <v>14</v>
      </c>
      <c r="G81" t="s">
        <v>26</v>
      </c>
      <c r="H81">
        <v>3381</v>
      </c>
      <c r="I81" t="s">
        <v>267</v>
      </c>
      <c r="J81" t="s">
        <v>268</v>
      </c>
      <c r="K81">
        <v>4</v>
      </c>
      <c r="L81" t="s">
        <v>269</v>
      </c>
      <c r="M81" s="1" t="str">
        <f>TEXT(DATE(tbl_data[[#This Row],[Model_Year]],1,1),"yyyy")</f>
        <v>2006</v>
      </c>
      <c r="N81" s="1" t="str">
        <f>IF(tbl_data[[#This Row],[Kilometers_Driven]]&lt;50000,"&lt;50k",
IF(tbl_data[[#This Row],[Kilometers_Driven]]&lt;100000,"50k-100k",
IF(tbl_data[[#This Row],[Kilometers_Driven]]&lt;150000,"100k-150k","150k+")))</f>
        <v>&lt;50k</v>
      </c>
      <c r="O81" s="1" t="str">
        <f>IF(tbl_data[[#This Row],[Price_USD]]&gt;=87089,"High",
IF(tbl_data[[#This Row],[Price_USD]]&gt;=56807,"Mid","Low"))</f>
        <v>High</v>
      </c>
      <c r="P81" s="1" t="str">
        <f>IF(tbl_data[[#This Row],[Transmission]]="Automatic","Auto","Manual")</f>
        <v>Manual</v>
      </c>
      <c r="Q81" s="1" t="str">
        <f>IFERROR(IF(VALUE(tbl_data[[#This Row],[Engine_CC]])=0,"",VALUE(tbl_data[[#This Row],[Price_USD]])/VALUE(tbl_data[[#This Row],[Engine_CC]])),"")</f>
        <v/>
      </c>
      <c r="R81" s="1" t="str">
        <f>TRIM(tbl_data[[#This Row],[Brand]])</f>
        <v>Nissan</v>
      </c>
      <c r="S81" s="1">
        <f>_xlfn.NUMBERVALUE(tbl_data[[#This Row],[Price_USD]],".",",")</f>
        <v>63631.54</v>
      </c>
    </row>
    <row r="82" spans="1:19" x14ac:dyDescent="0.3">
      <c r="A82">
        <v>81</v>
      </c>
      <c r="B82" t="s">
        <v>12</v>
      </c>
      <c r="C82">
        <v>2021</v>
      </c>
      <c r="D82">
        <v>24169</v>
      </c>
      <c r="E82" t="s">
        <v>31</v>
      </c>
      <c r="F82" t="s">
        <v>14</v>
      </c>
      <c r="G82" t="s">
        <v>26</v>
      </c>
      <c r="H82">
        <v>1491</v>
      </c>
      <c r="I82" t="s">
        <v>270</v>
      </c>
      <c r="J82" t="s">
        <v>271</v>
      </c>
      <c r="K82">
        <v>2</v>
      </c>
      <c r="L82" t="s">
        <v>272</v>
      </c>
      <c r="M82" s="1" t="str">
        <f>TEXT(DATE(tbl_data[[#This Row],[Model_Year]],1,1),"yyyy")</f>
        <v>2021</v>
      </c>
      <c r="N82" s="1" t="str">
        <f>IF(tbl_data[[#This Row],[Kilometers_Driven]]&lt;50000,"&lt;50k",
IF(tbl_data[[#This Row],[Kilometers_Driven]]&lt;100000,"50k-100k",
IF(tbl_data[[#This Row],[Kilometers_Driven]]&lt;150000,"100k-150k","150k+")))</f>
        <v>&lt;50k</v>
      </c>
      <c r="O82" s="1" t="str">
        <f>IF(tbl_data[[#This Row],[Price_USD]]&gt;=87089,"High",
IF(tbl_data[[#This Row],[Price_USD]]&gt;=56807,"Mid","Low"))</f>
        <v>High</v>
      </c>
      <c r="P82" s="1" t="str">
        <f>IF(tbl_data[[#This Row],[Transmission]]="Automatic","Auto","Manual")</f>
        <v>Manual</v>
      </c>
      <c r="Q82" s="1" t="str">
        <f>IFERROR(IF(VALUE(tbl_data[[#This Row],[Engine_CC]])=0,"",VALUE(tbl_data[[#This Row],[Price_USD]])/VALUE(tbl_data[[#This Row],[Engine_CC]])),"")</f>
        <v/>
      </c>
      <c r="R82" s="1" t="str">
        <f>TRIM(tbl_data[[#This Row],[Brand]])</f>
        <v>Audi</v>
      </c>
      <c r="S82" s="1">
        <f>_xlfn.NUMBERVALUE(tbl_data[[#This Row],[Price_USD]],".",",")</f>
        <v>56293.7</v>
      </c>
    </row>
    <row r="83" spans="1:19" x14ac:dyDescent="0.3">
      <c r="A83">
        <v>82</v>
      </c>
      <c r="B83" t="s">
        <v>102</v>
      </c>
      <c r="C83">
        <v>2022</v>
      </c>
      <c r="D83">
        <v>123413</v>
      </c>
      <c r="E83" t="s">
        <v>13</v>
      </c>
      <c r="F83" t="s">
        <v>14</v>
      </c>
      <c r="G83" t="s">
        <v>32</v>
      </c>
      <c r="H83">
        <v>4819</v>
      </c>
      <c r="I83" t="s">
        <v>16</v>
      </c>
      <c r="J83" t="s">
        <v>273</v>
      </c>
      <c r="K83">
        <v>7</v>
      </c>
      <c r="L83" t="s">
        <v>274</v>
      </c>
      <c r="M83" s="1" t="str">
        <f>TEXT(DATE(tbl_data[[#This Row],[Model_Year]],1,1),"yyyy")</f>
        <v>2022</v>
      </c>
      <c r="N83" s="1" t="str">
        <f>IF(tbl_data[[#This Row],[Kilometers_Driven]]&lt;50000,"&lt;50k",
IF(tbl_data[[#This Row],[Kilometers_Driven]]&lt;100000,"50k-100k",
IF(tbl_data[[#This Row],[Kilometers_Driven]]&lt;150000,"100k-150k","150k+")))</f>
        <v>100k-150k</v>
      </c>
      <c r="O83" s="1" t="str">
        <f>IF(tbl_data[[#This Row],[Price_USD]]&gt;=87089,"High",
IF(tbl_data[[#This Row],[Price_USD]]&gt;=56807,"Mid","Low"))</f>
        <v>High</v>
      </c>
      <c r="P83" s="1" t="str">
        <f>IF(tbl_data[[#This Row],[Transmission]]="Automatic","Auto","Manual")</f>
        <v>Manual</v>
      </c>
      <c r="Q83" s="1" t="str">
        <f>IFERROR(IF(VALUE(tbl_data[[#This Row],[Engine_CC]])=0,"",VALUE(tbl_data[[#This Row],[Price_USD]])/VALUE(tbl_data[[#This Row],[Engine_CC]])),"")</f>
        <v/>
      </c>
      <c r="R83" s="1" t="str">
        <f>TRIM(tbl_data[[#This Row],[Brand]])</f>
        <v>Nissan</v>
      </c>
      <c r="S83" s="1">
        <f>_xlfn.NUMBERVALUE(tbl_data[[#This Row],[Price_USD]],".",",")</f>
        <v>6606.48</v>
      </c>
    </row>
    <row r="84" spans="1:19" x14ac:dyDescent="0.3">
      <c r="A84">
        <v>83</v>
      </c>
      <c r="B84" t="s">
        <v>25</v>
      </c>
      <c r="C84">
        <v>2010</v>
      </c>
      <c r="D84">
        <v>152235</v>
      </c>
      <c r="E84" t="s">
        <v>31</v>
      </c>
      <c r="F84" t="s">
        <v>21</v>
      </c>
      <c r="G84" t="s">
        <v>32</v>
      </c>
      <c r="H84">
        <v>1731</v>
      </c>
      <c r="I84" t="s">
        <v>275</v>
      </c>
      <c r="J84" t="s">
        <v>276</v>
      </c>
      <c r="K84">
        <v>7</v>
      </c>
      <c r="L84" t="s">
        <v>277</v>
      </c>
      <c r="M84" s="1" t="str">
        <f>TEXT(DATE(tbl_data[[#This Row],[Model_Year]],1,1),"yyyy")</f>
        <v>2010</v>
      </c>
      <c r="N84" s="1" t="str">
        <f>IF(tbl_data[[#This Row],[Kilometers_Driven]]&lt;50000,"&lt;50k",
IF(tbl_data[[#This Row],[Kilometers_Driven]]&lt;100000,"50k-100k",
IF(tbl_data[[#This Row],[Kilometers_Driven]]&lt;150000,"100k-150k","150k+")))</f>
        <v>150k+</v>
      </c>
      <c r="O84" s="1" t="str">
        <f>IF(tbl_data[[#This Row],[Price_USD]]&gt;=87089,"High",
IF(tbl_data[[#This Row],[Price_USD]]&gt;=56807,"Mid","Low"))</f>
        <v>High</v>
      </c>
      <c r="P84" s="1" t="str">
        <f>IF(tbl_data[[#This Row],[Transmission]]="Automatic","Auto","Manual")</f>
        <v>Auto</v>
      </c>
      <c r="Q84" s="1" t="str">
        <f>IFERROR(IF(VALUE(tbl_data[[#This Row],[Engine_CC]])=0,"",VALUE(tbl_data[[#This Row],[Price_USD]])/VALUE(tbl_data[[#This Row],[Engine_CC]])),"")</f>
        <v/>
      </c>
      <c r="R84" s="1" t="str">
        <f>TRIM(tbl_data[[#This Row],[Brand]])</f>
        <v>Kia</v>
      </c>
      <c r="S84" s="1">
        <f>_xlfn.NUMBERVALUE(tbl_data[[#This Row],[Price_USD]],".",",")</f>
        <v>105866.91</v>
      </c>
    </row>
    <row r="85" spans="1:19" x14ac:dyDescent="0.3">
      <c r="A85">
        <v>84</v>
      </c>
      <c r="B85" t="s">
        <v>92</v>
      </c>
      <c r="C85">
        <v>2023</v>
      </c>
      <c r="D85">
        <v>124264</v>
      </c>
      <c r="E85" t="s">
        <v>13</v>
      </c>
      <c r="F85" t="s">
        <v>14</v>
      </c>
      <c r="G85" t="s">
        <v>26</v>
      </c>
      <c r="H85">
        <v>4206</v>
      </c>
      <c r="I85" t="s">
        <v>278</v>
      </c>
      <c r="J85" t="s">
        <v>279</v>
      </c>
      <c r="K85">
        <v>2</v>
      </c>
      <c r="L85" t="s">
        <v>280</v>
      </c>
      <c r="M85" s="1" t="str">
        <f>TEXT(DATE(tbl_data[[#This Row],[Model_Year]],1,1),"yyyy")</f>
        <v>2023</v>
      </c>
      <c r="N85" s="1" t="str">
        <f>IF(tbl_data[[#This Row],[Kilometers_Driven]]&lt;50000,"&lt;50k",
IF(tbl_data[[#This Row],[Kilometers_Driven]]&lt;100000,"50k-100k",
IF(tbl_data[[#This Row],[Kilometers_Driven]]&lt;150000,"100k-150k","150k+")))</f>
        <v>100k-150k</v>
      </c>
      <c r="O85" s="1" t="str">
        <f>IF(tbl_data[[#This Row],[Price_USD]]&gt;=87089,"High",
IF(tbl_data[[#This Row],[Price_USD]]&gt;=56807,"Mid","Low"))</f>
        <v>High</v>
      </c>
      <c r="P85" s="1" t="str">
        <f>IF(tbl_data[[#This Row],[Transmission]]="Automatic","Auto","Manual")</f>
        <v>Manual</v>
      </c>
      <c r="Q85" s="1" t="str">
        <f>IFERROR(IF(VALUE(tbl_data[[#This Row],[Engine_CC]])=0,"",VALUE(tbl_data[[#This Row],[Price_USD]])/VALUE(tbl_data[[#This Row],[Engine_CC]])),"")</f>
        <v/>
      </c>
      <c r="R85" s="1" t="str">
        <f>TRIM(tbl_data[[#This Row],[Brand]])</f>
        <v>Toyota</v>
      </c>
      <c r="S85" s="1">
        <f>_xlfn.NUMBERVALUE(tbl_data[[#This Row],[Price_USD]],".",",")</f>
        <v>4522.1899999999996</v>
      </c>
    </row>
    <row r="86" spans="1:19" x14ac:dyDescent="0.3">
      <c r="A86">
        <v>85</v>
      </c>
      <c r="B86" t="s">
        <v>25</v>
      </c>
      <c r="C86">
        <v>2008</v>
      </c>
      <c r="D86">
        <v>10782</v>
      </c>
      <c r="E86" t="s">
        <v>31</v>
      </c>
      <c r="F86" t="s">
        <v>14</v>
      </c>
      <c r="G86" t="s">
        <v>26</v>
      </c>
      <c r="H86">
        <v>947</v>
      </c>
      <c r="I86" t="s">
        <v>281</v>
      </c>
      <c r="J86" t="s">
        <v>282</v>
      </c>
      <c r="K86">
        <v>7</v>
      </c>
      <c r="L86" t="s">
        <v>283</v>
      </c>
      <c r="M86" s="1" t="str">
        <f>TEXT(DATE(tbl_data[[#This Row],[Model_Year]],1,1),"yyyy")</f>
        <v>2008</v>
      </c>
      <c r="N86" s="1" t="str">
        <f>IF(tbl_data[[#This Row],[Kilometers_Driven]]&lt;50000,"&lt;50k",
IF(tbl_data[[#This Row],[Kilometers_Driven]]&lt;100000,"50k-100k",
IF(tbl_data[[#This Row],[Kilometers_Driven]]&lt;150000,"100k-150k","150k+")))</f>
        <v>&lt;50k</v>
      </c>
      <c r="O86" s="1" t="str">
        <f>IF(tbl_data[[#This Row],[Price_USD]]&gt;=87089,"High",
IF(tbl_data[[#This Row],[Price_USD]]&gt;=56807,"Mid","Low"))</f>
        <v>High</v>
      </c>
      <c r="P86" s="1" t="str">
        <f>IF(tbl_data[[#This Row],[Transmission]]="Automatic","Auto","Manual")</f>
        <v>Manual</v>
      </c>
      <c r="Q86" s="1" t="str">
        <f>IFERROR(IF(VALUE(tbl_data[[#This Row],[Engine_CC]])=0,"",VALUE(tbl_data[[#This Row],[Price_USD]])/VALUE(tbl_data[[#This Row],[Engine_CC]])),"")</f>
        <v/>
      </c>
      <c r="R86" s="1" t="str">
        <f>TRIM(tbl_data[[#This Row],[Brand]])</f>
        <v>Kia</v>
      </c>
      <c r="S86" s="1">
        <f>_xlfn.NUMBERVALUE(tbl_data[[#This Row],[Price_USD]],".",",")</f>
        <v>113535.76</v>
      </c>
    </row>
    <row r="87" spans="1:19" x14ac:dyDescent="0.3">
      <c r="A87">
        <v>86</v>
      </c>
      <c r="B87" t="s">
        <v>25</v>
      </c>
      <c r="C87">
        <v>2005</v>
      </c>
      <c r="D87">
        <v>129481</v>
      </c>
      <c r="E87" t="s">
        <v>13</v>
      </c>
      <c r="F87" t="s">
        <v>14</v>
      </c>
      <c r="G87" t="s">
        <v>32</v>
      </c>
      <c r="H87">
        <v>1832</v>
      </c>
      <c r="I87" t="s">
        <v>284</v>
      </c>
      <c r="J87" t="s">
        <v>285</v>
      </c>
      <c r="K87">
        <v>6</v>
      </c>
      <c r="L87" t="s">
        <v>286</v>
      </c>
      <c r="M87" s="1" t="str">
        <f>TEXT(DATE(tbl_data[[#This Row],[Model_Year]],1,1),"yyyy")</f>
        <v>2005</v>
      </c>
      <c r="N87" s="1" t="str">
        <f>IF(tbl_data[[#This Row],[Kilometers_Driven]]&lt;50000,"&lt;50k",
IF(tbl_data[[#This Row],[Kilometers_Driven]]&lt;100000,"50k-100k",
IF(tbl_data[[#This Row],[Kilometers_Driven]]&lt;150000,"100k-150k","150k+")))</f>
        <v>100k-150k</v>
      </c>
      <c r="O87" s="1" t="str">
        <f>IF(tbl_data[[#This Row],[Price_USD]]&gt;=87089,"High",
IF(tbl_data[[#This Row],[Price_USD]]&gt;=56807,"Mid","Low"))</f>
        <v>High</v>
      </c>
      <c r="P87" s="1" t="str">
        <f>IF(tbl_data[[#This Row],[Transmission]]="Automatic","Auto","Manual")</f>
        <v>Manual</v>
      </c>
      <c r="Q87" s="1" t="str">
        <f>IFERROR(IF(VALUE(tbl_data[[#This Row],[Engine_CC]])=0,"",VALUE(tbl_data[[#This Row],[Price_USD]])/VALUE(tbl_data[[#This Row],[Engine_CC]])),"")</f>
        <v/>
      </c>
      <c r="R87" s="1" t="str">
        <f>TRIM(tbl_data[[#This Row],[Brand]])</f>
        <v>Kia</v>
      </c>
      <c r="S87" s="1">
        <f>_xlfn.NUMBERVALUE(tbl_data[[#This Row],[Price_USD]],".",",")</f>
        <v>60238.3</v>
      </c>
    </row>
    <row r="88" spans="1:19" x14ac:dyDescent="0.3">
      <c r="A88">
        <v>87</v>
      </c>
      <c r="B88" t="s">
        <v>43</v>
      </c>
      <c r="C88">
        <v>2012</v>
      </c>
      <c r="D88">
        <v>40585</v>
      </c>
      <c r="E88" t="s">
        <v>20</v>
      </c>
      <c r="F88" t="s">
        <v>21</v>
      </c>
      <c r="G88" t="s">
        <v>26</v>
      </c>
      <c r="H88">
        <v>2111</v>
      </c>
      <c r="I88" t="s">
        <v>287</v>
      </c>
      <c r="J88" t="s">
        <v>288</v>
      </c>
      <c r="K88">
        <v>7</v>
      </c>
      <c r="L88" t="s">
        <v>289</v>
      </c>
      <c r="M88" s="1" t="str">
        <f>TEXT(DATE(tbl_data[[#This Row],[Model_Year]],1,1),"yyyy")</f>
        <v>2012</v>
      </c>
      <c r="N88" s="1" t="str">
        <f>IF(tbl_data[[#This Row],[Kilometers_Driven]]&lt;50000,"&lt;50k",
IF(tbl_data[[#This Row],[Kilometers_Driven]]&lt;100000,"50k-100k",
IF(tbl_data[[#This Row],[Kilometers_Driven]]&lt;150000,"100k-150k","150k+")))</f>
        <v>&lt;50k</v>
      </c>
      <c r="O88" s="1" t="str">
        <f>IF(tbl_data[[#This Row],[Price_USD]]&gt;=87089,"High",
IF(tbl_data[[#This Row],[Price_USD]]&gt;=56807,"Mid","Low"))</f>
        <v>High</v>
      </c>
      <c r="P88" s="1" t="str">
        <f>IF(tbl_data[[#This Row],[Transmission]]="Automatic","Auto","Manual")</f>
        <v>Auto</v>
      </c>
      <c r="Q88" s="1" t="str">
        <f>IFERROR(IF(VALUE(tbl_data[[#This Row],[Engine_CC]])=0,"",VALUE(tbl_data[[#This Row],[Price_USD]])/VALUE(tbl_data[[#This Row],[Engine_CC]])),"")</f>
        <v/>
      </c>
      <c r="R88" s="1" t="str">
        <f>TRIM(tbl_data[[#This Row],[Brand]])</f>
        <v>Ford</v>
      </c>
      <c r="S88" s="1">
        <f>_xlfn.NUMBERVALUE(tbl_data[[#This Row],[Price_USD]],".",",")</f>
        <v>43006.34</v>
      </c>
    </row>
    <row r="89" spans="1:19" x14ac:dyDescent="0.3">
      <c r="A89">
        <v>88</v>
      </c>
      <c r="B89" t="s">
        <v>92</v>
      </c>
      <c r="C89">
        <v>2011</v>
      </c>
      <c r="D89">
        <v>35682</v>
      </c>
      <c r="E89" t="s">
        <v>44</v>
      </c>
      <c r="F89" t="s">
        <v>21</v>
      </c>
      <c r="G89" t="s">
        <v>26</v>
      </c>
      <c r="H89">
        <v>1187</v>
      </c>
      <c r="I89" t="s">
        <v>290</v>
      </c>
      <c r="J89" t="s">
        <v>291</v>
      </c>
      <c r="K89">
        <v>2</v>
      </c>
      <c r="L89" t="s">
        <v>292</v>
      </c>
      <c r="M89" s="1" t="str">
        <f>TEXT(DATE(tbl_data[[#This Row],[Model_Year]],1,1),"yyyy")</f>
        <v>2011</v>
      </c>
      <c r="N89" s="1" t="str">
        <f>IF(tbl_data[[#This Row],[Kilometers_Driven]]&lt;50000,"&lt;50k",
IF(tbl_data[[#This Row],[Kilometers_Driven]]&lt;100000,"50k-100k",
IF(tbl_data[[#This Row],[Kilometers_Driven]]&lt;150000,"100k-150k","150k+")))</f>
        <v>&lt;50k</v>
      </c>
      <c r="O89" s="1" t="str">
        <f>IF(tbl_data[[#This Row],[Price_USD]]&gt;=87089,"High",
IF(tbl_data[[#This Row],[Price_USD]]&gt;=56807,"Mid","Low"))</f>
        <v>High</v>
      </c>
      <c r="P89" s="1" t="str">
        <f>IF(tbl_data[[#This Row],[Transmission]]="Automatic","Auto","Manual")</f>
        <v>Auto</v>
      </c>
      <c r="Q89" s="1" t="str">
        <f>IFERROR(IF(VALUE(tbl_data[[#This Row],[Engine_CC]])=0,"",VALUE(tbl_data[[#This Row],[Price_USD]])/VALUE(tbl_data[[#This Row],[Engine_CC]])),"")</f>
        <v/>
      </c>
      <c r="R89" s="1" t="str">
        <f>TRIM(tbl_data[[#This Row],[Brand]])</f>
        <v>Toyota</v>
      </c>
      <c r="S89" s="1">
        <f>_xlfn.NUMBERVALUE(tbl_data[[#This Row],[Price_USD]],".",",")</f>
        <v>111133.56</v>
      </c>
    </row>
    <row r="90" spans="1:19" x14ac:dyDescent="0.3">
      <c r="A90">
        <v>89</v>
      </c>
      <c r="B90" t="s">
        <v>25</v>
      </c>
      <c r="C90">
        <v>2007</v>
      </c>
      <c r="D90">
        <v>183936</v>
      </c>
      <c r="E90" t="s">
        <v>20</v>
      </c>
      <c r="F90" t="s">
        <v>21</v>
      </c>
      <c r="G90" t="s">
        <v>32</v>
      </c>
      <c r="H90">
        <v>3921</v>
      </c>
      <c r="I90" t="s">
        <v>293</v>
      </c>
      <c r="J90" t="s">
        <v>294</v>
      </c>
      <c r="K90">
        <v>5</v>
      </c>
      <c r="L90" t="s">
        <v>295</v>
      </c>
      <c r="M90" s="1" t="str">
        <f>TEXT(DATE(tbl_data[[#This Row],[Model_Year]],1,1),"yyyy")</f>
        <v>2007</v>
      </c>
      <c r="N90" s="1" t="str">
        <f>IF(tbl_data[[#This Row],[Kilometers_Driven]]&lt;50000,"&lt;50k",
IF(tbl_data[[#This Row],[Kilometers_Driven]]&lt;100000,"50k-100k",
IF(tbl_data[[#This Row],[Kilometers_Driven]]&lt;150000,"100k-150k","150k+")))</f>
        <v>150k+</v>
      </c>
      <c r="O90" s="1" t="str">
        <f>IF(tbl_data[[#This Row],[Price_USD]]&gt;=87089,"High",
IF(tbl_data[[#This Row],[Price_USD]]&gt;=56807,"Mid","Low"))</f>
        <v>High</v>
      </c>
      <c r="P90" s="1" t="str">
        <f>IF(tbl_data[[#This Row],[Transmission]]="Automatic","Auto","Manual")</f>
        <v>Auto</v>
      </c>
      <c r="Q90" s="1" t="str">
        <f>IFERROR(IF(VALUE(tbl_data[[#This Row],[Engine_CC]])=0,"",VALUE(tbl_data[[#This Row],[Price_USD]])/VALUE(tbl_data[[#This Row],[Engine_CC]])),"")</f>
        <v/>
      </c>
      <c r="R90" s="1" t="str">
        <f>TRIM(tbl_data[[#This Row],[Brand]])</f>
        <v>Kia</v>
      </c>
      <c r="S90" s="1">
        <f>_xlfn.NUMBERVALUE(tbl_data[[#This Row],[Price_USD]],".",",")</f>
        <v>5853.75</v>
      </c>
    </row>
    <row r="91" spans="1:19" x14ac:dyDescent="0.3">
      <c r="A91">
        <v>90</v>
      </c>
      <c r="B91" t="s">
        <v>43</v>
      </c>
      <c r="C91">
        <v>2014</v>
      </c>
      <c r="D91">
        <v>134992</v>
      </c>
      <c r="E91" t="s">
        <v>20</v>
      </c>
      <c r="F91" t="s">
        <v>21</v>
      </c>
      <c r="G91" t="s">
        <v>26</v>
      </c>
      <c r="H91">
        <v>2673</v>
      </c>
      <c r="I91" t="s">
        <v>296</v>
      </c>
      <c r="J91" t="s">
        <v>297</v>
      </c>
      <c r="K91">
        <v>6</v>
      </c>
      <c r="L91" t="s">
        <v>298</v>
      </c>
      <c r="M91" s="1" t="str">
        <f>TEXT(DATE(tbl_data[[#This Row],[Model_Year]],1,1),"yyyy")</f>
        <v>2014</v>
      </c>
      <c r="N91" s="1" t="str">
        <f>IF(tbl_data[[#This Row],[Kilometers_Driven]]&lt;50000,"&lt;50k",
IF(tbl_data[[#This Row],[Kilometers_Driven]]&lt;100000,"50k-100k",
IF(tbl_data[[#This Row],[Kilometers_Driven]]&lt;150000,"100k-150k","150k+")))</f>
        <v>100k-150k</v>
      </c>
      <c r="O91" s="1" t="str">
        <f>IF(tbl_data[[#This Row],[Price_USD]]&gt;=87089,"High",
IF(tbl_data[[#This Row],[Price_USD]]&gt;=56807,"Mid","Low"))</f>
        <v>High</v>
      </c>
      <c r="P91" s="1" t="str">
        <f>IF(tbl_data[[#This Row],[Transmission]]="Automatic","Auto","Manual")</f>
        <v>Auto</v>
      </c>
      <c r="Q91" s="1" t="str">
        <f>IFERROR(IF(VALUE(tbl_data[[#This Row],[Engine_CC]])=0,"",VALUE(tbl_data[[#This Row],[Price_USD]])/VALUE(tbl_data[[#This Row],[Engine_CC]])),"")</f>
        <v/>
      </c>
      <c r="R91" s="1" t="str">
        <f>TRIM(tbl_data[[#This Row],[Brand]])</f>
        <v>Ford</v>
      </c>
      <c r="S91" s="1">
        <f>_xlfn.NUMBERVALUE(tbl_data[[#This Row],[Price_USD]],".",",")</f>
        <v>71026.710000000006</v>
      </c>
    </row>
    <row r="92" spans="1:19" x14ac:dyDescent="0.3">
      <c r="A92">
        <v>91</v>
      </c>
      <c r="B92" t="s">
        <v>43</v>
      </c>
      <c r="C92">
        <v>2014</v>
      </c>
      <c r="D92">
        <v>89416</v>
      </c>
      <c r="E92" t="s">
        <v>31</v>
      </c>
      <c r="F92" t="s">
        <v>21</v>
      </c>
      <c r="G92" t="s">
        <v>26</v>
      </c>
      <c r="H92">
        <v>4388</v>
      </c>
      <c r="I92" t="s">
        <v>299</v>
      </c>
      <c r="J92" t="s">
        <v>300</v>
      </c>
      <c r="K92">
        <v>4</v>
      </c>
      <c r="L92" t="s">
        <v>301</v>
      </c>
      <c r="M92" s="1" t="str">
        <f>TEXT(DATE(tbl_data[[#This Row],[Model_Year]],1,1),"yyyy")</f>
        <v>2014</v>
      </c>
      <c r="N92" s="1" t="str">
        <f>IF(tbl_data[[#This Row],[Kilometers_Driven]]&lt;50000,"&lt;50k",
IF(tbl_data[[#This Row],[Kilometers_Driven]]&lt;100000,"50k-100k",
IF(tbl_data[[#This Row],[Kilometers_Driven]]&lt;150000,"100k-150k","150k+")))</f>
        <v>50k-100k</v>
      </c>
      <c r="O92" s="1" t="str">
        <f>IF(tbl_data[[#This Row],[Price_USD]]&gt;=87089,"High",
IF(tbl_data[[#This Row],[Price_USD]]&gt;=56807,"Mid","Low"))</f>
        <v>High</v>
      </c>
      <c r="P92" s="1" t="str">
        <f>IF(tbl_data[[#This Row],[Transmission]]="Automatic","Auto","Manual")</f>
        <v>Auto</v>
      </c>
      <c r="Q92" s="1" t="str">
        <f>IFERROR(IF(VALUE(tbl_data[[#This Row],[Engine_CC]])=0,"",VALUE(tbl_data[[#This Row],[Price_USD]])/VALUE(tbl_data[[#This Row],[Engine_CC]])),"")</f>
        <v/>
      </c>
      <c r="R92" s="1" t="str">
        <f>TRIM(tbl_data[[#This Row],[Brand]])</f>
        <v>Ford</v>
      </c>
      <c r="S92" s="1">
        <f>_xlfn.NUMBERVALUE(tbl_data[[#This Row],[Price_USD]],".",",")</f>
        <v>67225.11</v>
      </c>
    </row>
    <row r="93" spans="1:19" x14ac:dyDescent="0.3">
      <c r="A93">
        <v>92</v>
      </c>
      <c r="B93" t="s">
        <v>92</v>
      </c>
      <c r="C93">
        <v>2023</v>
      </c>
      <c r="D93">
        <v>191186</v>
      </c>
      <c r="E93" t="s">
        <v>13</v>
      </c>
      <c r="F93" t="s">
        <v>21</v>
      </c>
      <c r="G93" t="s">
        <v>26</v>
      </c>
      <c r="H93">
        <v>1715</v>
      </c>
      <c r="I93" t="s">
        <v>302</v>
      </c>
      <c r="J93" t="s">
        <v>303</v>
      </c>
      <c r="K93">
        <v>2</v>
      </c>
      <c r="L93" t="s">
        <v>304</v>
      </c>
      <c r="M93" s="1" t="str">
        <f>TEXT(DATE(tbl_data[[#This Row],[Model_Year]],1,1),"yyyy")</f>
        <v>2023</v>
      </c>
      <c r="N93" s="1" t="str">
        <f>IF(tbl_data[[#This Row],[Kilometers_Driven]]&lt;50000,"&lt;50k",
IF(tbl_data[[#This Row],[Kilometers_Driven]]&lt;100000,"50k-100k",
IF(tbl_data[[#This Row],[Kilometers_Driven]]&lt;150000,"100k-150k","150k+")))</f>
        <v>150k+</v>
      </c>
      <c r="O93" s="1" t="str">
        <f>IF(tbl_data[[#This Row],[Price_USD]]&gt;=87089,"High",
IF(tbl_data[[#This Row],[Price_USD]]&gt;=56807,"Mid","Low"))</f>
        <v>High</v>
      </c>
      <c r="P93" s="1" t="str">
        <f>IF(tbl_data[[#This Row],[Transmission]]="Automatic","Auto","Manual")</f>
        <v>Auto</v>
      </c>
      <c r="Q93" s="1" t="str">
        <f>IFERROR(IF(VALUE(tbl_data[[#This Row],[Engine_CC]])=0,"",VALUE(tbl_data[[#This Row],[Price_USD]])/VALUE(tbl_data[[#This Row],[Engine_CC]])),"")</f>
        <v/>
      </c>
      <c r="R93" s="1" t="str">
        <f>TRIM(tbl_data[[#This Row],[Brand]])</f>
        <v>Toyota</v>
      </c>
      <c r="S93" s="1">
        <f>_xlfn.NUMBERVALUE(tbl_data[[#This Row],[Price_USD]],".",",")</f>
        <v>28660.49</v>
      </c>
    </row>
    <row r="94" spans="1:19" x14ac:dyDescent="0.3">
      <c r="A94">
        <v>93</v>
      </c>
      <c r="B94" t="s">
        <v>30</v>
      </c>
      <c r="C94">
        <v>2018</v>
      </c>
      <c r="D94">
        <v>132810</v>
      </c>
      <c r="E94" t="s">
        <v>44</v>
      </c>
      <c r="F94" t="s">
        <v>21</v>
      </c>
      <c r="G94" t="s">
        <v>32</v>
      </c>
      <c r="H94">
        <v>2678</v>
      </c>
      <c r="I94" t="s">
        <v>305</v>
      </c>
      <c r="J94" t="s">
        <v>306</v>
      </c>
      <c r="K94">
        <v>4</v>
      </c>
      <c r="L94" t="s">
        <v>307</v>
      </c>
      <c r="M94" s="1" t="str">
        <f>TEXT(DATE(tbl_data[[#This Row],[Model_Year]],1,1),"yyyy")</f>
        <v>2018</v>
      </c>
      <c r="N94" s="1" t="str">
        <f>IF(tbl_data[[#This Row],[Kilometers_Driven]]&lt;50000,"&lt;50k",
IF(tbl_data[[#This Row],[Kilometers_Driven]]&lt;100000,"50k-100k",
IF(tbl_data[[#This Row],[Kilometers_Driven]]&lt;150000,"100k-150k","150k+")))</f>
        <v>100k-150k</v>
      </c>
      <c r="O94" s="1" t="str">
        <f>IF(tbl_data[[#This Row],[Price_USD]]&gt;=87089,"High",
IF(tbl_data[[#This Row],[Price_USD]]&gt;=56807,"Mid","Low"))</f>
        <v>High</v>
      </c>
      <c r="P94" s="1" t="str">
        <f>IF(tbl_data[[#This Row],[Transmission]]="Automatic","Auto","Manual")</f>
        <v>Auto</v>
      </c>
      <c r="Q94" s="1" t="str">
        <f>IFERROR(IF(VALUE(tbl_data[[#This Row],[Engine_CC]])=0,"",VALUE(tbl_data[[#This Row],[Price_USD]])/VALUE(tbl_data[[#This Row],[Engine_CC]])),"")</f>
        <v/>
      </c>
      <c r="R94" s="1" t="str">
        <f>TRIM(tbl_data[[#This Row],[Brand]])</f>
        <v>Mercedes</v>
      </c>
      <c r="S94" s="1">
        <f>_xlfn.NUMBERVALUE(tbl_data[[#This Row],[Price_USD]],".",",")</f>
        <v>53179.83</v>
      </c>
    </row>
    <row r="95" spans="1:19" x14ac:dyDescent="0.3">
      <c r="A95">
        <v>94</v>
      </c>
      <c r="B95" t="s">
        <v>39</v>
      </c>
      <c r="C95">
        <v>2006</v>
      </c>
      <c r="D95">
        <v>43067</v>
      </c>
      <c r="E95" t="s">
        <v>31</v>
      </c>
      <c r="F95" t="s">
        <v>14</v>
      </c>
      <c r="G95" t="s">
        <v>26</v>
      </c>
      <c r="H95">
        <v>4548</v>
      </c>
      <c r="I95" t="s">
        <v>308</v>
      </c>
      <c r="J95" t="s">
        <v>309</v>
      </c>
      <c r="K95">
        <v>5</v>
      </c>
      <c r="L95" t="s">
        <v>310</v>
      </c>
      <c r="M95" s="1" t="str">
        <f>TEXT(DATE(tbl_data[[#This Row],[Model_Year]],1,1),"yyyy")</f>
        <v>2006</v>
      </c>
      <c r="N95" s="1" t="str">
        <f>IF(tbl_data[[#This Row],[Kilometers_Driven]]&lt;50000,"&lt;50k",
IF(tbl_data[[#This Row],[Kilometers_Driven]]&lt;100000,"50k-100k",
IF(tbl_data[[#This Row],[Kilometers_Driven]]&lt;150000,"100k-150k","150k+")))</f>
        <v>&lt;50k</v>
      </c>
      <c r="O95" s="1" t="str">
        <f>IF(tbl_data[[#This Row],[Price_USD]]&gt;=87089,"High",
IF(tbl_data[[#This Row],[Price_USD]]&gt;=56807,"Mid","Low"))</f>
        <v>High</v>
      </c>
      <c r="P95" s="1" t="str">
        <f>IF(tbl_data[[#This Row],[Transmission]]="Automatic","Auto","Manual")</f>
        <v>Manual</v>
      </c>
      <c r="Q95" s="1" t="str">
        <f>IFERROR(IF(VALUE(tbl_data[[#This Row],[Engine_CC]])=0,"",VALUE(tbl_data[[#This Row],[Price_USD]])/VALUE(tbl_data[[#This Row],[Engine_CC]])),"")</f>
        <v/>
      </c>
      <c r="R95" s="1" t="str">
        <f>TRIM(tbl_data[[#This Row],[Brand]])</f>
        <v>Volkswagen</v>
      </c>
      <c r="S95" s="1">
        <f>_xlfn.NUMBERVALUE(tbl_data[[#This Row],[Price_USD]],".",",")</f>
        <v>79314.89</v>
      </c>
    </row>
    <row r="96" spans="1:19" x14ac:dyDescent="0.3">
      <c r="A96">
        <v>95</v>
      </c>
      <c r="B96" t="s">
        <v>12</v>
      </c>
      <c r="C96">
        <v>2005</v>
      </c>
      <c r="D96">
        <v>178757</v>
      </c>
      <c r="E96" t="s">
        <v>31</v>
      </c>
      <c r="F96" t="s">
        <v>14</v>
      </c>
      <c r="G96" t="s">
        <v>32</v>
      </c>
      <c r="H96">
        <v>1077</v>
      </c>
      <c r="I96" t="s">
        <v>311</v>
      </c>
      <c r="J96" t="s">
        <v>312</v>
      </c>
      <c r="K96">
        <v>4</v>
      </c>
      <c r="L96" t="s">
        <v>313</v>
      </c>
      <c r="M96" s="1" t="str">
        <f>TEXT(DATE(tbl_data[[#This Row],[Model_Year]],1,1),"yyyy")</f>
        <v>2005</v>
      </c>
      <c r="N96" s="1" t="str">
        <f>IF(tbl_data[[#This Row],[Kilometers_Driven]]&lt;50000,"&lt;50k",
IF(tbl_data[[#This Row],[Kilometers_Driven]]&lt;100000,"50k-100k",
IF(tbl_data[[#This Row],[Kilometers_Driven]]&lt;150000,"100k-150k","150k+")))</f>
        <v>150k+</v>
      </c>
      <c r="O96" s="1" t="str">
        <f>IF(tbl_data[[#This Row],[Price_USD]]&gt;=87089,"High",
IF(tbl_data[[#This Row],[Price_USD]]&gt;=56807,"Mid","Low"))</f>
        <v>High</v>
      </c>
      <c r="P96" s="1" t="str">
        <f>IF(tbl_data[[#This Row],[Transmission]]="Automatic","Auto","Manual")</f>
        <v>Manual</v>
      </c>
      <c r="Q96" s="1" t="str">
        <f>IFERROR(IF(VALUE(tbl_data[[#This Row],[Engine_CC]])=0,"",VALUE(tbl_data[[#This Row],[Price_USD]])/VALUE(tbl_data[[#This Row],[Engine_CC]])),"")</f>
        <v/>
      </c>
      <c r="R96" s="1" t="str">
        <f>TRIM(tbl_data[[#This Row],[Brand]])</f>
        <v>Audi</v>
      </c>
      <c r="S96" s="1">
        <f>_xlfn.NUMBERVALUE(tbl_data[[#This Row],[Price_USD]],".",",")</f>
        <v>88074.35</v>
      </c>
    </row>
    <row r="97" spans="1:19" x14ac:dyDescent="0.3">
      <c r="A97">
        <v>96</v>
      </c>
      <c r="B97" t="s">
        <v>39</v>
      </c>
      <c r="C97">
        <v>2022</v>
      </c>
      <c r="D97">
        <v>23073</v>
      </c>
      <c r="E97" t="s">
        <v>31</v>
      </c>
      <c r="F97" t="s">
        <v>14</v>
      </c>
      <c r="G97" t="s">
        <v>32</v>
      </c>
      <c r="H97">
        <v>2777</v>
      </c>
      <c r="I97" t="s">
        <v>314</v>
      </c>
      <c r="J97" t="s">
        <v>315</v>
      </c>
      <c r="K97">
        <v>2</v>
      </c>
      <c r="L97" t="s">
        <v>316</v>
      </c>
      <c r="M97" s="1" t="str">
        <f>TEXT(DATE(tbl_data[[#This Row],[Model_Year]],1,1),"yyyy")</f>
        <v>2022</v>
      </c>
      <c r="N97" s="1" t="str">
        <f>IF(tbl_data[[#This Row],[Kilometers_Driven]]&lt;50000,"&lt;50k",
IF(tbl_data[[#This Row],[Kilometers_Driven]]&lt;100000,"50k-100k",
IF(tbl_data[[#This Row],[Kilometers_Driven]]&lt;150000,"100k-150k","150k+")))</f>
        <v>&lt;50k</v>
      </c>
      <c r="O97" s="1" t="str">
        <f>IF(tbl_data[[#This Row],[Price_USD]]&gt;=87089,"High",
IF(tbl_data[[#This Row],[Price_USD]]&gt;=56807,"Mid","Low"))</f>
        <v>High</v>
      </c>
      <c r="P97" s="1" t="str">
        <f>IF(tbl_data[[#This Row],[Transmission]]="Automatic","Auto","Manual")</f>
        <v>Manual</v>
      </c>
      <c r="Q97" s="1" t="str">
        <f>IFERROR(IF(VALUE(tbl_data[[#This Row],[Engine_CC]])=0,"",VALUE(tbl_data[[#This Row],[Price_USD]])/VALUE(tbl_data[[#This Row],[Engine_CC]])),"")</f>
        <v/>
      </c>
      <c r="R97" s="1" t="str">
        <f>TRIM(tbl_data[[#This Row],[Brand]])</f>
        <v>Volkswagen</v>
      </c>
      <c r="S97" s="1">
        <f>_xlfn.NUMBERVALUE(tbl_data[[#This Row],[Price_USD]],".",",")</f>
        <v>3083.87</v>
      </c>
    </row>
    <row r="98" spans="1:19" x14ac:dyDescent="0.3">
      <c r="A98">
        <v>97</v>
      </c>
      <c r="B98" t="s">
        <v>102</v>
      </c>
      <c r="C98">
        <v>2011</v>
      </c>
      <c r="D98">
        <v>41035</v>
      </c>
      <c r="E98" t="s">
        <v>20</v>
      </c>
      <c r="F98" t="s">
        <v>14</v>
      </c>
      <c r="G98" t="s">
        <v>15</v>
      </c>
      <c r="H98">
        <v>2659</v>
      </c>
      <c r="I98" t="s">
        <v>317</v>
      </c>
      <c r="J98" t="s">
        <v>318</v>
      </c>
      <c r="K98">
        <v>2</v>
      </c>
      <c r="L98" t="s">
        <v>319</v>
      </c>
      <c r="M98" s="1" t="str">
        <f>TEXT(DATE(tbl_data[[#This Row],[Model_Year]],1,1),"yyyy")</f>
        <v>2011</v>
      </c>
      <c r="N98" s="1" t="str">
        <f>IF(tbl_data[[#This Row],[Kilometers_Driven]]&lt;50000,"&lt;50k",
IF(tbl_data[[#This Row],[Kilometers_Driven]]&lt;100000,"50k-100k",
IF(tbl_data[[#This Row],[Kilometers_Driven]]&lt;150000,"100k-150k","150k+")))</f>
        <v>&lt;50k</v>
      </c>
      <c r="O98" s="1" t="str">
        <f>IF(tbl_data[[#This Row],[Price_USD]]&gt;=87089,"High",
IF(tbl_data[[#This Row],[Price_USD]]&gt;=56807,"Mid","Low"))</f>
        <v>High</v>
      </c>
      <c r="P98" s="1" t="str">
        <f>IF(tbl_data[[#This Row],[Transmission]]="Automatic","Auto","Manual")</f>
        <v>Manual</v>
      </c>
      <c r="Q98" s="1" t="str">
        <f>IFERROR(IF(VALUE(tbl_data[[#This Row],[Engine_CC]])=0,"",VALUE(tbl_data[[#This Row],[Price_USD]])/VALUE(tbl_data[[#This Row],[Engine_CC]])),"")</f>
        <v/>
      </c>
      <c r="R98" s="1" t="str">
        <f>TRIM(tbl_data[[#This Row],[Brand]])</f>
        <v>Nissan</v>
      </c>
      <c r="S98" s="1">
        <f>_xlfn.NUMBERVALUE(tbl_data[[#This Row],[Price_USD]],".",",")</f>
        <v>112611.85</v>
      </c>
    </row>
    <row r="99" spans="1:19" x14ac:dyDescent="0.3">
      <c r="A99">
        <v>98</v>
      </c>
      <c r="B99" t="s">
        <v>12</v>
      </c>
      <c r="C99">
        <v>2012</v>
      </c>
      <c r="D99">
        <v>95373</v>
      </c>
      <c r="E99" t="s">
        <v>13</v>
      </c>
      <c r="F99" t="s">
        <v>21</v>
      </c>
      <c r="G99" t="s">
        <v>15</v>
      </c>
      <c r="H99">
        <v>3836</v>
      </c>
      <c r="I99" t="s">
        <v>320</v>
      </c>
      <c r="J99" t="s">
        <v>321</v>
      </c>
      <c r="K99">
        <v>5</v>
      </c>
      <c r="L99" t="s">
        <v>322</v>
      </c>
      <c r="M99" s="1" t="str">
        <f>TEXT(DATE(tbl_data[[#This Row],[Model_Year]],1,1),"yyyy")</f>
        <v>2012</v>
      </c>
      <c r="N99" s="1" t="str">
        <f>IF(tbl_data[[#This Row],[Kilometers_Driven]]&lt;50000,"&lt;50k",
IF(tbl_data[[#This Row],[Kilometers_Driven]]&lt;100000,"50k-100k",
IF(tbl_data[[#This Row],[Kilometers_Driven]]&lt;150000,"100k-150k","150k+")))</f>
        <v>50k-100k</v>
      </c>
      <c r="O99" s="1" t="str">
        <f>IF(tbl_data[[#This Row],[Price_USD]]&gt;=87089,"High",
IF(tbl_data[[#This Row],[Price_USD]]&gt;=56807,"Mid","Low"))</f>
        <v>High</v>
      </c>
      <c r="P99" s="1" t="str">
        <f>IF(tbl_data[[#This Row],[Transmission]]="Automatic","Auto","Manual")</f>
        <v>Auto</v>
      </c>
      <c r="Q99" s="1" t="str">
        <f>IFERROR(IF(VALUE(tbl_data[[#This Row],[Engine_CC]])=0,"",VALUE(tbl_data[[#This Row],[Price_USD]])/VALUE(tbl_data[[#This Row],[Engine_CC]])),"")</f>
        <v/>
      </c>
      <c r="R99" s="1" t="str">
        <f>TRIM(tbl_data[[#This Row],[Brand]])</f>
        <v>Audi</v>
      </c>
      <c r="S99" s="1">
        <f>_xlfn.NUMBERVALUE(tbl_data[[#This Row],[Price_USD]],".",",")</f>
        <v>22249.47</v>
      </c>
    </row>
    <row r="100" spans="1:19" x14ac:dyDescent="0.3">
      <c r="A100">
        <v>99</v>
      </c>
      <c r="B100" t="s">
        <v>102</v>
      </c>
      <c r="C100">
        <v>2005</v>
      </c>
      <c r="D100">
        <v>88362</v>
      </c>
      <c r="E100" t="s">
        <v>13</v>
      </c>
      <c r="F100" t="s">
        <v>14</v>
      </c>
      <c r="G100" t="s">
        <v>26</v>
      </c>
      <c r="H100">
        <v>4171</v>
      </c>
      <c r="I100" t="s">
        <v>323</v>
      </c>
      <c r="J100" t="s">
        <v>324</v>
      </c>
      <c r="K100">
        <v>2</v>
      </c>
      <c r="L100" t="s">
        <v>325</v>
      </c>
      <c r="M100" s="1" t="str">
        <f>TEXT(DATE(tbl_data[[#This Row],[Model_Year]],1,1),"yyyy")</f>
        <v>2005</v>
      </c>
      <c r="N100" s="1" t="str">
        <f>IF(tbl_data[[#This Row],[Kilometers_Driven]]&lt;50000,"&lt;50k",
IF(tbl_data[[#This Row],[Kilometers_Driven]]&lt;100000,"50k-100k",
IF(tbl_data[[#This Row],[Kilometers_Driven]]&lt;150000,"100k-150k","150k+")))</f>
        <v>50k-100k</v>
      </c>
      <c r="O100" s="1" t="str">
        <f>IF(tbl_data[[#This Row],[Price_USD]]&gt;=87089,"High",
IF(tbl_data[[#This Row],[Price_USD]]&gt;=56807,"Mid","Low"))</f>
        <v>High</v>
      </c>
      <c r="P100" s="1" t="str">
        <f>IF(tbl_data[[#This Row],[Transmission]]="Automatic","Auto","Manual")</f>
        <v>Manual</v>
      </c>
      <c r="Q100" s="1" t="str">
        <f>IFERROR(IF(VALUE(tbl_data[[#This Row],[Engine_CC]])=0,"",VALUE(tbl_data[[#This Row],[Price_USD]])/VALUE(tbl_data[[#This Row],[Engine_CC]])),"")</f>
        <v/>
      </c>
      <c r="R100" s="1" t="str">
        <f>TRIM(tbl_data[[#This Row],[Brand]])</f>
        <v>Nissan</v>
      </c>
      <c r="S100" s="1">
        <f>_xlfn.NUMBERVALUE(tbl_data[[#This Row],[Price_USD]],".",",")</f>
        <v>30328.91</v>
      </c>
    </row>
    <row r="101" spans="1:19" x14ac:dyDescent="0.3">
      <c r="A101">
        <v>100</v>
      </c>
      <c r="B101" t="s">
        <v>25</v>
      </c>
      <c r="C101">
        <v>2007</v>
      </c>
      <c r="D101">
        <v>95517</v>
      </c>
      <c r="E101" t="s">
        <v>44</v>
      </c>
      <c r="F101" t="s">
        <v>14</v>
      </c>
      <c r="G101" t="s">
        <v>32</v>
      </c>
      <c r="H101">
        <v>2982</v>
      </c>
      <c r="I101" t="s">
        <v>326</v>
      </c>
      <c r="J101" t="s">
        <v>327</v>
      </c>
      <c r="K101">
        <v>5</v>
      </c>
      <c r="L101" t="s">
        <v>328</v>
      </c>
      <c r="M101" s="1" t="str">
        <f>TEXT(DATE(tbl_data[[#This Row],[Model_Year]],1,1),"yyyy")</f>
        <v>2007</v>
      </c>
      <c r="N101" s="1" t="str">
        <f>IF(tbl_data[[#This Row],[Kilometers_Driven]]&lt;50000,"&lt;50k",
IF(tbl_data[[#This Row],[Kilometers_Driven]]&lt;100000,"50k-100k",
IF(tbl_data[[#This Row],[Kilometers_Driven]]&lt;150000,"100k-150k","150k+")))</f>
        <v>50k-100k</v>
      </c>
      <c r="O101" s="1" t="str">
        <f>IF(tbl_data[[#This Row],[Price_USD]]&gt;=87089,"High",
IF(tbl_data[[#This Row],[Price_USD]]&gt;=56807,"Mid","Low"))</f>
        <v>High</v>
      </c>
      <c r="P101" s="1" t="str">
        <f>IF(tbl_data[[#This Row],[Transmission]]="Automatic","Auto","Manual")</f>
        <v>Manual</v>
      </c>
      <c r="Q101" s="1" t="str">
        <f>IFERROR(IF(VALUE(tbl_data[[#This Row],[Engine_CC]])=0,"",VALUE(tbl_data[[#This Row],[Price_USD]])/VALUE(tbl_data[[#This Row],[Engine_CC]])),"")</f>
        <v/>
      </c>
      <c r="R101" s="1" t="str">
        <f>TRIM(tbl_data[[#This Row],[Brand]])</f>
        <v>Kia</v>
      </c>
      <c r="S101" s="1">
        <f>_xlfn.NUMBERVALUE(tbl_data[[#This Row],[Price_USD]],".",",")</f>
        <v>33826.39</v>
      </c>
    </row>
    <row r="102" spans="1:19" x14ac:dyDescent="0.3">
      <c r="A102">
        <v>101</v>
      </c>
      <c r="B102" t="s">
        <v>76</v>
      </c>
      <c r="C102">
        <v>2012</v>
      </c>
      <c r="D102">
        <v>70450</v>
      </c>
      <c r="E102" t="s">
        <v>13</v>
      </c>
      <c r="F102" t="s">
        <v>14</v>
      </c>
      <c r="G102" t="s">
        <v>15</v>
      </c>
      <c r="H102">
        <v>1970</v>
      </c>
      <c r="I102" t="s">
        <v>329</v>
      </c>
      <c r="J102" t="s">
        <v>330</v>
      </c>
      <c r="K102">
        <v>5</v>
      </c>
      <c r="L102" t="s">
        <v>331</v>
      </c>
      <c r="M102" s="1" t="str">
        <f>TEXT(DATE(tbl_data[[#This Row],[Model_Year]],1,1),"yyyy")</f>
        <v>2012</v>
      </c>
      <c r="N102" s="1" t="str">
        <f>IF(tbl_data[[#This Row],[Kilometers_Driven]]&lt;50000,"&lt;50k",
IF(tbl_data[[#This Row],[Kilometers_Driven]]&lt;100000,"50k-100k",
IF(tbl_data[[#This Row],[Kilometers_Driven]]&lt;150000,"100k-150k","150k+")))</f>
        <v>50k-100k</v>
      </c>
      <c r="O102" s="1" t="str">
        <f>IF(tbl_data[[#This Row],[Price_USD]]&gt;=87089,"High",
IF(tbl_data[[#This Row],[Price_USD]]&gt;=56807,"Mid","Low"))</f>
        <v>High</v>
      </c>
      <c r="P102" s="1" t="str">
        <f>IF(tbl_data[[#This Row],[Transmission]]="Automatic","Auto","Manual")</f>
        <v>Manual</v>
      </c>
      <c r="Q102" s="1" t="str">
        <f>IFERROR(IF(VALUE(tbl_data[[#This Row],[Engine_CC]])=0,"",VALUE(tbl_data[[#This Row],[Price_USD]])/VALUE(tbl_data[[#This Row],[Engine_CC]])),"")</f>
        <v/>
      </c>
      <c r="R102" s="1" t="str">
        <f>TRIM(tbl_data[[#This Row],[Brand]])</f>
        <v>Honda</v>
      </c>
      <c r="S102" s="1">
        <f>_xlfn.NUMBERVALUE(tbl_data[[#This Row],[Price_USD]],".",",")</f>
        <v>7424.96</v>
      </c>
    </row>
    <row r="103" spans="1:19" x14ac:dyDescent="0.3">
      <c r="A103">
        <v>102</v>
      </c>
      <c r="B103" t="s">
        <v>92</v>
      </c>
      <c r="C103">
        <v>2019</v>
      </c>
      <c r="D103">
        <v>15382</v>
      </c>
      <c r="E103" t="s">
        <v>13</v>
      </c>
      <c r="F103" t="s">
        <v>14</v>
      </c>
      <c r="G103" t="s">
        <v>26</v>
      </c>
      <c r="H103">
        <v>1289</v>
      </c>
      <c r="I103" t="s">
        <v>332</v>
      </c>
      <c r="J103" t="s">
        <v>333</v>
      </c>
      <c r="K103">
        <v>2</v>
      </c>
      <c r="L103" t="s">
        <v>334</v>
      </c>
      <c r="M103" s="1" t="str">
        <f>TEXT(DATE(tbl_data[[#This Row],[Model_Year]],1,1),"yyyy")</f>
        <v>2019</v>
      </c>
      <c r="N103" s="1" t="str">
        <f>IF(tbl_data[[#This Row],[Kilometers_Driven]]&lt;50000,"&lt;50k",
IF(tbl_data[[#This Row],[Kilometers_Driven]]&lt;100000,"50k-100k",
IF(tbl_data[[#This Row],[Kilometers_Driven]]&lt;150000,"100k-150k","150k+")))</f>
        <v>&lt;50k</v>
      </c>
      <c r="O103" s="1" t="str">
        <f>IF(tbl_data[[#This Row],[Price_USD]]&gt;=87089,"High",
IF(tbl_data[[#This Row],[Price_USD]]&gt;=56807,"Mid","Low"))</f>
        <v>High</v>
      </c>
      <c r="P103" s="1" t="str">
        <f>IF(tbl_data[[#This Row],[Transmission]]="Automatic","Auto","Manual")</f>
        <v>Manual</v>
      </c>
      <c r="Q103" s="1" t="str">
        <f>IFERROR(IF(VALUE(tbl_data[[#This Row],[Engine_CC]])=0,"",VALUE(tbl_data[[#This Row],[Price_USD]])/VALUE(tbl_data[[#This Row],[Engine_CC]])),"")</f>
        <v/>
      </c>
      <c r="R103" s="1" t="str">
        <f>TRIM(tbl_data[[#This Row],[Brand]])</f>
        <v>Toyota</v>
      </c>
      <c r="S103" s="1">
        <f>_xlfn.NUMBERVALUE(tbl_data[[#This Row],[Price_USD]],".",",")</f>
        <v>17397.099999999999</v>
      </c>
    </row>
    <row r="104" spans="1:19" x14ac:dyDescent="0.3">
      <c r="A104">
        <v>103</v>
      </c>
      <c r="B104" t="s">
        <v>12</v>
      </c>
      <c r="C104">
        <v>2009</v>
      </c>
      <c r="D104">
        <v>140509</v>
      </c>
      <c r="E104" t="s">
        <v>31</v>
      </c>
      <c r="F104" t="s">
        <v>21</v>
      </c>
      <c r="G104" t="s">
        <v>15</v>
      </c>
      <c r="H104">
        <v>3325</v>
      </c>
      <c r="I104" t="s">
        <v>335</v>
      </c>
      <c r="J104" t="s">
        <v>336</v>
      </c>
      <c r="K104">
        <v>7</v>
      </c>
      <c r="L104" t="s">
        <v>337</v>
      </c>
      <c r="M104" s="1" t="str">
        <f>TEXT(DATE(tbl_data[[#This Row],[Model_Year]],1,1),"yyyy")</f>
        <v>2009</v>
      </c>
      <c r="N104" s="1" t="str">
        <f>IF(tbl_data[[#This Row],[Kilometers_Driven]]&lt;50000,"&lt;50k",
IF(tbl_data[[#This Row],[Kilometers_Driven]]&lt;100000,"50k-100k",
IF(tbl_data[[#This Row],[Kilometers_Driven]]&lt;150000,"100k-150k","150k+")))</f>
        <v>100k-150k</v>
      </c>
      <c r="O104" s="1" t="str">
        <f>IF(tbl_data[[#This Row],[Price_USD]]&gt;=87089,"High",
IF(tbl_data[[#This Row],[Price_USD]]&gt;=56807,"Mid","Low"))</f>
        <v>High</v>
      </c>
      <c r="P104" s="1" t="str">
        <f>IF(tbl_data[[#This Row],[Transmission]]="Automatic","Auto","Manual")</f>
        <v>Auto</v>
      </c>
      <c r="Q104" s="1" t="str">
        <f>IFERROR(IF(VALUE(tbl_data[[#This Row],[Engine_CC]])=0,"",VALUE(tbl_data[[#This Row],[Price_USD]])/VALUE(tbl_data[[#This Row],[Engine_CC]])),"")</f>
        <v/>
      </c>
      <c r="R104" s="1" t="str">
        <f>TRIM(tbl_data[[#This Row],[Brand]])</f>
        <v>Audi</v>
      </c>
      <c r="S104" s="1">
        <f>_xlfn.NUMBERVALUE(tbl_data[[#This Row],[Price_USD]],".",",")</f>
        <v>118402.94</v>
      </c>
    </row>
    <row r="105" spans="1:19" x14ac:dyDescent="0.3">
      <c r="A105">
        <v>104</v>
      </c>
      <c r="B105" t="s">
        <v>12</v>
      </c>
      <c r="C105">
        <v>2007</v>
      </c>
      <c r="D105">
        <v>66929</v>
      </c>
      <c r="E105" t="s">
        <v>31</v>
      </c>
      <c r="F105" t="s">
        <v>21</v>
      </c>
      <c r="G105" t="s">
        <v>15</v>
      </c>
      <c r="H105">
        <v>1982</v>
      </c>
      <c r="I105" t="s">
        <v>338</v>
      </c>
      <c r="J105" t="s">
        <v>339</v>
      </c>
      <c r="K105">
        <v>5</v>
      </c>
      <c r="L105" t="s">
        <v>340</v>
      </c>
      <c r="M105" s="1" t="str">
        <f>TEXT(DATE(tbl_data[[#This Row],[Model_Year]],1,1),"yyyy")</f>
        <v>2007</v>
      </c>
      <c r="N105" s="1" t="str">
        <f>IF(tbl_data[[#This Row],[Kilometers_Driven]]&lt;50000,"&lt;50k",
IF(tbl_data[[#This Row],[Kilometers_Driven]]&lt;100000,"50k-100k",
IF(tbl_data[[#This Row],[Kilometers_Driven]]&lt;150000,"100k-150k","150k+")))</f>
        <v>50k-100k</v>
      </c>
      <c r="O105" s="1" t="str">
        <f>IF(tbl_data[[#This Row],[Price_USD]]&gt;=87089,"High",
IF(tbl_data[[#This Row],[Price_USD]]&gt;=56807,"Mid","Low"))</f>
        <v>High</v>
      </c>
      <c r="P105" s="1" t="str">
        <f>IF(tbl_data[[#This Row],[Transmission]]="Automatic","Auto","Manual")</f>
        <v>Auto</v>
      </c>
      <c r="Q105" s="1" t="str">
        <f>IFERROR(IF(VALUE(tbl_data[[#This Row],[Engine_CC]])=0,"",VALUE(tbl_data[[#This Row],[Price_USD]])/VALUE(tbl_data[[#This Row],[Engine_CC]])),"")</f>
        <v/>
      </c>
      <c r="R105" s="1" t="str">
        <f>TRIM(tbl_data[[#This Row],[Brand]])</f>
        <v>Audi</v>
      </c>
      <c r="S105" s="1">
        <f>_xlfn.NUMBERVALUE(tbl_data[[#This Row],[Price_USD]],".",",")</f>
        <v>39880.36</v>
      </c>
    </row>
    <row r="106" spans="1:19" x14ac:dyDescent="0.3">
      <c r="A106">
        <v>105</v>
      </c>
      <c r="B106" t="s">
        <v>25</v>
      </c>
      <c r="C106">
        <v>2023</v>
      </c>
      <c r="D106">
        <v>103864</v>
      </c>
      <c r="E106" t="s">
        <v>20</v>
      </c>
      <c r="F106" t="s">
        <v>21</v>
      </c>
      <c r="G106" t="s">
        <v>32</v>
      </c>
      <c r="H106">
        <v>3288</v>
      </c>
      <c r="I106" t="s">
        <v>341</v>
      </c>
      <c r="J106" t="s">
        <v>342</v>
      </c>
      <c r="K106">
        <v>2</v>
      </c>
      <c r="L106" t="s">
        <v>343</v>
      </c>
      <c r="M106" s="1" t="str">
        <f>TEXT(DATE(tbl_data[[#This Row],[Model_Year]],1,1),"yyyy")</f>
        <v>2023</v>
      </c>
      <c r="N106" s="1" t="str">
        <f>IF(tbl_data[[#This Row],[Kilometers_Driven]]&lt;50000,"&lt;50k",
IF(tbl_data[[#This Row],[Kilometers_Driven]]&lt;100000,"50k-100k",
IF(tbl_data[[#This Row],[Kilometers_Driven]]&lt;150000,"100k-150k","150k+")))</f>
        <v>100k-150k</v>
      </c>
      <c r="O106" s="1" t="str">
        <f>IF(tbl_data[[#This Row],[Price_USD]]&gt;=87089,"High",
IF(tbl_data[[#This Row],[Price_USD]]&gt;=56807,"Mid","Low"))</f>
        <v>High</v>
      </c>
      <c r="P106" s="1" t="str">
        <f>IF(tbl_data[[#This Row],[Transmission]]="Automatic","Auto","Manual")</f>
        <v>Auto</v>
      </c>
      <c r="Q106" s="1" t="str">
        <f>IFERROR(IF(VALUE(tbl_data[[#This Row],[Engine_CC]])=0,"",VALUE(tbl_data[[#This Row],[Price_USD]])/VALUE(tbl_data[[#This Row],[Engine_CC]])),"")</f>
        <v/>
      </c>
      <c r="R106" s="1" t="str">
        <f>TRIM(tbl_data[[#This Row],[Brand]])</f>
        <v>Kia</v>
      </c>
      <c r="S106" s="1">
        <f>_xlfn.NUMBERVALUE(tbl_data[[#This Row],[Price_USD]],".",",")</f>
        <v>16490.23</v>
      </c>
    </row>
    <row r="107" spans="1:19" x14ac:dyDescent="0.3">
      <c r="A107">
        <v>106</v>
      </c>
      <c r="B107" t="s">
        <v>30</v>
      </c>
      <c r="C107">
        <v>2005</v>
      </c>
      <c r="D107">
        <v>148401</v>
      </c>
      <c r="E107" t="s">
        <v>31</v>
      </c>
      <c r="F107" t="s">
        <v>14</v>
      </c>
      <c r="G107" t="s">
        <v>32</v>
      </c>
      <c r="H107">
        <v>2676</v>
      </c>
      <c r="I107" t="s">
        <v>344</v>
      </c>
      <c r="J107" t="s">
        <v>345</v>
      </c>
      <c r="K107">
        <v>7</v>
      </c>
      <c r="L107" t="s">
        <v>346</v>
      </c>
      <c r="M107" s="1" t="str">
        <f>TEXT(DATE(tbl_data[[#This Row],[Model_Year]],1,1),"yyyy")</f>
        <v>2005</v>
      </c>
      <c r="N107" s="1" t="str">
        <f>IF(tbl_data[[#This Row],[Kilometers_Driven]]&lt;50000,"&lt;50k",
IF(tbl_data[[#This Row],[Kilometers_Driven]]&lt;100000,"50k-100k",
IF(tbl_data[[#This Row],[Kilometers_Driven]]&lt;150000,"100k-150k","150k+")))</f>
        <v>100k-150k</v>
      </c>
      <c r="O107" s="1" t="str">
        <f>IF(tbl_data[[#This Row],[Price_USD]]&gt;=87089,"High",
IF(tbl_data[[#This Row],[Price_USD]]&gt;=56807,"Mid","Low"))</f>
        <v>High</v>
      </c>
      <c r="P107" s="1" t="str">
        <f>IF(tbl_data[[#This Row],[Transmission]]="Automatic","Auto","Manual")</f>
        <v>Manual</v>
      </c>
      <c r="Q107" s="1" t="str">
        <f>IFERROR(IF(VALUE(tbl_data[[#This Row],[Engine_CC]])=0,"",VALUE(tbl_data[[#This Row],[Price_USD]])/VALUE(tbl_data[[#This Row],[Engine_CC]])),"")</f>
        <v/>
      </c>
      <c r="R107" s="1" t="str">
        <f>TRIM(tbl_data[[#This Row],[Brand]])</f>
        <v>Mercedes</v>
      </c>
      <c r="S107" s="1">
        <f>_xlfn.NUMBERVALUE(tbl_data[[#This Row],[Price_USD]],".",",")</f>
        <v>15517.98</v>
      </c>
    </row>
    <row r="108" spans="1:19" x14ac:dyDescent="0.3">
      <c r="A108">
        <v>107</v>
      </c>
      <c r="B108" t="s">
        <v>43</v>
      </c>
      <c r="C108">
        <v>2019</v>
      </c>
      <c r="D108">
        <v>30169</v>
      </c>
      <c r="E108" t="s">
        <v>31</v>
      </c>
      <c r="F108" t="s">
        <v>21</v>
      </c>
      <c r="G108" t="s">
        <v>15</v>
      </c>
      <c r="H108">
        <v>3262</v>
      </c>
      <c r="I108" t="s">
        <v>347</v>
      </c>
      <c r="J108" t="s">
        <v>348</v>
      </c>
      <c r="K108">
        <v>5</v>
      </c>
      <c r="L108" t="s">
        <v>349</v>
      </c>
      <c r="M108" s="1" t="str">
        <f>TEXT(DATE(tbl_data[[#This Row],[Model_Year]],1,1),"yyyy")</f>
        <v>2019</v>
      </c>
      <c r="N108" s="1" t="str">
        <f>IF(tbl_data[[#This Row],[Kilometers_Driven]]&lt;50000,"&lt;50k",
IF(tbl_data[[#This Row],[Kilometers_Driven]]&lt;100000,"50k-100k",
IF(tbl_data[[#This Row],[Kilometers_Driven]]&lt;150000,"100k-150k","150k+")))</f>
        <v>&lt;50k</v>
      </c>
      <c r="O108" s="1" t="str">
        <f>IF(tbl_data[[#This Row],[Price_USD]]&gt;=87089,"High",
IF(tbl_data[[#This Row],[Price_USD]]&gt;=56807,"Mid","Low"))</f>
        <v>High</v>
      </c>
      <c r="P108" s="1" t="str">
        <f>IF(tbl_data[[#This Row],[Transmission]]="Automatic","Auto","Manual")</f>
        <v>Auto</v>
      </c>
      <c r="Q108" s="1" t="str">
        <f>IFERROR(IF(VALUE(tbl_data[[#This Row],[Engine_CC]])=0,"",VALUE(tbl_data[[#This Row],[Price_USD]])/VALUE(tbl_data[[#This Row],[Engine_CC]])),"")</f>
        <v/>
      </c>
      <c r="R108" s="1" t="str">
        <f>TRIM(tbl_data[[#This Row],[Brand]])</f>
        <v>Ford</v>
      </c>
      <c r="S108" s="1">
        <f>_xlfn.NUMBERVALUE(tbl_data[[#This Row],[Price_USD]],".",",")</f>
        <v>87176.82</v>
      </c>
    </row>
    <row r="109" spans="1:19" x14ac:dyDescent="0.3">
      <c r="A109">
        <v>108</v>
      </c>
      <c r="B109" t="s">
        <v>25</v>
      </c>
      <c r="C109">
        <v>2012</v>
      </c>
      <c r="D109">
        <v>92468</v>
      </c>
      <c r="E109" t="s">
        <v>31</v>
      </c>
      <c r="F109" t="s">
        <v>14</v>
      </c>
      <c r="G109" t="s">
        <v>15</v>
      </c>
      <c r="H109">
        <v>2430</v>
      </c>
      <c r="I109" t="s">
        <v>350</v>
      </c>
      <c r="J109" t="s">
        <v>351</v>
      </c>
      <c r="K109">
        <v>7</v>
      </c>
      <c r="L109" t="s">
        <v>352</v>
      </c>
      <c r="M109" s="1" t="str">
        <f>TEXT(DATE(tbl_data[[#This Row],[Model_Year]],1,1),"yyyy")</f>
        <v>2012</v>
      </c>
      <c r="N109" s="1" t="str">
        <f>IF(tbl_data[[#This Row],[Kilometers_Driven]]&lt;50000,"&lt;50k",
IF(tbl_data[[#This Row],[Kilometers_Driven]]&lt;100000,"50k-100k",
IF(tbl_data[[#This Row],[Kilometers_Driven]]&lt;150000,"100k-150k","150k+")))</f>
        <v>50k-100k</v>
      </c>
      <c r="O109" s="1" t="str">
        <f>IF(tbl_data[[#This Row],[Price_USD]]&gt;=87089,"High",
IF(tbl_data[[#This Row],[Price_USD]]&gt;=56807,"Mid","Low"))</f>
        <v>High</v>
      </c>
      <c r="P109" s="1" t="str">
        <f>IF(tbl_data[[#This Row],[Transmission]]="Automatic","Auto","Manual")</f>
        <v>Manual</v>
      </c>
      <c r="Q109" s="1" t="str">
        <f>IFERROR(IF(VALUE(tbl_data[[#This Row],[Engine_CC]])=0,"",VALUE(tbl_data[[#This Row],[Price_USD]])/VALUE(tbl_data[[#This Row],[Engine_CC]])),"")</f>
        <v/>
      </c>
      <c r="R109" s="1" t="str">
        <f>TRIM(tbl_data[[#This Row],[Brand]])</f>
        <v>Kia</v>
      </c>
      <c r="S109" s="1">
        <f>_xlfn.NUMBERVALUE(tbl_data[[#This Row],[Price_USD]],".",",")</f>
        <v>102984.53</v>
      </c>
    </row>
    <row r="110" spans="1:19" x14ac:dyDescent="0.3">
      <c r="A110">
        <v>109</v>
      </c>
      <c r="B110" t="s">
        <v>69</v>
      </c>
      <c r="C110">
        <v>2006</v>
      </c>
      <c r="D110">
        <v>39594</v>
      </c>
      <c r="E110" t="s">
        <v>31</v>
      </c>
      <c r="F110" t="s">
        <v>21</v>
      </c>
      <c r="G110" t="s">
        <v>32</v>
      </c>
      <c r="H110">
        <v>1087</v>
      </c>
      <c r="I110" t="s">
        <v>353</v>
      </c>
      <c r="J110" t="s">
        <v>354</v>
      </c>
      <c r="K110">
        <v>6</v>
      </c>
      <c r="L110" t="s">
        <v>355</v>
      </c>
      <c r="M110" s="1" t="str">
        <f>TEXT(DATE(tbl_data[[#This Row],[Model_Year]],1,1),"yyyy")</f>
        <v>2006</v>
      </c>
      <c r="N110" s="1" t="str">
        <f>IF(tbl_data[[#This Row],[Kilometers_Driven]]&lt;50000,"&lt;50k",
IF(tbl_data[[#This Row],[Kilometers_Driven]]&lt;100000,"50k-100k",
IF(tbl_data[[#This Row],[Kilometers_Driven]]&lt;150000,"100k-150k","150k+")))</f>
        <v>&lt;50k</v>
      </c>
      <c r="O110" s="1" t="str">
        <f>IF(tbl_data[[#This Row],[Price_USD]]&gt;=87089,"High",
IF(tbl_data[[#This Row],[Price_USD]]&gt;=56807,"Mid","Low"))</f>
        <v>High</v>
      </c>
      <c r="P110" s="1" t="str">
        <f>IF(tbl_data[[#This Row],[Transmission]]="Automatic","Auto","Manual")</f>
        <v>Auto</v>
      </c>
      <c r="Q110" s="1" t="str">
        <f>IFERROR(IF(VALUE(tbl_data[[#This Row],[Engine_CC]])=0,"",VALUE(tbl_data[[#This Row],[Price_USD]])/VALUE(tbl_data[[#This Row],[Engine_CC]])),"")</f>
        <v/>
      </c>
      <c r="R110" s="1" t="str">
        <f>TRIM(tbl_data[[#This Row],[Brand]])</f>
        <v>Hyundai</v>
      </c>
      <c r="S110" s="1">
        <f>_xlfn.NUMBERVALUE(tbl_data[[#This Row],[Price_USD]],".",",")</f>
        <v>33063.42</v>
      </c>
    </row>
    <row r="111" spans="1:19" x14ac:dyDescent="0.3">
      <c r="A111">
        <v>110</v>
      </c>
      <c r="B111" t="s">
        <v>43</v>
      </c>
      <c r="C111">
        <v>2007</v>
      </c>
      <c r="D111">
        <v>196703</v>
      </c>
      <c r="E111" t="s">
        <v>20</v>
      </c>
      <c r="F111" t="s">
        <v>21</v>
      </c>
      <c r="G111" t="s">
        <v>26</v>
      </c>
      <c r="H111">
        <v>2707</v>
      </c>
      <c r="I111" t="s">
        <v>356</v>
      </c>
      <c r="J111" t="s">
        <v>357</v>
      </c>
      <c r="K111">
        <v>6</v>
      </c>
      <c r="L111" t="s">
        <v>358</v>
      </c>
      <c r="M111" s="1" t="str">
        <f>TEXT(DATE(tbl_data[[#This Row],[Model_Year]],1,1),"yyyy")</f>
        <v>2007</v>
      </c>
      <c r="N111" s="1" t="str">
        <f>IF(tbl_data[[#This Row],[Kilometers_Driven]]&lt;50000,"&lt;50k",
IF(tbl_data[[#This Row],[Kilometers_Driven]]&lt;100000,"50k-100k",
IF(tbl_data[[#This Row],[Kilometers_Driven]]&lt;150000,"100k-150k","150k+")))</f>
        <v>150k+</v>
      </c>
      <c r="O111" s="1" t="str">
        <f>IF(tbl_data[[#This Row],[Price_USD]]&gt;=87089,"High",
IF(tbl_data[[#This Row],[Price_USD]]&gt;=56807,"Mid","Low"))</f>
        <v>High</v>
      </c>
      <c r="P111" s="1" t="str">
        <f>IF(tbl_data[[#This Row],[Transmission]]="Automatic","Auto","Manual")</f>
        <v>Auto</v>
      </c>
      <c r="Q111" s="1" t="str">
        <f>IFERROR(IF(VALUE(tbl_data[[#This Row],[Engine_CC]])=0,"",VALUE(tbl_data[[#This Row],[Price_USD]])/VALUE(tbl_data[[#This Row],[Engine_CC]])),"")</f>
        <v/>
      </c>
      <c r="R111" s="1" t="str">
        <f>TRIM(tbl_data[[#This Row],[Brand]])</f>
        <v>Ford</v>
      </c>
      <c r="S111" s="1">
        <f>_xlfn.NUMBERVALUE(tbl_data[[#This Row],[Price_USD]],".",",")</f>
        <v>5446.41</v>
      </c>
    </row>
    <row r="112" spans="1:19" x14ac:dyDescent="0.3">
      <c r="A112">
        <v>111</v>
      </c>
      <c r="B112" t="s">
        <v>92</v>
      </c>
      <c r="C112">
        <v>2018</v>
      </c>
      <c r="D112">
        <v>50033</v>
      </c>
      <c r="E112" t="s">
        <v>31</v>
      </c>
      <c r="F112" t="s">
        <v>21</v>
      </c>
      <c r="G112" t="s">
        <v>32</v>
      </c>
      <c r="H112">
        <v>1961</v>
      </c>
      <c r="I112" t="s">
        <v>359</v>
      </c>
      <c r="J112" t="s">
        <v>360</v>
      </c>
      <c r="K112">
        <v>7</v>
      </c>
      <c r="L112" t="s">
        <v>361</v>
      </c>
      <c r="M112" s="1" t="str">
        <f>TEXT(DATE(tbl_data[[#This Row],[Model_Year]],1,1),"yyyy")</f>
        <v>2018</v>
      </c>
      <c r="N112" s="1" t="str">
        <f>IF(tbl_data[[#This Row],[Kilometers_Driven]]&lt;50000,"&lt;50k",
IF(tbl_data[[#This Row],[Kilometers_Driven]]&lt;100000,"50k-100k",
IF(tbl_data[[#This Row],[Kilometers_Driven]]&lt;150000,"100k-150k","150k+")))</f>
        <v>50k-100k</v>
      </c>
      <c r="O112" s="1" t="str">
        <f>IF(tbl_data[[#This Row],[Price_USD]]&gt;=87089,"High",
IF(tbl_data[[#This Row],[Price_USD]]&gt;=56807,"Mid","Low"))</f>
        <v>High</v>
      </c>
      <c r="P112" s="1" t="str">
        <f>IF(tbl_data[[#This Row],[Transmission]]="Automatic","Auto","Manual")</f>
        <v>Auto</v>
      </c>
      <c r="Q112" s="1" t="str">
        <f>IFERROR(IF(VALUE(tbl_data[[#This Row],[Engine_CC]])=0,"",VALUE(tbl_data[[#This Row],[Price_USD]])/VALUE(tbl_data[[#This Row],[Engine_CC]])),"")</f>
        <v/>
      </c>
      <c r="R112" s="1" t="str">
        <f>TRIM(tbl_data[[#This Row],[Brand]])</f>
        <v>Toyota</v>
      </c>
      <c r="S112" s="1">
        <f>_xlfn.NUMBERVALUE(tbl_data[[#This Row],[Price_USD]],".",",")</f>
        <v>29101.53</v>
      </c>
    </row>
    <row r="113" spans="1:19" x14ac:dyDescent="0.3">
      <c r="A113">
        <v>112</v>
      </c>
      <c r="B113" t="s">
        <v>43</v>
      </c>
      <c r="C113">
        <v>2018</v>
      </c>
      <c r="D113">
        <v>68133</v>
      </c>
      <c r="E113" t="s">
        <v>44</v>
      </c>
      <c r="F113" t="s">
        <v>21</v>
      </c>
      <c r="G113" t="s">
        <v>15</v>
      </c>
      <c r="H113">
        <v>929</v>
      </c>
      <c r="I113" t="s">
        <v>362</v>
      </c>
      <c r="J113" t="s">
        <v>363</v>
      </c>
      <c r="K113">
        <v>5</v>
      </c>
      <c r="L113" t="s">
        <v>364</v>
      </c>
      <c r="M113" s="1" t="str">
        <f>TEXT(DATE(tbl_data[[#This Row],[Model_Year]],1,1),"yyyy")</f>
        <v>2018</v>
      </c>
      <c r="N113" s="1" t="str">
        <f>IF(tbl_data[[#This Row],[Kilometers_Driven]]&lt;50000,"&lt;50k",
IF(tbl_data[[#This Row],[Kilometers_Driven]]&lt;100000,"50k-100k",
IF(tbl_data[[#This Row],[Kilometers_Driven]]&lt;150000,"100k-150k","150k+")))</f>
        <v>50k-100k</v>
      </c>
      <c r="O113" s="1" t="str">
        <f>IF(tbl_data[[#This Row],[Price_USD]]&gt;=87089,"High",
IF(tbl_data[[#This Row],[Price_USD]]&gt;=56807,"Mid","Low"))</f>
        <v>High</v>
      </c>
      <c r="P113" s="1" t="str">
        <f>IF(tbl_data[[#This Row],[Transmission]]="Automatic","Auto","Manual")</f>
        <v>Auto</v>
      </c>
      <c r="Q113" s="1" t="str">
        <f>IFERROR(IF(VALUE(tbl_data[[#This Row],[Engine_CC]])=0,"",VALUE(tbl_data[[#This Row],[Price_USD]])/VALUE(tbl_data[[#This Row],[Engine_CC]])),"")</f>
        <v/>
      </c>
      <c r="R113" s="1" t="str">
        <f>TRIM(tbl_data[[#This Row],[Brand]])</f>
        <v>Ford</v>
      </c>
      <c r="S113" s="1">
        <f>_xlfn.NUMBERVALUE(tbl_data[[#This Row],[Price_USD]],".",",")</f>
        <v>9612.34</v>
      </c>
    </row>
    <row r="114" spans="1:19" x14ac:dyDescent="0.3">
      <c r="A114">
        <v>113</v>
      </c>
      <c r="B114" t="s">
        <v>30</v>
      </c>
      <c r="C114">
        <v>2015</v>
      </c>
      <c r="D114">
        <v>78861</v>
      </c>
      <c r="E114" t="s">
        <v>44</v>
      </c>
      <c r="F114" t="s">
        <v>21</v>
      </c>
      <c r="G114" t="s">
        <v>26</v>
      </c>
      <c r="H114">
        <v>3163</v>
      </c>
      <c r="I114" t="s">
        <v>365</v>
      </c>
      <c r="J114" t="s">
        <v>366</v>
      </c>
      <c r="K114">
        <v>2</v>
      </c>
      <c r="L114" t="s">
        <v>367</v>
      </c>
      <c r="M114" s="1" t="str">
        <f>TEXT(DATE(tbl_data[[#This Row],[Model_Year]],1,1),"yyyy")</f>
        <v>2015</v>
      </c>
      <c r="N114" s="1" t="str">
        <f>IF(tbl_data[[#This Row],[Kilometers_Driven]]&lt;50000,"&lt;50k",
IF(tbl_data[[#This Row],[Kilometers_Driven]]&lt;100000,"50k-100k",
IF(tbl_data[[#This Row],[Kilometers_Driven]]&lt;150000,"100k-150k","150k+")))</f>
        <v>50k-100k</v>
      </c>
      <c r="O114" s="1" t="str">
        <f>IF(tbl_data[[#This Row],[Price_USD]]&gt;=87089,"High",
IF(tbl_data[[#This Row],[Price_USD]]&gt;=56807,"Mid","Low"))</f>
        <v>High</v>
      </c>
      <c r="P114" s="1" t="str">
        <f>IF(tbl_data[[#This Row],[Transmission]]="Automatic","Auto","Manual")</f>
        <v>Auto</v>
      </c>
      <c r="Q114" s="1" t="str">
        <f>IFERROR(IF(VALUE(tbl_data[[#This Row],[Engine_CC]])=0,"",VALUE(tbl_data[[#This Row],[Price_USD]])/VALUE(tbl_data[[#This Row],[Engine_CC]])),"")</f>
        <v/>
      </c>
      <c r="R114" s="1" t="str">
        <f>TRIM(tbl_data[[#This Row],[Brand]])</f>
        <v>Mercedes</v>
      </c>
      <c r="S114" s="1">
        <f>_xlfn.NUMBERVALUE(tbl_data[[#This Row],[Price_USD]],".",",")</f>
        <v>15097.21</v>
      </c>
    </row>
    <row r="115" spans="1:19" x14ac:dyDescent="0.3">
      <c r="A115">
        <v>114</v>
      </c>
      <c r="B115" t="s">
        <v>43</v>
      </c>
      <c r="C115">
        <v>2020</v>
      </c>
      <c r="D115">
        <v>188362</v>
      </c>
      <c r="E115" t="s">
        <v>44</v>
      </c>
      <c r="F115" t="s">
        <v>14</v>
      </c>
      <c r="G115" t="s">
        <v>15</v>
      </c>
      <c r="H115">
        <v>943</v>
      </c>
      <c r="I115" t="s">
        <v>368</v>
      </c>
      <c r="J115" t="s">
        <v>369</v>
      </c>
      <c r="K115">
        <v>4</v>
      </c>
      <c r="L115" t="s">
        <v>370</v>
      </c>
      <c r="M115" s="1" t="str">
        <f>TEXT(DATE(tbl_data[[#This Row],[Model_Year]],1,1),"yyyy")</f>
        <v>2020</v>
      </c>
      <c r="N115" s="1" t="str">
        <f>IF(tbl_data[[#This Row],[Kilometers_Driven]]&lt;50000,"&lt;50k",
IF(tbl_data[[#This Row],[Kilometers_Driven]]&lt;100000,"50k-100k",
IF(tbl_data[[#This Row],[Kilometers_Driven]]&lt;150000,"100k-150k","150k+")))</f>
        <v>150k+</v>
      </c>
      <c r="O115" s="1" t="str">
        <f>IF(tbl_data[[#This Row],[Price_USD]]&gt;=87089,"High",
IF(tbl_data[[#This Row],[Price_USD]]&gt;=56807,"Mid","Low"))</f>
        <v>High</v>
      </c>
      <c r="P115" s="1" t="str">
        <f>IF(tbl_data[[#This Row],[Transmission]]="Automatic","Auto","Manual")</f>
        <v>Manual</v>
      </c>
      <c r="Q115" s="1" t="str">
        <f>IFERROR(IF(VALUE(tbl_data[[#This Row],[Engine_CC]])=0,"",VALUE(tbl_data[[#This Row],[Price_USD]])/VALUE(tbl_data[[#This Row],[Engine_CC]])),"")</f>
        <v/>
      </c>
      <c r="R115" s="1" t="str">
        <f>TRIM(tbl_data[[#This Row],[Brand]])</f>
        <v>Ford</v>
      </c>
      <c r="S115" s="1">
        <f>_xlfn.NUMBERVALUE(tbl_data[[#This Row],[Price_USD]],".",",")</f>
        <v>53486.45</v>
      </c>
    </row>
    <row r="116" spans="1:19" x14ac:dyDescent="0.3">
      <c r="A116">
        <v>115</v>
      </c>
      <c r="B116" t="s">
        <v>92</v>
      </c>
      <c r="C116">
        <v>2008</v>
      </c>
      <c r="D116">
        <v>36750</v>
      </c>
      <c r="E116" t="s">
        <v>44</v>
      </c>
      <c r="F116" t="s">
        <v>21</v>
      </c>
      <c r="G116" t="s">
        <v>26</v>
      </c>
      <c r="H116">
        <v>815</v>
      </c>
      <c r="I116" t="s">
        <v>371</v>
      </c>
      <c r="J116" t="s">
        <v>372</v>
      </c>
      <c r="K116">
        <v>2</v>
      </c>
      <c r="L116" t="s">
        <v>373</v>
      </c>
      <c r="M116" s="1" t="str">
        <f>TEXT(DATE(tbl_data[[#This Row],[Model_Year]],1,1),"yyyy")</f>
        <v>2008</v>
      </c>
      <c r="N116" s="1" t="str">
        <f>IF(tbl_data[[#This Row],[Kilometers_Driven]]&lt;50000,"&lt;50k",
IF(tbl_data[[#This Row],[Kilometers_Driven]]&lt;100000,"50k-100k",
IF(tbl_data[[#This Row],[Kilometers_Driven]]&lt;150000,"100k-150k","150k+")))</f>
        <v>&lt;50k</v>
      </c>
      <c r="O116" s="1" t="str">
        <f>IF(tbl_data[[#This Row],[Price_USD]]&gt;=87089,"High",
IF(tbl_data[[#This Row],[Price_USD]]&gt;=56807,"Mid","Low"))</f>
        <v>High</v>
      </c>
      <c r="P116" s="1" t="str">
        <f>IF(tbl_data[[#This Row],[Transmission]]="Automatic","Auto","Manual")</f>
        <v>Auto</v>
      </c>
      <c r="Q116" s="1" t="str">
        <f>IFERROR(IF(VALUE(tbl_data[[#This Row],[Engine_CC]])=0,"",VALUE(tbl_data[[#This Row],[Price_USD]])/VALUE(tbl_data[[#This Row],[Engine_CC]])),"")</f>
        <v/>
      </c>
      <c r="R116" s="1" t="str">
        <f>TRIM(tbl_data[[#This Row],[Brand]])</f>
        <v>Toyota</v>
      </c>
      <c r="S116" s="1">
        <f>_xlfn.NUMBERVALUE(tbl_data[[#This Row],[Price_USD]],".",",")</f>
        <v>29900.45</v>
      </c>
    </row>
    <row r="117" spans="1:19" x14ac:dyDescent="0.3">
      <c r="A117">
        <v>116</v>
      </c>
      <c r="B117" t="s">
        <v>30</v>
      </c>
      <c r="C117">
        <v>2024</v>
      </c>
      <c r="D117">
        <v>45461</v>
      </c>
      <c r="E117" t="s">
        <v>31</v>
      </c>
      <c r="F117" t="s">
        <v>14</v>
      </c>
      <c r="G117" t="s">
        <v>15</v>
      </c>
      <c r="H117">
        <v>1044</v>
      </c>
      <c r="I117" t="s">
        <v>374</v>
      </c>
      <c r="J117" t="s">
        <v>375</v>
      </c>
      <c r="K117">
        <v>4</v>
      </c>
      <c r="L117" t="s">
        <v>376</v>
      </c>
      <c r="M117" s="1" t="str">
        <f>TEXT(DATE(tbl_data[[#This Row],[Model_Year]],1,1),"yyyy")</f>
        <v>2024</v>
      </c>
      <c r="N117" s="1" t="str">
        <f>IF(tbl_data[[#This Row],[Kilometers_Driven]]&lt;50000,"&lt;50k",
IF(tbl_data[[#This Row],[Kilometers_Driven]]&lt;100000,"50k-100k",
IF(tbl_data[[#This Row],[Kilometers_Driven]]&lt;150000,"100k-150k","150k+")))</f>
        <v>&lt;50k</v>
      </c>
      <c r="O117" s="1" t="str">
        <f>IF(tbl_data[[#This Row],[Price_USD]]&gt;=87089,"High",
IF(tbl_data[[#This Row],[Price_USD]]&gt;=56807,"Mid","Low"))</f>
        <v>High</v>
      </c>
      <c r="P117" s="1" t="str">
        <f>IF(tbl_data[[#This Row],[Transmission]]="Automatic","Auto","Manual")</f>
        <v>Manual</v>
      </c>
      <c r="Q117" s="1" t="str">
        <f>IFERROR(IF(VALUE(tbl_data[[#This Row],[Engine_CC]])=0,"",VALUE(tbl_data[[#This Row],[Price_USD]])/VALUE(tbl_data[[#This Row],[Engine_CC]])),"")</f>
        <v/>
      </c>
      <c r="R117" s="1" t="str">
        <f>TRIM(tbl_data[[#This Row],[Brand]])</f>
        <v>Mercedes</v>
      </c>
      <c r="S117" s="1">
        <f>_xlfn.NUMBERVALUE(tbl_data[[#This Row],[Price_USD]],".",",")</f>
        <v>63365.67</v>
      </c>
    </row>
    <row r="118" spans="1:19" x14ac:dyDescent="0.3">
      <c r="A118">
        <v>117</v>
      </c>
      <c r="B118" t="s">
        <v>39</v>
      </c>
      <c r="C118">
        <v>2009</v>
      </c>
      <c r="D118">
        <v>83222</v>
      </c>
      <c r="E118" t="s">
        <v>44</v>
      </c>
      <c r="F118" t="s">
        <v>14</v>
      </c>
      <c r="G118" t="s">
        <v>26</v>
      </c>
      <c r="H118">
        <v>1726</v>
      </c>
      <c r="I118" t="s">
        <v>377</v>
      </c>
      <c r="J118" t="s">
        <v>378</v>
      </c>
      <c r="K118">
        <v>4</v>
      </c>
      <c r="L118" t="s">
        <v>379</v>
      </c>
      <c r="M118" s="1" t="str">
        <f>TEXT(DATE(tbl_data[[#This Row],[Model_Year]],1,1),"yyyy")</f>
        <v>2009</v>
      </c>
      <c r="N118" s="1" t="str">
        <f>IF(tbl_data[[#This Row],[Kilometers_Driven]]&lt;50000,"&lt;50k",
IF(tbl_data[[#This Row],[Kilometers_Driven]]&lt;100000,"50k-100k",
IF(tbl_data[[#This Row],[Kilometers_Driven]]&lt;150000,"100k-150k","150k+")))</f>
        <v>50k-100k</v>
      </c>
      <c r="O118" s="1" t="str">
        <f>IF(tbl_data[[#This Row],[Price_USD]]&gt;=87089,"High",
IF(tbl_data[[#This Row],[Price_USD]]&gt;=56807,"Mid","Low"))</f>
        <v>High</v>
      </c>
      <c r="P118" s="1" t="str">
        <f>IF(tbl_data[[#This Row],[Transmission]]="Automatic","Auto","Manual")</f>
        <v>Manual</v>
      </c>
      <c r="Q118" s="1" t="str">
        <f>IFERROR(IF(VALUE(tbl_data[[#This Row],[Engine_CC]])=0,"",VALUE(tbl_data[[#This Row],[Price_USD]])/VALUE(tbl_data[[#This Row],[Engine_CC]])),"")</f>
        <v/>
      </c>
      <c r="R118" s="1" t="str">
        <f>TRIM(tbl_data[[#This Row],[Brand]])</f>
        <v>Volkswagen</v>
      </c>
      <c r="S118" s="1">
        <f>_xlfn.NUMBERVALUE(tbl_data[[#This Row],[Price_USD]],".",",")</f>
        <v>32658.77</v>
      </c>
    </row>
    <row r="119" spans="1:19" x14ac:dyDescent="0.3">
      <c r="A119">
        <v>118</v>
      </c>
      <c r="B119" t="s">
        <v>12</v>
      </c>
      <c r="C119">
        <v>2018</v>
      </c>
      <c r="D119">
        <v>117020</v>
      </c>
      <c r="E119" t="s">
        <v>31</v>
      </c>
      <c r="F119" t="s">
        <v>14</v>
      </c>
      <c r="G119" t="s">
        <v>26</v>
      </c>
      <c r="H119">
        <v>3978</v>
      </c>
      <c r="I119" t="s">
        <v>380</v>
      </c>
      <c r="J119" t="s">
        <v>381</v>
      </c>
      <c r="K119">
        <v>5</v>
      </c>
      <c r="L119" t="s">
        <v>382</v>
      </c>
      <c r="M119" s="1" t="str">
        <f>TEXT(DATE(tbl_data[[#This Row],[Model_Year]],1,1),"yyyy")</f>
        <v>2018</v>
      </c>
      <c r="N119" s="1" t="str">
        <f>IF(tbl_data[[#This Row],[Kilometers_Driven]]&lt;50000,"&lt;50k",
IF(tbl_data[[#This Row],[Kilometers_Driven]]&lt;100000,"50k-100k",
IF(tbl_data[[#This Row],[Kilometers_Driven]]&lt;150000,"100k-150k","150k+")))</f>
        <v>100k-150k</v>
      </c>
      <c r="O119" s="1" t="str">
        <f>IF(tbl_data[[#This Row],[Price_USD]]&gt;=87089,"High",
IF(tbl_data[[#This Row],[Price_USD]]&gt;=56807,"Mid","Low"))</f>
        <v>High</v>
      </c>
      <c r="P119" s="1" t="str">
        <f>IF(tbl_data[[#This Row],[Transmission]]="Automatic","Auto","Manual")</f>
        <v>Manual</v>
      </c>
      <c r="Q119" s="1" t="str">
        <f>IFERROR(IF(VALUE(tbl_data[[#This Row],[Engine_CC]])=0,"",VALUE(tbl_data[[#This Row],[Price_USD]])/VALUE(tbl_data[[#This Row],[Engine_CC]])),"")</f>
        <v/>
      </c>
      <c r="R119" s="1" t="str">
        <f>TRIM(tbl_data[[#This Row],[Brand]])</f>
        <v>Audi</v>
      </c>
      <c r="S119" s="1">
        <f>_xlfn.NUMBERVALUE(tbl_data[[#This Row],[Price_USD]],".",",")</f>
        <v>113042.86</v>
      </c>
    </row>
    <row r="120" spans="1:19" x14ac:dyDescent="0.3">
      <c r="A120">
        <v>119</v>
      </c>
      <c r="B120" t="s">
        <v>12</v>
      </c>
      <c r="C120">
        <v>2020</v>
      </c>
      <c r="D120">
        <v>29226</v>
      </c>
      <c r="E120" t="s">
        <v>20</v>
      </c>
      <c r="F120" t="s">
        <v>14</v>
      </c>
      <c r="G120" t="s">
        <v>15</v>
      </c>
      <c r="H120">
        <v>2976</v>
      </c>
      <c r="I120" t="s">
        <v>383</v>
      </c>
      <c r="J120" t="s">
        <v>384</v>
      </c>
      <c r="K120">
        <v>7</v>
      </c>
      <c r="L120" t="s">
        <v>385</v>
      </c>
      <c r="M120" s="1" t="str">
        <f>TEXT(DATE(tbl_data[[#This Row],[Model_Year]],1,1),"yyyy")</f>
        <v>2020</v>
      </c>
      <c r="N120" s="1" t="str">
        <f>IF(tbl_data[[#This Row],[Kilometers_Driven]]&lt;50000,"&lt;50k",
IF(tbl_data[[#This Row],[Kilometers_Driven]]&lt;100000,"50k-100k",
IF(tbl_data[[#This Row],[Kilometers_Driven]]&lt;150000,"100k-150k","150k+")))</f>
        <v>&lt;50k</v>
      </c>
      <c r="O120" s="1" t="str">
        <f>IF(tbl_data[[#This Row],[Price_USD]]&gt;=87089,"High",
IF(tbl_data[[#This Row],[Price_USD]]&gt;=56807,"Mid","Low"))</f>
        <v>High</v>
      </c>
      <c r="P120" s="1" t="str">
        <f>IF(tbl_data[[#This Row],[Transmission]]="Automatic","Auto","Manual")</f>
        <v>Manual</v>
      </c>
      <c r="Q120" s="1" t="str">
        <f>IFERROR(IF(VALUE(tbl_data[[#This Row],[Engine_CC]])=0,"",VALUE(tbl_data[[#This Row],[Price_USD]])/VALUE(tbl_data[[#This Row],[Engine_CC]])),"")</f>
        <v/>
      </c>
      <c r="R120" s="1" t="str">
        <f>TRIM(tbl_data[[#This Row],[Brand]])</f>
        <v>Audi</v>
      </c>
      <c r="S120" s="1">
        <f>_xlfn.NUMBERVALUE(tbl_data[[#This Row],[Price_USD]],".",",")</f>
        <v>108995.44</v>
      </c>
    </row>
    <row r="121" spans="1:19" x14ac:dyDescent="0.3">
      <c r="A121">
        <v>120</v>
      </c>
      <c r="B121" t="s">
        <v>102</v>
      </c>
      <c r="C121">
        <v>2022</v>
      </c>
      <c r="D121">
        <v>11721</v>
      </c>
      <c r="E121" t="s">
        <v>44</v>
      </c>
      <c r="F121" t="s">
        <v>14</v>
      </c>
      <c r="G121" t="s">
        <v>26</v>
      </c>
      <c r="H121">
        <v>1686</v>
      </c>
      <c r="I121" t="s">
        <v>386</v>
      </c>
      <c r="J121" t="s">
        <v>387</v>
      </c>
      <c r="K121">
        <v>2</v>
      </c>
      <c r="L121" t="s">
        <v>388</v>
      </c>
      <c r="M121" s="1" t="str">
        <f>TEXT(DATE(tbl_data[[#This Row],[Model_Year]],1,1),"yyyy")</f>
        <v>2022</v>
      </c>
      <c r="N121" s="1" t="str">
        <f>IF(tbl_data[[#This Row],[Kilometers_Driven]]&lt;50000,"&lt;50k",
IF(tbl_data[[#This Row],[Kilometers_Driven]]&lt;100000,"50k-100k",
IF(tbl_data[[#This Row],[Kilometers_Driven]]&lt;150000,"100k-150k","150k+")))</f>
        <v>&lt;50k</v>
      </c>
      <c r="O121" s="1" t="str">
        <f>IF(tbl_data[[#This Row],[Price_USD]]&gt;=87089,"High",
IF(tbl_data[[#This Row],[Price_USD]]&gt;=56807,"Mid","Low"))</f>
        <v>High</v>
      </c>
      <c r="P121" s="1" t="str">
        <f>IF(tbl_data[[#This Row],[Transmission]]="Automatic","Auto","Manual")</f>
        <v>Manual</v>
      </c>
      <c r="Q121" s="1" t="str">
        <f>IFERROR(IF(VALUE(tbl_data[[#This Row],[Engine_CC]])=0,"",VALUE(tbl_data[[#This Row],[Price_USD]])/VALUE(tbl_data[[#This Row],[Engine_CC]])),"")</f>
        <v/>
      </c>
      <c r="R121" s="1" t="str">
        <f>TRIM(tbl_data[[#This Row],[Brand]])</f>
        <v>Nissan</v>
      </c>
      <c r="S121" s="1">
        <f>_xlfn.NUMBERVALUE(tbl_data[[#This Row],[Price_USD]],".",",")</f>
        <v>69316.31</v>
      </c>
    </row>
    <row r="122" spans="1:19" x14ac:dyDescent="0.3">
      <c r="A122">
        <v>121</v>
      </c>
      <c r="B122" t="s">
        <v>39</v>
      </c>
      <c r="C122">
        <v>2011</v>
      </c>
      <c r="D122">
        <v>192226</v>
      </c>
      <c r="E122" t="s">
        <v>13</v>
      </c>
      <c r="F122" t="s">
        <v>21</v>
      </c>
      <c r="G122" t="s">
        <v>32</v>
      </c>
      <c r="H122">
        <v>1140</v>
      </c>
      <c r="I122" t="s">
        <v>389</v>
      </c>
      <c r="J122" t="s">
        <v>390</v>
      </c>
      <c r="K122">
        <v>7</v>
      </c>
      <c r="L122" t="s">
        <v>391</v>
      </c>
      <c r="M122" s="1" t="str">
        <f>TEXT(DATE(tbl_data[[#This Row],[Model_Year]],1,1),"yyyy")</f>
        <v>2011</v>
      </c>
      <c r="N122" s="1" t="str">
        <f>IF(tbl_data[[#This Row],[Kilometers_Driven]]&lt;50000,"&lt;50k",
IF(tbl_data[[#This Row],[Kilometers_Driven]]&lt;100000,"50k-100k",
IF(tbl_data[[#This Row],[Kilometers_Driven]]&lt;150000,"100k-150k","150k+")))</f>
        <v>150k+</v>
      </c>
      <c r="O122" s="1" t="str">
        <f>IF(tbl_data[[#This Row],[Price_USD]]&gt;=87089,"High",
IF(tbl_data[[#This Row],[Price_USD]]&gt;=56807,"Mid","Low"))</f>
        <v>High</v>
      </c>
      <c r="P122" s="1" t="str">
        <f>IF(tbl_data[[#This Row],[Transmission]]="Automatic","Auto","Manual")</f>
        <v>Auto</v>
      </c>
      <c r="Q122" s="1" t="str">
        <f>IFERROR(IF(VALUE(tbl_data[[#This Row],[Engine_CC]])=0,"",VALUE(tbl_data[[#This Row],[Price_USD]])/VALUE(tbl_data[[#This Row],[Engine_CC]])),"")</f>
        <v/>
      </c>
      <c r="R122" s="1" t="str">
        <f>TRIM(tbl_data[[#This Row],[Brand]])</f>
        <v>Volkswagen</v>
      </c>
      <c r="S122" s="1">
        <f>_xlfn.NUMBERVALUE(tbl_data[[#This Row],[Price_USD]],".",",")</f>
        <v>44467.61</v>
      </c>
    </row>
    <row r="123" spans="1:19" x14ac:dyDescent="0.3">
      <c r="A123">
        <v>122</v>
      </c>
      <c r="B123" t="s">
        <v>39</v>
      </c>
      <c r="C123">
        <v>2014</v>
      </c>
      <c r="D123">
        <v>25609</v>
      </c>
      <c r="E123" t="s">
        <v>44</v>
      </c>
      <c r="F123" t="s">
        <v>21</v>
      </c>
      <c r="G123" t="s">
        <v>15</v>
      </c>
      <c r="H123">
        <v>2851</v>
      </c>
      <c r="I123" t="s">
        <v>392</v>
      </c>
      <c r="J123" t="s">
        <v>393</v>
      </c>
      <c r="K123">
        <v>6</v>
      </c>
      <c r="L123" t="s">
        <v>394</v>
      </c>
      <c r="M123" s="1" t="str">
        <f>TEXT(DATE(tbl_data[[#This Row],[Model_Year]],1,1),"yyyy")</f>
        <v>2014</v>
      </c>
      <c r="N123" s="1" t="str">
        <f>IF(tbl_data[[#This Row],[Kilometers_Driven]]&lt;50000,"&lt;50k",
IF(tbl_data[[#This Row],[Kilometers_Driven]]&lt;100000,"50k-100k",
IF(tbl_data[[#This Row],[Kilometers_Driven]]&lt;150000,"100k-150k","150k+")))</f>
        <v>&lt;50k</v>
      </c>
      <c r="O123" s="1" t="str">
        <f>IF(tbl_data[[#This Row],[Price_USD]]&gt;=87089,"High",
IF(tbl_data[[#This Row],[Price_USD]]&gt;=56807,"Mid","Low"))</f>
        <v>High</v>
      </c>
      <c r="P123" s="1" t="str">
        <f>IF(tbl_data[[#This Row],[Transmission]]="Automatic","Auto","Manual")</f>
        <v>Auto</v>
      </c>
      <c r="Q123" s="1" t="str">
        <f>IFERROR(IF(VALUE(tbl_data[[#This Row],[Engine_CC]])=0,"",VALUE(tbl_data[[#This Row],[Price_USD]])/VALUE(tbl_data[[#This Row],[Engine_CC]])),"")</f>
        <v/>
      </c>
      <c r="R123" s="1" t="str">
        <f>TRIM(tbl_data[[#This Row],[Brand]])</f>
        <v>Volkswagen</v>
      </c>
      <c r="S123" s="1">
        <f>_xlfn.NUMBERVALUE(tbl_data[[#This Row],[Price_USD]],".",",")</f>
        <v>47594.19</v>
      </c>
    </row>
    <row r="124" spans="1:19" x14ac:dyDescent="0.3">
      <c r="A124">
        <v>123</v>
      </c>
      <c r="B124" t="s">
        <v>43</v>
      </c>
      <c r="C124">
        <v>2011</v>
      </c>
      <c r="D124">
        <v>188202</v>
      </c>
      <c r="E124" t="s">
        <v>44</v>
      </c>
      <c r="F124" t="s">
        <v>21</v>
      </c>
      <c r="G124" t="s">
        <v>32</v>
      </c>
      <c r="H124">
        <v>4198</v>
      </c>
      <c r="I124" t="s">
        <v>395</v>
      </c>
      <c r="J124" t="s">
        <v>396</v>
      </c>
      <c r="K124">
        <v>5</v>
      </c>
      <c r="L124" t="s">
        <v>397</v>
      </c>
      <c r="M124" s="1" t="str">
        <f>TEXT(DATE(tbl_data[[#This Row],[Model_Year]],1,1),"yyyy")</f>
        <v>2011</v>
      </c>
      <c r="N124" s="1" t="str">
        <f>IF(tbl_data[[#This Row],[Kilometers_Driven]]&lt;50000,"&lt;50k",
IF(tbl_data[[#This Row],[Kilometers_Driven]]&lt;100000,"50k-100k",
IF(tbl_data[[#This Row],[Kilometers_Driven]]&lt;150000,"100k-150k","150k+")))</f>
        <v>150k+</v>
      </c>
      <c r="O124" s="1" t="str">
        <f>IF(tbl_data[[#This Row],[Price_USD]]&gt;=87089,"High",
IF(tbl_data[[#This Row],[Price_USD]]&gt;=56807,"Mid","Low"))</f>
        <v>High</v>
      </c>
      <c r="P124" s="1" t="str">
        <f>IF(tbl_data[[#This Row],[Transmission]]="Automatic","Auto","Manual")</f>
        <v>Auto</v>
      </c>
      <c r="Q124" s="1" t="str">
        <f>IFERROR(IF(VALUE(tbl_data[[#This Row],[Engine_CC]])=0,"",VALUE(tbl_data[[#This Row],[Price_USD]])/VALUE(tbl_data[[#This Row],[Engine_CC]])),"")</f>
        <v/>
      </c>
      <c r="R124" s="1" t="str">
        <f>TRIM(tbl_data[[#This Row],[Brand]])</f>
        <v>Ford</v>
      </c>
      <c r="S124" s="1">
        <f>_xlfn.NUMBERVALUE(tbl_data[[#This Row],[Price_USD]],".",",")</f>
        <v>51186.720000000001</v>
      </c>
    </row>
    <row r="125" spans="1:19" x14ac:dyDescent="0.3">
      <c r="A125">
        <v>124</v>
      </c>
      <c r="B125" t="s">
        <v>12</v>
      </c>
      <c r="C125">
        <v>2005</v>
      </c>
      <c r="D125">
        <v>135513</v>
      </c>
      <c r="E125" t="s">
        <v>31</v>
      </c>
      <c r="F125" t="s">
        <v>21</v>
      </c>
      <c r="G125" t="s">
        <v>15</v>
      </c>
      <c r="H125">
        <v>4750</v>
      </c>
      <c r="I125" t="s">
        <v>398</v>
      </c>
      <c r="J125" t="s">
        <v>399</v>
      </c>
      <c r="K125">
        <v>5</v>
      </c>
      <c r="L125" t="s">
        <v>400</v>
      </c>
      <c r="M125" s="1" t="str">
        <f>TEXT(DATE(tbl_data[[#This Row],[Model_Year]],1,1),"yyyy")</f>
        <v>2005</v>
      </c>
      <c r="N125" s="1" t="str">
        <f>IF(tbl_data[[#This Row],[Kilometers_Driven]]&lt;50000,"&lt;50k",
IF(tbl_data[[#This Row],[Kilometers_Driven]]&lt;100000,"50k-100k",
IF(tbl_data[[#This Row],[Kilometers_Driven]]&lt;150000,"100k-150k","150k+")))</f>
        <v>100k-150k</v>
      </c>
      <c r="O125" s="1" t="str">
        <f>IF(tbl_data[[#This Row],[Price_USD]]&gt;=87089,"High",
IF(tbl_data[[#This Row],[Price_USD]]&gt;=56807,"Mid","Low"))</f>
        <v>High</v>
      </c>
      <c r="P125" s="1" t="str">
        <f>IF(tbl_data[[#This Row],[Transmission]]="Automatic","Auto","Manual")</f>
        <v>Auto</v>
      </c>
      <c r="Q125" s="1" t="str">
        <f>IFERROR(IF(VALUE(tbl_data[[#This Row],[Engine_CC]])=0,"",VALUE(tbl_data[[#This Row],[Price_USD]])/VALUE(tbl_data[[#This Row],[Engine_CC]])),"")</f>
        <v/>
      </c>
      <c r="R125" s="1" t="str">
        <f>TRIM(tbl_data[[#This Row],[Brand]])</f>
        <v>Audi</v>
      </c>
      <c r="S125" s="1">
        <f>_xlfn.NUMBERVALUE(tbl_data[[#This Row],[Price_USD]],".",",")</f>
        <v>88126.78</v>
      </c>
    </row>
    <row r="126" spans="1:19" x14ac:dyDescent="0.3">
      <c r="A126">
        <v>125</v>
      </c>
      <c r="B126" t="s">
        <v>92</v>
      </c>
      <c r="C126">
        <v>2023</v>
      </c>
      <c r="D126">
        <v>109211</v>
      </c>
      <c r="E126" t="s">
        <v>44</v>
      </c>
      <c r="F126" t="s">
        <v>14</v>
      </c>
      <c r="G126" t="s">
        <v>26</v>
      </c>
      <c r="H126">
        <v>1105</v>
      </c>
      <c r="I126" t="s">
        <v>96</v>
      </c>
      <c r="J126" t="s">
        <v>401</v>
      </c>
      <c r="K126">
        <v>6</v>
      </c>
      <c r="L126" t="s">
        <v>402</v>
      </c>
      <c r="M126" s="1" t="str">
        <f>TEXT(DATE(tbl_data[[#This Row],[Model_Year]],1,1),"yyyy")</f>
        <v>2023</v>
      </c>
      <c r="N126" s="1" t="str">
        <f>IF(tbl_data[[#This Row],[Kilometers_Driven]]&lt;50000,"&lt;50k",
IF(tbl_data[[#This Row],[Kilometers_Driven]]&lt;100000,"50k-100k",
IF(tbl_data[[#This Row],[Kilometers_Driven]]&lt;150000,"100k-150k","150k+")))</f>
        <v>100k-150k</v>
      </c>
      <c r="O126" s="1" t="str">
        <f>IF(tbl_data[[#This Row],[Price_USD]]&gt;=87089,"High",
IF(tbl_data[[#This Row],[Price_USD]]&gt;=56807,"Mid","Low"))</f>
        <v>High</v>
      </c>
      <c r="P126" s="1" t="str">
        <f>IF(tbl_data[[#This Row],[Transmission]]="Automatic","Auto","Manual")</f>
        <v>Manual</v>
      </c>
      <c r="Q126" s="1" t="str">
        <f>IFERROR(IF(VALUE(tbl_data[[#This Row],[Engine_CC]])=0,"",VALUE(tbl_data[[#This Row],[Price_USD]])/VALUE(tbl_data[[#This Row],[Engine_CC]])),"")</f>
        <v/>
      </c>
      <c r="R126" s="1" t="str">
        <f>TRIM(tbl_data[[#This Row],[Brand]])</f>
        <v>Toyota</v>
      </c>
      <c r="S126" s="1">
        <f>_xlfn.NUMBERVALUE(tbl_data[[#This Row],[Price_USD]],".",",")</f>
        <v>55841.760000000002</v>
      </c>
    </row>
    <row r="127" spans="1:19" x14ac:dyDescent="0.3">
      <c r="A127">
        <v>126</v>
      </c>
      <c r="B127" t="s">
        <v>19</v>
      </c>
      <c r="C127">
        <v>2020</v>
      </c>
      <c r="D127">
        <v>191321</v>
      </c>
      <c r="E127" t="s">
        <v>13</v>
      </c>
      <c r="F127" t="s">
        <v>21</v>
      </c>
      <c r="G127" t="s">
        <v>26</v>
      </c>
      <c r="H127">
        <v>1707</v>
      </c>
      <c r="I127" t="s">
        <v>403</v>
      </c>
      <c r="J127" t="s">
        <v>404</v>
      </c>
      <c r="K127">
        <v>2</v>
      </c>
      <c r="L127" t="s">
        <v>405</v>
      </c>
      <c r="M127" s="1" t="str">
        <f>TEXT(DATE(tbl_data[[#This Row],[Model_Year]],1,1),"yyyy")</f>
        <v>2020</v>
      </c>
      <c r="N127" s="1" t="str">
        <f>IF(tbl_data[[#This Row],[Kilometers_Driven]]&lt;50000,"&lt;50k",
IF(tbl_data[[#This Row],[Kilometers_Driven]]&lt;100000,"50k-100k",
IF(tbl_data[[#This Row],[Kilometers_Driven]]&lt;150000,"100k-150k","150k+")))</f>
        <v>150k+</v>
      </c>
      <c r="O127" s="1" t="str">
        <f>IF(tbl_data[[#This Row],[Price_USD]]&gt;=87089,"High",
IF(tbl_data[[#This Row],[Price_USD]]&gt;=56807,"Mid","Low"))</f>
        <v>High</v>
      </c>
      <c r="P127" s="1" t="str">
        <f>IF(tbl_data[[#This Row],[Transmission]]="Automatic","Auto","Manual")</f>
        <v>Auto</v>
      </c>
      <c r="Q127" s="1" t="str">
        <f>IFERROR(IF(VALUE(tbl_data[[#This Row],[Engine_CC]])=0,"",VALUE(tbl_data[[#This Row],[Price_USD]])/VALUE(tbl_data[[#This Row],[Engine_CC]])),"")</f>
        <v/>
      </c>
      <c r="R127" s="1" t="str">
        <f>TRIM(tbl_data[[#This Row],[Brand]])</f>
        <v>BMW</v>
      </c>
      <c r="S127" s="1">
        <f>_xlfn.NUMBERVALUE(tbl_data[[#This Row],[Price_USD]],".",",")</f>
        <v>103237.4</v>
      </c>
    </row>
    <row r="128" spans="1:19" x14ac:dyDescent="0.3">
      <c r="A128">
        <v>127</v>
      </c>
      <c r="B128" t="s">
        <v>19</v>
      </c>
      <c r="C128">
        <v>2023</v>
      </c>
      <c r="D128">
        <v>184967</v>
      </c>
      <c r="E128" t="s">
        <v>31</v>
      </c>
      <c r="F128" t="s">
        <v>21</v>
      </c>
      <c r="G128" t="s">
        <v>26</v>
      </c>
      <c r="H128">
        <v>3454</v>
      </c>
      <c r="I128" t="s">
        <v>406</v>
      </c>
      <c r="J128" t="s">
        <v>407</v>
      </c>
      <c r="K128">
        <v>6</v>
      </c>
      <c r="L128" t="s">
        <v>408</v>
      </c>
      <c r="M128" s="1" t="str">
        <f>TEXT(DATE(tbl_data[[#This Row],[Model_Year]],1,1),"yyyy")</f>
        <v>2023</v>
      </c>
      <c r="N128" s="1" t="str">
        <f>IF(tbl_data[[#This Row],[Kilometers_Driven]]&lt;50000,"&lt;50k",
IF(tbl_data[[#This Row],[Kilometers_Driven]]&lt;100000,"50k-100k",
IF(tbl_data[[#This Row],[Kilometers_Driven]]&lt;150000,"100k-150k","150k+")))</f>
        <v>150k+</v>
      </c>
      <c r="O128" s="1" t="str">
        <f>IF(tbl_data[[#This Row],[Price_USD]]&gt;=87089,"High",
IF(tbl_data[[#This Row],[Price_USD]]&gt;=56807,"Mid","Low"))</f>
        <v>High</v>
      </c>
      <c r="P128" s="1" t="str">
        <f>IF(tbl_data[[#This Row],[Transmission]]="Automatic","Auto","Manual")</f>
        <v>Auto</v>
      </c>
      <c r="Q128" s="1" t="str">
        <f>IFERROR(IF(VALUE(tbl_data[[#This Row],[Engine_CC]])=0,"",VALUE(tbl_data[[#This Row],[Price_USD]])/VALUE(tbl_data[[#This Row],[Engine_CC]])),"")</f>
        <v/>
      </c>
      <c r="R128" s="1" t="str">
        <f>TRIM(tbl_data[[#This Row],[Brand]])</f>
        <v>BMW</v>
      </c>
      <c r="S128" s="1">
        <f>_xlfn.NUMBERVALUE(tbl_data[[#This Row],[Price_USD]],".",",")</f>
        <v>113459.09</v>
      </c>
    </row>
    <row r="129" spans="1:19" x14ac:dyDescent="0.3">
      <c r="A129">
        <v>128</v>
      </c>
      <c r="B129" t="s">
        <v>30</v>
      </c>
      <c r="C129">
        <v>2008</v>
      </c>
      <c r="D129">
        <v>141728</v>
      </c>
      <c r="E129" t="s">
        <v>31</v>
      </c>
      <c r="F129" t="s">
        <v>14</v>
      </c>
      <c r="G129" t="s">
        <v>15</v>
      </c>
      <c r="H129">
        <v>4592</v>
      </c>
      <c r="I129" t="s">
        <v>409</v>
      </c>
      <c r="J129" t="s">
        <v>410</v>
      </c>
      <c r="K129">
        <v>2</v>
      </c>
      <c r="L129" t="s">
        <v>411</v>
      </c>
      <c r="M129" s="1" t="str">
        <f>TEXT(DATE(tbl_data[[#This Row],[Model_Year]],1,1),"yyyy")</f>
        <v>2008</v>
      </c>
      <c r="N129" s="1" t="str">
        <f>IF(tbl_data[[#This Row],[Kilometers_Driven]]&lt;50000,"&lt;50k",
IF(tbl_data[[#This Row],[Kilometers_Driven]]&lt;100000,"50k-100k",
IF(tbl_data[[#This Row],[Kilometers_Driven]]&lt;150000,"100k-150k","150k+")))</f>
        <v>100k-150k</v>
      </c>
      <c r="O129" s="1" t="str">
        <f>IF(tbl_data[[#This Row],[Price_USD]]&gt;=87089,"High",
IF(tbl_data[[#This Row],[Price_USD]]&gt;=56807,"Mid","Low"))</f>
        <v>High</v>
      </c>
      <c r="P129" s="1" t="str">
        <f>IF(tbl_data[[#This Row],[Transmission]]="Automatic","Auto","Manual")</f>
        <v>Manual</v>
      </c>
      <c r="Q129" s="1" t="str">
        <f>IFERROR(IF(VALUE(tbl_data[[#This Row],[Engine_CC]])=0,"",VALUE(tbl_data[[#This Row],[Price_USD]])/VALUE(tbl_data[[#This Row],[Engine_CC]])),"")</f>
        <v/>
      </c>
      <c r="R129" s="1" t="str">
        <f>TRIM(tbl_data[[#This Row],[Brand]])</f>
        <v>Mercedes</v>
      </c>
      <c r="S129" s="1">
        <f>_xlfn.NUMBERVALUE(tbl_data[[#This Row],[Price_USD]],".",",")</f>
        <v>42305.7</v>
      </c>
    </row>
    <row r="130" spans="1:19" x14ac:dyDescent="0.3">
      <c r="A130">
        <v>129</v>
      </c>
      <c r="B130" t="s">
        <v>12</v>
      </c>
      <c r="C130">
        <v>2022</v>
      </c>
      <c r="D130">
        <v>129865</v>
      </c>
      <c r="E130" t="s">
        <v>20</v>
      </c>
      <c r="F130" t="s">
        <v>14</v>
      </c>
      <c r="G130" t="s">
        <v>32</v>
      </c>
      <c r="H130">
        <v>4842</v>
      </c>
      <c r="I130" t="s">
        <v>412</v>
      </c>
      <c r="J130" t="s">
        <v>413</v>
      </c>
      <c r="K130">
        <v>4</v>
      </c>
      <c r="L130" t="s">
        <v>414</v>
      </c>
      <c r="M130" s="1" t="str">
        <f>TEXT(DATE(tbl_data[[#This Row],[Model_Year]],1,1),"yyyy")</f>
        <v>2022</v>
      </c>
      <c r="N130" s="1" t="str">
        <f>IF(tbl_data[[#This Row],[Kilometers_Driven]]&lt;50000,"&lt;50k",
IF(tbl_data[[#This Row],[Kilometers_Driven]]&lt;100000,"50k-100k",
IF(tbl_data[[#This Row],[Kilometers_Driven]]&lt;150000,"100k-150k","150k+")))</f>
        <v>100k-150k</v>
      </c>
      <c r="O130" s="1" t="str">
        <f>IF(tbl_data[[#This Row],[Price_USD]]&gt;=87089,"High",
IF(tbl_data[[#This Row],[Price_USD]]&gt;=56807,"Mid","Low"))</f>
        <v>High</v>
      </c>
      <c r="P130" s="1" t="str">
        <f>IF(tbl_data[[#This Row],[Transmission]]="Automatic","Auto","Manual")</f>
        <v>Manual</v>
      </c>
      <c r="Q130" s="1" t="str">
        <f>IFERROR(IF(VALUE(tbl_data[[#This Row],[Engine_CC]])=0,"",VALUE(tbl_data[[#This Row],[Price_USD]])/VALUE(tbl_data[[#This Row],[Engine_CC]])),"")</f>
        <v/>
      </c>
      <c r="R130" s="1" t="str">
        <f>TRIM(tbl_data[[#This Row],[Brand]])</f>
        <v>Audi</v>
      </c>
      <c r="S130" s="1">
        <f>_xlfn.NUMBERVALUE(tbl_data[[#This Row],[Price_USD]],".",",")</f>
        <v>68601.25</v>
      </c>
    </row>
    <row r="131" spans="1:19" x14ac:dyDescent="0.3">
      <c r="A131">
        <v>130</v>
      </c>
      <c r="B131" t="s">
        <v>12</v>
      </c>
      <c r="C131">
        <v>2006</v>
      </c>
      <c r="D131">
        <v>79520</v>
      </c>
      <c r="E131" t="s">
        <v>20</v>
      </c>
      <c r="F131" t="s">
        <v>21</v>
      </c>
      <c r="G131" t="s">
        <v>32</v>
      </c>
      <c r="H131">
        <v>2171</v>
      </c>
      <c r="I131" t="s">
        <v>415</v>
      </c>
      <c r="J131" t="s">
        <v>416</v>
      </c>
      <c r="K131">
        <v>5</v>
      </c>
      <c r="L131" t="s">
        <v>417</v>
      </c>
      <c r="M131" s="1" t="str">
        <f>TEXT(DATE(tbl_data[[#This Row],[Model_Year]],1,1),"yyyy")</f>
        <v>2006</v>
      </c>
      <c r="N131" s="1" t="str">
        <f>IF(tbl_data[[#This Row],[Kilometers_Driven]]&lt;50000,"&lt;50k",
IF(tbl_data[[#This Row],[Kilometers_Driven]]&lt;100000,"50k-100k",
IF(tbl_data[[#This Row],[Kilometers_Driven]]&lt;150000,"100k-150k","150k+")))</f>
        <v>50k-100k</v>
      </c>
      <c r="O131" s="1" t="str">
        <f>IF(tbl_data[[#This Row],[Price_USD]]&gt;=87089,"High",
IF(tbl_data[[#This Row],[Price_USD]]&gt;=56807,"Mid","Low"))</f>
        <v>High</v>
      </c>
      <c r="P131" s="1" t="str">
        <f>IF(tbl_data[[#This Row],[Transmission]]="Automatic","Auto","Manual")</f>
        <v>Auto</v>
      </c>
      <c r="Q131" s="1" t="str">
        <f>IFERROR(IF(VALUE(tbl_data[[#This Row],[Engine_CC]])=0,"",VALUE(tbl_data[[#This Row],[Price_USD]])/VALUE(tbl_data[[#This Row],[Engine_CC]])),"")</f>
        <v/>
      </c>
      <c r="R131" s="1" t="str">
        <f>TRIM(tbl_data[[#This Row],[Brand]])</f>
        <v>Audi</v>
      </c>
      <c r="S131" s="1">
        <f>_xlfn.NUMBERVALUE(tbl_data[[#This Row],[Price_USD]],".",",")</f>
        <v>14121.61</v>
      </c>
    </row>
    <row r="132" spans="1:19" x14ac:dyDescent="0.3">
      <c r="A132">
        <v>131</v>
      </c>
      <c r="B132" t="s">
        <v>19</v>
      </c>
      <c r="C132">
        <v>2005</v>
      </c>
      <c r="D132">
        <v>199812</v>
      </c>
      <c r="E132" t="s">
        <v>44</v>
      </c>
      <c r="F132" t="s">
        <v>21</v>
      </c>
      <c r="G132" t="s">
        <v>15</v>
      </c>
      <c r="H132">
        <v>1120</v>
      </c>
      <c r="I132" t="s">
        <v>418</v>
      </c>
      <c r="J132" t="s">
        <v>419</v>
      </c>
      <c r="K132">
        <v>2</v>
      </c>
      <c r="L132" t="s">
        <v>420</v>
      </c>
      <c r="M132" s="1" t="str">
        <f>TEXT(DATE(tbl_data[[#This Row],[Model_Year]],1,1),"yyyy")</f>
        <v>2005</v>
      </c>
      <c r="N132" s="1" t="str">
        <f>IF(tbl_data[[#This Row],[Kilometers_Driven]]&lt;50000,"&lt;50k",
IF(tbl_data[[#This Row],[Kilometers_Driven]]&lt;100000,"50k-100k",
IF(tbl_data[[#This Row],[Kilometers_Driven]]&lt;150000,"100k-150k","150k+")))</f>
        <v>150k+</v>
      </c>
      <c r="O132" s="1" t="str">
        <f>IF(tbl_data[[#This Row],[Price_USD]]&gt;=87089,"High",
IF(tbl_data[[#This Row],[Price_USD]]&gt;=56807,"Mid","Low"))</f>
        <v>High</v>
      </c>
      <c r="P132" s="1" t="str">
        <f>IF(tbl_data[[#This Row],[Transmission]]="Automatic","Auto","Manual")</f>
        <v>Auto</v>
      </c>
      <c r="Q132" s="1" t="str">
        <f>IFERROR(IF(VALUE(tbl_data[[#This Row],[Engine_CC]])=0,"",VALUE(tbl_data[[#This Row],[Price_USD]])/VALUE(tbl_data[[#This Row],[Engine_CC]])),"")</f>
        <v/>
      </c>
      <c r="R132" s="1" t="str">
        <f>TRIM(tbl_data[[#This Row],[Brand]])</f>
        <v>BMW</v>
      </c>
      <c r="S132" s="1">
        <f>_xlfn.NUMBERVALUE(tbl_data[[#This Row],[Price_USD]],".",",")</f>
        <v>26454.880000000001</v>
      </c>
    </row>
    <row r="133" spans="1:19" x14ac:dyDescent="0.3">
      <c r="A133">
        <v>132</v>
      </c>
      <c r="B133" t="s">
        <v>12</v>
      </c>
      <c r="C133">
        <v>2019</v>
      </c>
      <c r="D133">
        <v>69309</v>
      </c>
      <c r="E133" t="s">
        <v>20</v>
      </c>
      <c r="F133" t="s">
        <v>14</v>
      </c>
      <c r="G133" t="s">
        <v>15</v>
      </c>
      <c r="H133">
        <v>4859</v>
      </c>
      <c r="I133" t="s">
        <v>421</v>
      </c>
      <c r="J133" t="s">
        <v>422</v>
      </c>
      <c r="K133">
        <v>7</v>
      </c>
      <c r="L133" t="s">
        <v>423</v>
      </c>
      <c r="M133" s="1" t="str">
        <f>TEXT(DATE(tbl_data[[#This Row],[Model_Year]],1,1),"yyyy")</f>
        <v>2019</v>
      </c>
      <c r="N133" s="1" t="str">
        <f>IF(tbl_data[[#This Row],[Kilometers_Driven]]&lt;50000,"&lt;50k",
IF(tbl_data[[#This Row],[Kilometers_Driven]]&lt;100000,"50k-100k",
IF(tbl_data[[#This Row],[Kilometers_Driven]]&lt;150000,"100k-150k","150k+")))</f>
        <v>50k-100k</v>
      </c>
      <c r="O133" s="1" t="str">
        <f>IF(tbl_data[[#This Row],[Price_USD]]&gt;=87089,"High",
IF(tbl_data[[#This Row],[Price_USD]]&gt;=56807,"Mid","Low"))</f>
        <v>High</v>
      </c>
      <c r="P133" s="1" t="str">
        <f>IF(tbl_data[[#This Row],[Transmission]]="Automatic","Auto","Manual")</f>
        <v>Manual</v>
      </c>
      <c r="Q133" s="1" t="str">
        <f>IFERROR(IF(VALUE(tbl_data[[#This Row],[Engine_CC]])=0,"",VALUE(tbl_data[[#This Row],[Price_USD]])/VALUE(tbl_data[[#This Row],[Engine_CC]])),"")</f>
        <v/>
      </c>
      <c r="R133" s="1" t="str">
        <f>TRIM(tbl_data[[#This Row],[Brand]])</f>
        <v>Audi</v>
      </c>
      <c r="S133" s="1">
        <f>_xlfn.NUMBERVALUE(tbl_data[[#This Row],[Price_USD]],".",",")</f>
        <v>51375.49</v>
      </c>
    </row>
    <row r="134" spans="1:19" x14ac:dyDescent="0.3">
      <c r="A134">
        <v>133</v>
      </c>
      <c r="B134" t="s">
        <v>43</v>
      </c>
      <c r="C134">
        <v>2009</v>
      </c>
      <c r="D134">
        <v>34984</v>
      </c>
      <c r="E134" t="s">
        <v>20</v>
      </c>
      <c r="F134" t="s">
        <v>21</v>
      </c>
      <c r="G134" t="s">
        <v>32</v>
      </c>
      <c r="H134">
        <v>1931</v>
      </c>
      <c r="I134" t="s">
        <v>424</v>
      </c>
      <c r="J134" t="s">
        <v>425</v>
      </c>
      <c r="K134">
        <v>7</v>
      </c>
      <c r="L134" t="s">
        <v>426</v>
      </c>
      <c r="M134" s="1" t="str">
        <f>TEXT(DATE(tbl_data[[#This Row],[Model_Year]],1,1),"yyyy")</f>
        <v>2009</v>
      </c>
      <c r="N134" s="1" t="str">
        <f>IF(tbl_data[[#This Row],[Kilometers_Driven]]&lt;50000,"&lt;50k",
IF(tbl_data[[#This Row],[Kilometers_Driven]]&lt;100000,"50k-100k",
IF(tbl_data[[#This Row],[Kilometers_Driven]]&lt;150000,"100k-150k","150k+")))</f>
        <v>&lt;50k</v>
      </c>
      <c r="O134" s="1" t="str">
        <f>IF(tbl_data[[#This Row],[Price_USD]]&gt;=87089,"High",
IF(tbl_data[[#This Row],[Price_USD]]&gt;=56807,"Mid","Low"))</f>
        <v>High</v>
      </c>
      <c r="P134" s="1" t="str">
        <f>IF(tbl_data[[#This Row],[Transmission]]="Automatic","Auto","Manual")</f>
        <v>Auto</v>
      </c>
      <c r="Q134" s="1" t="str">
        <f>IFERROR(IF(VALUE(tbl_data[[#This Row],[Engine_CC]])=0,"",VALUE(tbl_data[[#This Row],[Price_USD]])/VALUE(tbl_data[[#This Row],[Engine_CC]])),"")</f>
        <v/>
      </c>
      <c r="R134" s="1" t="str">
        <f>TRIM(tbl_data[[#This Row],[Brand]])</f>
        <v>Ford</v>
      </c>
      <c r="S134" s="1">
        <f>_xlfn.NUMBERVALUE(tbl_data[[#This Row],[Price_USD]],".",",")</f>
        <v>27125.72</v>
      </c>
    </row>
    <row r="135" spans="1:19" x14ac:dyDescent="0.3">
      <c r="A135">
        <v>134</v>
      </c>
      <c r="B135" t="s">
        <v>69</v>
      </c>
      <c r="C135">
        <v>2024</v>
      </c>
      <c r="D135">
        <v>123947</v>
      </c>
      <c r="E135" t="s">
        <v>20</v>
      </c>
      <c r="F135" t="s">
        <v>21</v>
      </c>
      <c r="G135" t="s">
        <v>32</v>
      </c>
      <c r="H135">
        <v>3378</v>
      </c>
      <c r="I135" t="s">
        <v>427</v>
      </c>
      <c r="J135" t="s">
        <v>428</v>
      </c>
      <c r="K135">
        <v>5</v>
      </c>
      <c r="L135" t="s">
        <v>429</v>
      </c>
      <c r="M135" s="1" t="str">
        <f>TEXT(DATE(tbl_data[[#This Row],[Model_Year]],1,1),"yyyy")</f>
        <v>2024</v>
      </c>
      <c r="N135" s="1" t="str">
        <f>IF(tbl_data[[#This Row],[Kilometers_Driven]]&lt;50000,"&lt;50k",
IF(tbl_data[[#This Row],[Kilometers_Driven]]&lt;100000,"50k-100k",
IF(tbl_data[[#This Row],[Kilometers_Driven]]&lt;150000,"100k-150k","150k+")))</f>
        <v>100k-150k</v>
      </c>
      <c r="O135" s="1" t="str">
        <f>IF(tbl_data[[#This Row],[Price_USD]]&gt;=87089,"High",
IF(tbl_data[[#This Row],[Price_USD]]&gt;=56807,"Mid","Low"))</f>
        <v>High</v>
      </c>
      <c r="P135" s="1" t="str">
        <f>IF(tbl_data[[#This Row],[Transmission]]="Automatic","Auto","Manual")</f>
        <v>Auto</v>
      </c>
      <c r="Q135" s="1" t="str">
        <f>IFERROR(IF(VALUE(tbl_data[[#This Row],[Engine_CC]])=0,"",VALUE(tbl_data[[#This Row],[Price_USD]])/VALUE(tbl_data[[#This Row],[Engine_CC]])),"")</f>
        <v/>
      </c>
      <c r="R135" s="1" t="str">
        <f>TRIM(tbl_data[[#This Row],[Brand]])</f>
        <v>Hyundai</v>
      </c>
      <c r="S135" s="1">
        <f>_xlfn.NUMBERVALUE(tbl_data[[#This Row],[Price_USD]],".",",")</f>
        <v>105557.58</v>
      </c>
    </row>
    <row r="136" spans="1:19" x14ac:dyDescent="0.3">
      <c r="A136">
        <v>135</v>
      </c>
      <c r="B136" t="s">
        <v>76</v>
      </c>
      <c r="C136">
        <v>2015</v>
      </c>
      <c r="D136">
        <v>10901</v>
      </c>
      <c r="E136" t="s">
        <v>31</v>
      </c>
      <c r="F136" t="s">
        <v>21</v>
      </c>
      <c r="G136" t="s">
        <v>32</v>
      </c>
      <c r="H136">
        <v>4842</v>
      </c>
      <c r="I136" t="s">
        <v>430</v>
      </c>
      <c r="J136" t="s">
        <v>431</v>
      </c>
      <c r="K136">
        <v>6</v>
      </c>
      <c r="L136" t="s">
        <v>432</v>
      </c>
      <c r="M136" s="1" t="str">
        <f>TEXT(DATE(tbl_data[[#This Row],[Model_Year]],1,1),"yyyy")</f>
        <v>2015</v>
      </c>
      <c r="N136" s="1" t="str">
        <f>IF(tbl_data[[#This Row],[Kilometers_Driven]]&lt;50000,"&lt;50k",
IF(tbl_data[[#This Row],[Kilometers_Driven]]&lt;100000,"50k-100k",
IF(tbl_data[[#This Row],[Kilometers_Driven]]&lt;150000,"100k-150k","150k+")))</f>
        <v>&lt;50k</v>
      </c>
      <c r="O136" s="1" t="str">
        <f>IF(tbl_data[[#This Row],[Price_USD]]&gt;=87089,"High",
IF(tbl_data[[#This Row],[Price_USD]]&gt;=56807,"Mid","Low"))</f>
        <v>High</v>
      </c>
      <c r="P136" s="1" t="str">
        <f>IF(tbl_data[[#This Row],[Transmission]]="Automatic","Auto","Manual")</f>
        <v>Auto</v>
      </c>
      <c r="Q136" s="1" t="str">
        <f>IFERROR(IF(VALUE(tbl_data[[#This Row],[Engine_CC]])=0,"",VALUE(tbl_data[[#This Row],[Price_USD]])/VALUE(tbl_data[[#This Row],[Engine_CC]])),"")</f>
        <v/>
      </c>
      <c r="R136" s="1" t="str">
        <f>TRIM(tbl_data[[#This Row],[Brand]])</f>
        <v>Honda</v>
      </c>
      <c r="S136" s="1">
        <f>_xlfn.NUMBERVALUE(tbl_data[[#This Row],[Price_USD]],".",",")</f>
        <v>21519.49</v>
      </c>
    </row>
    <row r="137" spans="1:19" x14ac:dyDescent="0.3">
      <c r="A137">
        <v>136</v>
      </c>
      <c r="B137" t="s">
        <v>39</v>
      </c>
      <c r="C137">
        <v>2014</v>
      </c>
      <c r="D137">
        <v>167624</v>
      </c>
      <c r="E137" t="s">
        <v>31</v>
      </c>
      <c r="F137" t="s">
        <v>21</v>
      </c>
      <c r="G137" t="s">
        <v>32</v>
      </c>
      <c r="H137">
        <v>4167</v>
      </c>
      <c r="I137" t="s">
        <v>127</v>
      </c>
      <c r="J137" t="s">
        <v>433</v>
      </c>
      <c r="K137">
        <v>6</v>
      </c>
      <c r="L137" t="s">
        <v>434</v>
      </c>
      <c r="M137" s="1" t="str">
        <f>TEXT(DATE(tbl_data[[#This Row],[Model_Year]],1,1),"yyyy")</f>
        <v>2014</v>
      </c>
      <c r="N137" s="1" t="str">
        <f>IF(tbl_data[[#This Row],[Kilometers_Driven]]&lt;50000,"&lt;50k",
IF(tbl_data[[#This Row],[Kilometers_Driven]]&lt;100000,"50k-100k",
IF(tbl_data[[#This Row],[Kilometers_Driven]]&lt;150000,"100k-150k","150k+")))</f>
        <v>150k+</v>
      </c>
      <c r="O137" s="1" t="str">
        <f>IF(tbl_data[[#This Row],[Price_USD]]&gt;=87089,"High",
IF(tbl_data[[#This Row],[Price_USD]]&gt;=56807,"Mid","Low"))</f>
        <v>High</v>
      </c>
      <c r="P137" s="1" t="str">
        <f>IF(tbl_data[[#This Row],[Transmission]]="Automatic","Auto","Manual")</f>
        <v>Auto</v>
      </c>
      <c r="Q137" s="1" t="str">
        <f>IFERROR(IF(VALUE(tbl_data[[#This Row],[Engine_CC]])=0,"",VALUE(tbl_data[[#This Row],[Price_USD]])/VALUE(tbl_data[[#This Row],[Engine_CC]])),"")</f>
        <v/>
      </c>
      <c r="R137" s="1" t="str">
        <f>TRIM(tbl_data[[#This Row],[Brand]])</f>
        <v>Volkswagen</v>
      </c>
      <c r="S137" s="1">
        <f>_xlfn.NUMBERVALUE(tbl_data[[#This Row],[Price_USD]],".",",")</f>
        <v>56312.32</v>
      </c>
    </row>
    <row r="138" spans="1:19" x14ac:dyDescent="0.3">
      <c r="A138">
        <v>137</v>
      </c>
      <c r="B138" t="s">
        <v>102</v>
      </c>
      <c r="C138">
        <v>2006</v>
      </c>
      <c r="D138">
        <v>36055</v>
      </c>
      <c r="E138" t="s">
        <v>31</v>
      </c>
      <c r="F138" t="s">
        <v>14</v>
      </c>
      <c r="G138" t="s">
        <v>15</v>
      </c>
      <c r="H138">
        <v>1617</v>
      </c>
      <c r="I138" t="s">
        <v>435</v>
      </c>
      <c r="J138" t="s">
        <v>436</v>
      </c>
      <c r="K138">
        <v>2</v>
      </c>
      <c r="L138" t="s">
        <v>437</v>
      </c>
      <c r="M138" s="1" t="str">
        <f>TEXT(DATE(tbl_data[[#This Row],[Model_Year]],1,1),"yyyy")</f>
        <v>2006</v>
      </c>
      <c r="N138" s="1" t="str">
        <f>IF(tbl_data[[#This Row],[Kilometers_Driven]]&lt;50000,"&lt;50k",
IF(tbl_data[[#This Row],[Kilometers_Driven]]&lt;100000,"50k-100k",
IF(tbl_data[[#This Row],[Kilometers_Driven]]&lt;150000,"100k-150k","150k+")))</f>
        <v>&lt;50k</v>
      </c>
      <c r="O138" s="1" t="str">
        <f>IF(tbl_data[[#This Row],[Price_USD]]&gt;=87089,"High",
IF(tbl_data[[#This Row],[Price_USD]]&gt;=56807,"Mid","Low"))</f>
        <v>High</v>
      </c>
      <c r="P138" s="1" t="str">
        <f>IF(tbl_data[[#This Row],[Transmission]]="Automatic","Auto","Manual")</f>
        <v>Manual</v>
      </c>
      <c r="Q138" s="1" t="str">
        <f>IFERROR(IF(VALUE(tbl_data[[#This Row],[Engine_CC]])=0,"",VALUE(tbl_data[[#This Row],[Price_USD]])/VALUE(tbl_data[[#This Row],[Engine_CC]])),"")</f>
        <v/>
      </c>
      <c r="R138" s="1" t="str">
        <f>TRIM(tbl_data[[#This Row],[Brand]])</f>
        <v>Nissan</v>
      </c>
      <c r="S138" s="1">
        <f>_xlfn.NUMBERVALUE(tbl_data[[#This Row],[Price_USD]],".",",")</f>
        <v>73866.81</v>
      </c>
    </row>
    <row r="139" spans="1:19" x14ac:dyDescent="0.3">
      <c r="A139">
        <v>138</v>
      </c>
      <c r="B139" t="s">
        <v>30</v>
      </c>
      <c r="C139">
        <v>2007</v>
      </c>
      <c r="D139">
        <v>173757</v>
      </c>
      <c r="E139" t="s">
        <v>20</v>
      </c>
      <c r="F139" t="s">
        <v>14</v>
      </c>
      <c r="G139" t="s">
        <v>15</v>
      </c>
      <c r="H139">
        <v>811</v>
      </c>
      <c r="I139" t="s">
        <v>438</v>
      </c>
      <c r="J139" t="s">
        <v>439</v>
      </c>
      <c r="K139">
        <v>6</v>
      </c>
      <c r="L139" t="s">
        <v>440</v>
      </c>
      <c r="M139" s="1" t="str">
        <f>TEXT(DATE(tbl_data[[#This Row],[Model_Year]],1,1),"yyyy")</f>
        <v>2007</v>
      </c>
      <c r="N139" s="1" t="str">
        <f>IF(tbl_data[[#This Row],[Kilometers_Driven]]&lt;50000,"&lt;50k",
IF(tbl_data[[#This Row],[Kilometers_Driven]]&lt;100000,"50k-100k",
IF(tbl_data[[#This Row],[Kilometers_Driven]]&lt;150000,"100k-150k","150k+")))</f>
        <v>150k+</v>
      </c>
      <c r="O139" s="1" t="str">
        <f>IF(tbl_data[[#This Row],[Price_USD]]&gt;=87089,"High",
IF(tbl_data[[#This Row],[Price_USD]]&gt;=56807,"Mid","Low"))</f>
        <v>High</v>
      </c>
      <c r="P139" s="1" t="str">
        <f>IF(tbl_data[[#This Row],[Transmission]]="Automatic","Auto","Manual")</f>
        <v>Manual</v>
      </c>
      <c r="Q139" s="1" t="str">
        <f>IFERROR(IF(VALUE(tbl_data[[#This Row],[Engine_CC]])=0,"",VALUE(tbl_data[[#This Row],[Price_USD]])/VALUE(tbl_data[[#This Row],[Engine_CC]])),"")</f>
        <v/>
      </c>
      <c r="R139" s="1" t="str">
        <f>TRIM(tbl_data[[#This Row],[Brand]])</f>
        <v>Mercedes</v>
      </c>
      <c r="S139" s="1">
        <f>_xlfn.NUMBERVALUE(tbl_data[[#This Row],[Price_USD]],".",",")</f>
        <v>83948.08</v>
      </c>
    </row>
    <row r="140" spans="1:19" x14ac:dyDescent="0.3">
      <c r="A140">
        <v>139</v>
      </c>
      <c r="B140" t="s">
        <v>69</v>
      </c>
      <c r="C140">
        <v>2016</v>
      </c>
      <c r="D140">
        <v>150788</v>
      </c>
      <c r="E140" t="s">
        <v>31</v>
      </c>
      <c r="F140" t="s">
        <v>14</v>
      </c>
      <c r="G140" t="s">
        <v>26</v>
      </c>
      <c r="H140">
        <v>994</v>
      </c>
      <c r="I140" t="s">
        <v>441</v>
      </c>
      <c r="J140" t="s">
        <v>442</v>
      </c>
      <c r="K140">
        <v>5</v>
      </c>
      <c r="L140" t="s">
        <v>443</v>
      </c>
      <c r="M140" s="1" t="str">
        <f>TEXT(DATE(tbl_data[[#This Row],[Model_Year]],1,1),"yyyy")</f>
        <v>2016</v>
      </c>
      <c r="N140" s="1" t="str">
        <f>IF(tbl_data[[#This Row],[Kilometers_Driven]]&lt;50000,"&lt;50k",
IF(tbl_data[[#This Row],[Kilometers_Driven]]&lt;100000,"50k-100k",
IF(tbl_data[[#This Row],[Kilometers_Driven]]&lt;150000,"100k-150k","150k+")))</f>
        <v>150k+</v>
      </c>
      <c r="O140" s="1" t="str">
        <f>IF(tbl_data[[#This Row],[Price_USD]]&gt;=87089,"High",
IF(tbl_data[[#This Row],[Price_USD]]&gt;=56807,"Mid","Low"))</f>
        <v>High</v>
      </c>
      <c r="P140" s="1" t="str">
        <f>IF(tbl_data[[#This Row],[Transmission]]="Automatic","Auto","Manual")</f>
        <v>Manual</v>
      </c>
      <c r="Q140" s="1" t="str">
        <f>IFERROR(IF(VALUE(tbl_data[[#This Row],[Engine_CC]])=0,"",VALUE(tbl_data[[#This Row],[Price_USD]])/VALUE(tbl_data[[#This Row],[Engine_CC]])),"")</f>
        <v/>
      </c>
      <c r="R140" s="1" t="str">
        <f>TRIM(tbl_data[[#This Row],[Brand]])</f>
        <v>Hyundai</v>
      </c>
      <c r="S140" s="1">
        <f>_xlfn.NUMBERVALUE(tbl_data[[#This Row],[Price_USD]],".",",")</f>
        <v>47819.12</v>
      </c>
    </row>
    <row r="141" spans="1:19" x14ac:dyDescent="0.3">
      <c r="A141">
        <v>140</v>
      </c>
      <c r="B141" t="s">
        <v>19</v>
      </c>
      <c r="C141">
        <v>2024</v>
      </c>
      <c r="D141">
        <v>119099</v>
      </c>
      <c r="E141" t="s">
        <v>20</v>
      </c>
      <c r="F141" t="s">
        <v>21</v>
      </c>
      <c r="G141" t="s">
        <v>32</v>
      </c>
      <c r="H141">
        <v>3337</v>
      </c>
      <c r="I141" t="s">
        <v>444</v>
      </c>
      <c r="J141" t="s">
        <v>445</v>
      </c>
      <c r="K141">
        <v>2</v>
      </c>
      <c r="L141" t="s">
        <v>446</v>
      </c>
      <c r="M141" s="1" t="str">
        <f>TEXT(DATE(tbl_data[[#This Row],[Model_Year]],1,1),"yyyy")</f>
        <v>2024</v>
      </c>
      <c r="N141" s="1" t="str">
        <f>IF(tbl_data[[#This Row],[Kilometers_Driven]]&lt;50000,"&lt;50k",
IF(tbl_data[[#This Row],[Kilometers_Driven]]&lt;100000,"50k-100k",
IF(tbl_data[[#This Row],[Kilometers_Driven]]&lt;150000,"100k-150k","150k+")))</f>
        <v>100k-150k</v>
      </c>
      <c r="O141" s="1" t="str">
        <f>IF(tbl_data[[#This Row],[Price_USD]]&gt;=87089,"High",
IF(tbl_data[[#This Row],[Price_USD]]&gt;=56807,"Mid","Low"))</f>
        <v>High</v>
      </c>
      <c r="P141" s="1" t="str">
        <f>IF(tbl_data[[#This Row],[Transmission]]="Automatic","Auto","Manual")</f>
        <v>Auto</v>
      </c>
      <c r="Q141" s="1" t="str">
        <f>IFERROR(IF(VALUE(tbl_data[[#This Row],[Engine_CC]])=0,"",VALUE(tbl_data[[#This Row],[Price_USD]])/VALUE(tbl_data[[#This Row],[Engine_CC]])),"")</f>
        <v/>
      </c>
      <c r="R141" s="1" t="str">
        <f>TRIM(tbl_data[[#This Row],[Brand]])</f>
        <v>BMW</v>
      </c>
      <c r="S141" s="1">
        <f>_xlfn.NUMBERVALUE(tbl_data[[#This Row],[Price_USD]],".",",")</f>
        <v>104684.59</v>
      </c>
    </row>
    <row r="142" spans="1:19" x14ac:dyDescent="0.3">
      <c r="A142">
        <v>141</v>
      </c>
      <c r="B142" t="s">
        <v>39</v>
      </c>
      <c r="C142">
        <v>2009</v>
      </c>
      <c r="D142">
        <v>16138</v>
      </c>
      <c r="E142" t="s">
        <v>31</v>
      </c>
      <c r="F142" t="s">
        <v>21</v>
      </c>
      <c r="G142" t="s">
        <v>26</v>
      </c>
      <c r="H142">
        <v>3642</v>
      </c>
      <c r="I142" t="s">
        <v>447</v>
      </c>
      <c r="J142" t="s">
        <v>448</v>
      </c>
      <c r="K142">
        <v>4</v>
      </c>
      <c r="L142" t="s">
        <v>449</v>
      </c>
      <c r="M142" s="1" t="str">
        <f>TEXT(DATE(tbl_data[[#This Row],[Model_Year]],1,1),"yyyy")</f>
        <v>2009</v>
      </c>
      <c r="N142" s="1" t="str">
        <f>IF(tbl_data[[#This Row],[Kilometers_Driven]]&lt;50000,"&lt;50k",
IF(tbl_data[[#This Row],[Kilometers_Driven]]&lt;100000,"50k-100k",
IF(tbl_data[[#This Row],[Kilometers_Driven]]&lt;150000,"100k-150k","150k+")))</f>
        <v>&lt;50k</v>
      </c>
      <c r="O142" s="1" t="str">
        <f>IF(tbl_data[[#This Row],[Price_USD]]&gt;=87089,"High",
IF(tbl_data[[#This Row],[Price_USD]]&gt;=56807,"Mid","Low"))</f>
        <v>High</v>
      </c>
      <c r="P142" s="1" t="str">
        <f>IF(tbl_data[[#This Row],[Transmission]]="Automatic","Auto","Manual")</f>
        <v>Auto</v>
      </c>
      <c r="Q142" s="1" t="str">
        <f>IFERROR(IF(VALUE(tbl_data[[#This Row],[Engine_CC]])=0,"",VALUE(tbl_data[[#This Row],[Price_USD]])/VALUE(tbl_data[[#This Row],[Engine_CC]])),"")</f>
        <v/>
      </c>
      <c r="R142" s="1" t="str">
        <f>TRIM(tbl_data[[#This Row],[Brand]])</f>
        <v>Volkswagen</v>
      </c>
      <c r="S142" s="1">
        <f>_xlfn.NUMBERVALUE(tbl_data[[#This Row],[Price_USD]],".",",")</f>
        <v>69493.34</v>
      </c>
    </row>
    <row r="143" spans="1:19" x14ac:dyDescent="0.3">
      <c r="A143">
        <v>142</v>
      </c>
      <c r="B143" t="s">
        <v>12</v>
      </c>
      <c r="C143">
        <v>2009</v>
      </c>
      <c r="D143">
        <v>171370</v>
      </c>
      <c r="E143" t="s">
        <v>31</v>
      </c>
      <c r="F143" t="s">
        <v>21</v>
      </c>
      <c r="G143" t="s">
        <v>15</v>
      </c>
      <c r="H143">
        <v>3029</v>
      </c>
      <c r="I143" t="s">
        <v>450</v>
      </c>
      <c r="J143" t="s">
        <v>451</v>
      </c>
      <c r="K143">
        <v>6</v>
      </c>
      <c r="L143" t="s">
        <v>452</v>
      </c>
      <c r="M143" s="1" t="str">
        <f>TEXT(DATE(tbl_data[[#This Row],[Model_Year]],1,1),"yyyy")</f>
        <v>2009</v>
      </c>
      <c r="N143" s="1" t="str">
        <f>IF(tbl_data[[#This Row],[Kilometers_Driven]]&lt;50000,"&lt;50k",
IF(tbl_data[[#This Row],[Kilometers_Driven]]&lt;100000,"50k-100k",
IF(tbl_data[[#This Row],[Kilometers_Driven]]&lt;150000,"100k-150k","150k+")))</f>
        <v>150k+</v>
      </c>
      <c r="O143" s="1" t="str">
        <f>IF(tbl_data[[#This Row],[Price_USD]]&gt;=87089,"High",
IF(tbl_data[[#This Row],[Price_USD]]&gt;=56807,"Mid","Low"))</f>
        <v>High</v>
      </c>
      <c r="P143" s="1" t="str">
        <f>IF(tbl_data[[#This Row],[Transmission]]="Automatic","Auto","Manual")</f>
        <v>Auto</v>
      </c>
      <c r="Q143" s="1" t="str">
        <f>IFERROR(IF(VALUE(tbl_data[[#This Row],[Engine_CC]])=0,"",VALUE(tbl_data[[#This Row],[Price_USD]])/VALUE(tbl_data[[#This Row],[Engine_CC]])),"")</f>
        <v/>
      </c>
      <c r="R143" s="1" t="str">
        <f>TRIM(tbl_data[[#This Row],[Brand]])</f>
        <v>Audi</v>
      </c>
      <c r="S143" s="1">
        <f>_xlfn.NUMBERVALUE(tbl_data[[#This Row],[Price_USD]],".",",")</f>
        <v>54422.41</v>
      </c>
    </row>
    <row r="144" spans="1:19" x14ac:dyDescent="0.3">
      <c r="A144">
        <v>143</v>
      </c>
      <c r="B144" t="s">
        <v>102</v>
      </c>
      <c r="C144">
        <v>2010</v>
      </c>
      <c r="D144">
        <v>187184</v>
      </c>
      <c r="E144" t="s">
        <v>13</v>
      </c>
      <c r="F144" t="s">
        <v>21</v>
      </c>
      <c r="G144" t="s">
        <v>15</v>
      </c>
      <c r="H144">
        <v>3809</v>
      </c>
      <c r="I144" t="s">
        <v>453</v>
      </c>
      <c r="J144" t="s">
        <v>454</v>
      </c>
      <c r="K144">
        <v>6</v>
      </c>
      <c r="L144" t="s">
        <v>455</v>
      </c>
      <c r="M144" s="1" t="str">
        <f>TEXT(DATE(tbl_data[[#This Row],[Model_Year]],1,1),"yyyy")</f>
        <v>2010</v>
      </c>
      <c r="N144" s="1" t="str">
        <f>IF(tbl_data[[#This Row],[Kilometers_Driven]]&lt;50000,"&lt;50k",
IF(tbl_data[[#This Row],[Kilometers_Driven]]&lt;100000,"50k-100k",
IF(tbl_data[[#This Row],[Kilometers_Driven]]&lt;150000,"100k-150k","150k+")))</f>
        <v>150k+</v>
      </c>
      <c r="O144" s="1" t="str">
        <f>IF(tbl_data[[#This Row],[Price_USD]]&gt;=87089,"High",
IF(tbl_data[[#This Row],[Price_USD]]&gt;=56807,"Mid","Low"))</f>
        <v>High</v>
      </c>
      <c r="P144" s="1" t="str">
        <f>IF(tbl_data[[#This Row],[Transmission]]="Automatic","Auto","Manual")</f>
        <v>Auto</v>
      </c>
      <c r="Q144" s="1" t="str">
        <f>IFERROR(IF(VALUE(tbl_data[[#This Row],[Engine_CC]])=0,"",VALUE(tbl_data[[#This Row],[Price_USD]])/VALUE(tbl_data[[#This Row],[Engine_CC]])),"")</f>
        <v/>
      </c>
      <c r="R144" s="1" t="str">
        <f>TRIM(tbl_data[[#This Row],[Brand]])</f>
        <v>Nissan</v>
      </c>
      <c r="S144" s="1">
        <f>_xlfn.NUMBERVALUE(tbl_data[[#This Row],[Price_USD]],".",",")</f>
        <v>10867.15</v>
      </c>
    </row>
    <row r="145" spans="1:19" x14ac:dyDescent="0.3">
      <c r="A145">
        <v>144</v>
      </c>
      <c r="B145" t="s">
        <v>12</v>
      </c>
      <c r="C145">
        <v>2013</v>
      </c>
      <c r="D145">
        <v>28429</v>
      </c>
      <c r="E145" t="s">
        <v>44</v>
      </c>
      <c r="F145" t="s">
        <v>21</v>
      </c>
      <c r="G145" t="s">
        <v>26</v>
      </c>
      <c r="H145">
        <v>2877</v>
      </c>
      <c r="I145" t="s">
        <v>456</v>
      </c>
      <c r="J145" t="s">
        <v>457</v>
      </c>
      <c r="K145">
        <v>2</v>
      </c>
      <c r="L145" t="s">
        <v>458</v>
      </c>
      <c r="M145" s="1" t="str">
        <f>TEXT(DATE(tbl_data[[#This Row],[Model_Year]],1,1),"yyyy")</f>
        <v>2013</v>
      </c>
      <c r="N145" s="1" t="str">
        <f>IF(tbl_data[[#This Row],[Kilometers_Driven]]&lt;50000,"&lt;50k",
IF(tbl_data[[#This Row],[Kilometers_Driven]]&lt;100000,"50k-100k",
IF(tbl_data[[#This Row],[Kilometers_Driven]]&lt;150000,"100k-150k","150k+")))</f>
        <v>&lt;50k</v>
      </c>
      <c r="O145" s="1" t="str">
        <f>IF(tbl_data[[#This Row],[Price_USD]]&gt;=87089,"High",
IF(tbl_data[[#This Row],[Price_USD]]&gt;=56807,"Mid","Low"))</f>
        <v>High</v>
      </c>
      <c r="P145" s="1" t="str">
        <f>IF(tbl_data[[#This Row],[Transmission]]="Automatic","Auto","Manual")</f>
        <v>Auto</v>
      </c>
      <c r="Q145" s="1" t="str">
        <f>IFERROR(IF(VALUE(tbl_data[[#This Row],[Engine_CC]])=0,"",VALUE(tbl_data[[#This Row],[Price_USD]])/VALUE(tbl_data[[#This Row],[Engine_CC]])),"")</f>
        <v/>
      </c>
      <c r="R145" s="1" t="str">
        <f>TRIM(tbl_data[[#This Row],[Brand]])</f>
        <v>Audi</v>
      </c>
      <c r="S145" s="1">
        <f>_xlfn.NUMBERVALUE(tbl_data[[#This Row],[Price_USD]],".",",")</f>
        <v>57368.67</v>
      </c>
    </row>
    <row r="146" spans="1:19" x14ac:dyDescent="0.3">
      <c r="A146">
        <v>145</v>
      </c>
      <c r="B146" t="s">
        <v>92</v>
      </c>
      <c r="C146">
        <v>2006</v>
      </c>
      <c r="D146">
        <v>55200</v>
      </c>
      <c r="E146" t="s">
        <v>20</v>
      </c>
      <c r="F146" t="s">
        <v>14</v>
      </c>
      <c r="G146" t="s">
        <v>32</v>
      </c>
      <c r="H146">
        <v>4667</v>
      </c>
      <c r="I146" t="s">
        <v>459</v>
      </c>
      <c r="J146" t="s">
        <v>460</v>
      </c>
      <c r="K146">
        <v>7</v>
      </c>
      <c r="L146" t="s">
        <v>461</v>
      </c>
      <c r="M146" s="1" t="str">
        <f>TEXT(DATE(tbl_data[[#This Row],[Model_Year]],1,1),"yyyy")</f>
        <v>2006</v>
      </c>
      <c r="N146" s="1" t="str">
        <f>IF(tbl_data[[#This Row],[Kilometers_Driven]]&lt;50000,"&lt;50k",
IF(tbl_data[[#This Row],[Kilometers_Driven]]&lt;100000,"50k-100k",
IF(tbl_data[[#This Row],[Kilometers_Driven]]&lt;150000,"100k-150k","150k+")))</f>
        <v>50k-100k</v>
      </c>
      <c r="O146" s="1" t="str">
        <f>IF(tbl_data[[#This Row],[Price_USD]]&gt;=87089,"High",
IF(tbl_data[[#This Row],[Price_USD]]&gt;=56807,"Mid","Low"))</f>
        <v>High</v>
      </c>
      <c r="P146" s="1" t="str">
        <f>IF(tbl_data[[#This Row],[Transmission]]="Automatic","Auto","Manual")</f>
        <v>Manual</v>
      </c>
      <c r="Q146" s="1" t="str">
        <f>IFERROR(IF(VALUE(tbl_data[[#This Row],[Engine_CC]])=0,"",VALUE(tbl_data[[#This Row],[Price_USD]])/VALUE(tbl_data[[#This Row],[Engine_CC]])),"")</f>
        <v/>
      </c>
      <c r="R146" s="1" t="str">
        <f>TRIM(tbl_data[[#This Row],[Brand]])</f>
        <v>Toyota</v>
      </c>
      <c r="S146" s="1">
        <f>_xlfn.NUMBERVALUE(tbl_data[[#This Row],[Price_USD]],".",",")</f>
        <v>99026.09</v>
      </c>
    </row>
    <row r="147" spans="1:19" x14ac:dyDescent="0.3">
      <c r="A147">
        <v>146</v>
      </c>
      <c r="B147" t="s">
        <v>92</v>
      </c>
      <c r="C147">
        <v>2016</v>
      </c>
      <c r="D147">
        <v>184316</v>
      </c>
      <c r="E147" t="s">
        <v>13</v>
      </c>
      <c r="F147" t="s">
        <v>21</v>
      </c>
      <c r="G147" t="s">
        <v>32</v>
      </c>
      <c r="H147">
        <v>1243</v>
      </c>
      <c r="I147" t="s">
        <v>398</v>
      </c>
      <c r="J147" t="s">
        <v>462</v>
      </c>
      <c r="K147">
        <v>6</v>
      </c>
      <c r="L147" t="s">
        <v>463</v>
      </c>
      <c r="M147" s="1" t="str">
        <f>TEXT(DATE(tbl_data[[#This Row],[Model_Year]],1,1),"yyyy")</f>
        <v>2016</v>
      </c>
      <c r="N147" s="1" t="str">
        <f>IF(tbl_data[[#This Row],[Kilometers_Driven]]&lt;50000,"&lt;50k",
IF(tbl_data[[#This Row],[Kilometers_Driven]]&lt;100000,"50k-100k",
IF(tbl_data[[#This Row],[Kilometers_Driven]]&lt;150000,"100k-150k","150k+")))</f>
        <v>150k+</v>
      </c>
      <c r="O147" s="1" t="str">
        <f>IF(tbl_data[[#This Row],[Price_USD]]&gt;=87089,"High",
IF(tbl_data[[#This Row],[Price_USD]]&gt;=56807,"Mid","Low"))</f>
        <v>High</v>
      </c>
      <c r="P147" s="1" t="str">
        <f>IF(tbl_data[[#This Row],[Transmission]]="Automatic","Auto","Manual")</f>
        <v>Auto</v>
      </c>
      <c r="Q147" s="1" t="str">
        <f>IFERROR(IF(VALUE(tbl_data[[#This Row],[Engine_CC]])=0,"",VALUE(tbl_data[[#This Row],[Price_USD]])/VALUE(tbl_data[[#This Row],[Engine_CC]])),"")</f>
        <v/>
      </c>
      <c r="R147" s="1" t="str">
        <f>TRIM(tbl_data[[#This Row],[Brand]])</f>
        <v>Toyota</v>
      </c>
      <c r="S147" s="1">
        <f>_xlfn.NUMBERVALUE(tbl_data[[#This Row],[Price_USD]],".",",")</f>
        <v>74901.3</v>
      </c>
    </row>
    <row r="148" spans="1:19" x14ac:dyDescent="0.3">
      <c r="A148">
        <v>147</v>
      </c>
      <c r="B148" t="s">
        <v>102</v>
      </c>
      <c r="C148">
        <v>2007</v>
      </c>
      <c r="D148">
        <v>106268</v>
      </c>
      <c r="E148" t="s">
        <v>31</v>
      </c>
      <c r="F148" t="s">
        <v>21</v>
      </c>
      <c r="G148" t="s">
        <v>32</v>
      </c>
      <c r="H148">
        <v>1097</v>
      </c>
      <c r="I148" t="s">
        <v>464</v>
      </c>
      <c r="J148" t="s">
        <v>465</v>
      </c>
      <c r="K148">
        <v>5</v>
      </c>
      <c r="L148" t="s">
        <v>466</v>
      </c>
      <c r="M148" s="1" t="str">
        <f>TEXT(DATE(tbl_data[[#This Row],[Model_Year]],1,1),"yyyy")</f>
        <v>2007</v>
      </c>
      <c r="N148" s="1" t="str">
        <f>IF(tbl_data[[#This Row],[Kilometers_Driven]]&lt;50000,"&lt;50k",
IF(tbl_data[[#This Row],[Kilometers_Driven]]&lt;100000,"50k-100k",
IF(tbl_data[[#This Row],[Kilometers_Driven]]&lt;150000,"100k-150k","150k+")))</f>
        <v>100k-150k</v>
      </c>
      <c r="O148" s="1" t="str">
        <f>IF(tbl_data[[#This Row],[Price_USD]]&gt;=87089,"High",
IF(tbl_data[[#This Row],[Price_USD]]&gt;=56807,"Mid","Low"))</f>
        <v>High</v>
      </c>
      <c r="P148" s="1" t="str">
        <f>IF(tbl_data[[#This Row],[Transmission]]="Automatic","Auto","Manual")</f>
        <v>Auto</v>
      </c>
      <c r="Q148" s="1" t="str">
        <f>IFERROR(IF(VALUE(tbl_data[[#This Row],[Engine_CC]])=0,"",VALUE(tbl_data[[#This Row],[Price_USD]])/VALUE(tbl_data[[#This Row],[Engine_CC]])),"")</f>
        <v/>
      </c>
      <c r="R148" s="1" t="str">
        <f>TRIM(tbl_data[[#This Row],[Brand]])</f>
        <v>Nissan</v>
      </c>
      <c r="S148" s="1">
        <f>_xlfn.NUMBERVALUE(tbl_data[[#This Row],[Price_USD]],".",",")</f>
        <v>100363.01</v>
      </c>
    </row>
    <row r="149" spans="1:19" x14ac:dyDescent="0.3">
      <c r="A149">
        <v>148</v>
      </c>
      <c r="B149" t="s">
        <v>102</v>
      </c>
      <c r="C149">
        <v>2024</v>
      </c>
      <c r="D149">
        <v>22347</v>
      </c>
      <c r="E149" t="s">
        <v>20</v>
      </c>
      <c r="F149" t="s">
        <v>14</v>
      </c>
      <c r="G149" t="s">
        <v>32</v>
      </c>
      <c r="H149">
        <v>1644</v>
      </c>
      <c r="I149" t="s">
        <v>16</v>
      </c>
      <c r="J149" t="s">
        <v>467</v>
      </c>
      <c r="K149">
        <v>6</v>
      </c>
      <c r="L149" t="s">
        <v>468</v>
      </c>
      <c r="M149" s="1" t="str">
        <f>TEXT(DATE(tbl_data[[#This Row],[Model_Year]],1,1),"yyyy")</f>
        <v>2024</v>
      </c>
      <c r="N149" s="1" t="str">
        <f>IF(tbl_data[[#This Row],[Kilometers_Driven]]&lt;50000,"&lt;50k",
IF(tbl_data[[#This Row],[Kilometers_Driven]]&lt;100000,"50k-100k",
IF(tbl_data[[#This Row],[Kilometers_Driven]]&lt;150000,"100k-150k","150k+")))</f>
        <v>&lt;50k</v>
      </c>
      <c r="O149" s="1" t="str">
        <f>IF(tbl_data[[#This Row],[Price_USD]]&gt;=87089,"High",
IF(tbl_data[[#This Row],[Price_USD]]&gt;=56807,"Mid","Low"))</f>
        <v>High</v>
      </c>
      <c r="P149" s="1" t="str">
        <f>IF(tbl_data[[#This Row],[Transmission]]="Automatic","Auto","Manual")</f>
        <v>Manual</v>
      </c>
      <c r="Q149" s="1" t="str">
        <f>IFERROR(IF(VALUE(tbl_data[[#This Row],[Engine_CC]])=0,"",VALUE(tbl_data[[#This Row],[Price_USD]])/VALUE(tbl_data[[#This Row],[Engine_CC]])),"")</f>
        <v/>
      </c>
      <c r="R149" s="1" t="str">
        <f>TRIM(tbl_data[[#This Row],[Brand]])</f>
        <v>Nissan</v>
      </c>
      <c r="S149" s="1">
        <f>_xlfn.NUMBERVALUE(tbl_data[[#This Row],[Price_USD]],".",",")</f>
        <v>60799.37</v>
      </c>
    </row>
    <row r="150" spans="1:19" x14ac:dyDescent="0.3">
      <c r="A150">
        <v>149</v>
      </c>
      <c r="B150" t="s">
        <v>19</v>
      </c>
      <c r="C150">
        <v>2016</v>
      </c>
      <c r="D150">
        <v>152992</v>
      </c>
      <c r="E150" t="s">
        <v>31</v>
      </c>
      <c r="F150" t="s">
        <v>21</v>
      </c>
      <c r="G150" t="s">
        <v>26</v>
      </c>
      <c r="H150">
        <v>1815</v>
      </c>
      <c r="I150" t="s">
        <v>469</v>
      </c>
      <c r="J150" t="s">
        <v>470</v>
      </c>
      <c r="K150">
        <v>4</v>
      </c>
      <c r="L150" t="s">
        <v>471</v>
      </c>
      <c r="M150" s="1" t="str">
        <f>TEXT(DATE(tbl_data[[#This Row],[Model_Year]],1,1),"yyyy")</f>
        <v>2016</v>
      </c>
      <c r="N150" s="1" t="str">
        <f>IF(tbl_data[[#This Row],[Kilometers_Driven]]&lt;50000,"&lt;50k",
IF(tbl_data[[#This Row],[Kilometers_Driven]]&lt;100000,"50k-100k",
IF(tbl_data[[#This Row],[Kilometers_Driven]]&lt;150000,"100k-150k","150k+")))</f>
        <v>150k+</v>
      </c>
      <c r="O150" s="1" t="str">
        <f>IF(tbl_data[[#This Row],[Price_USD]]&gt;=87089,"High",
IF(tbl_data[[#This Row],[Price_USD]]&gt;=56807,"Mid","Low"))</f>
        <v>High</v>
      </c>
      <c r="P150" s="1" t="str">
        <f>IF(tbl_data[[#This Row],[Transmission]]="Automatic","Auto","Manual")</f>
        <v>Auto</v>
      </c>
      <c r="Q150" s="1" t="str">
        <f>IFERROR(IF(VALUE(tbl_data[[#This Row],[Engine_CC]])=0,"",VALUE(tbl_data[[#This Row],[Price_USD]])/VALUE(tbl_data[[#This Row],[Engine_CC]])),"")</f>
        <v/>
      </c>
      <c r="R150" s="1" t="str">
        <f>TRIM(tbl_data[[#This Row],[Brand]])</f>
        <v>BMW</v>
      </c>
      <c r="S150" s="1">
        <f>_xlfn.NUMBERVALUE(tbl_data[[#This Row],[Price_USD]],".",",")</f>
        <v>16860.02</v>
      </c>
    </row>
    <row r="151" spans="1:19" x14ac:dyDescent="0.3">
      <c r="A151">
        <v>150</v>
      </c>
      <c r="B151" t="s">
        <v>102</v>
      </c>
      <c r="C151">
        <v>2021</v>
      </c>
      <c r="D151">
        <v>36822</v>
      </c>
      <c r="E151" t="s">
        <v>44</v>
      </c>
      <c r="F151" t="s">
        <v>14</v>
      </c>
      <c r="G151" t="s">
        <v>26</v>
      </c>
      <c r="H151">
        <v>2184</v>
      </c>
      <c r="I151" t="s">
        <v>472</v>
      </c>
      <c r="J151" t="s">
        <v>473</v>
      </c>
      <c r="K151">
        <v>6</v>
      </c>
      <c r="L151" t="s">
        <v>474</v>
      </c>
      <c r="M151" s="1" t="str">
        <f>TEXT(DATE(tbl_data[[#This Row],[Model_Year]],1,1),"yyyy")</f>
        <v>2021</v>
      </c>
      <c r="N151" s="1" t="str">
        <f>IF(tbl_data[[#This Row],[Kilometers_Driven]]&lt;50000,"&lt;50k",
IF(tbl_data[[#This Row],[Kilometers_Driven]]&lt;100000,"50k-100k",
IF(tbl_data[[#This Row],[Kilometers_Driven]]&lt;150000,"100k-150k","150k+")))</f>
        <v>&lt;50k</v>
      </c>
      <c r="O151" s="1" t="str">
        <f>IF(tbl_data[[#This Row],[Price_USD]]&gt;=87089,"High",
IF(tbl_data[[#This Row],[Price_USD]]&gt;=56807,"Mid","Low"))</f>
        <v>High</v>
      </c>
      <c r="P151" s="1" t="str">
        <f>IF(tbl_data[[#This Row],[Transmission]]="Automatic","Auto","Manual")</f>
        <v>Manual</v>
      </c>
      <c r="Q151" s="1" t="str">
        <f>IFERROR(IF(VALUE(tbl_data[[#This Row],[Engine_CC]])=0,"",VALUE(tbl_data[[#This Row],[Price_USD]])/VALUE(tbl_data[[#This Row],[Engine_CC]])),"")</f>
        <v/>
      </c>
      <c r="R151" s="1" t="str">
        <f>TRIM(tbl_data[[#This Row],[Brand]])</f>
        <v>Nissan</v>
      </c>
      <c r="S151" s="1">
        <f>_xlfn.NUMBERVALUE(tbl_data[[#This Row],[Price_USD]],".",",")</f>
        <v>4595.8599999999997</v>
      </c>
    </row>
    <row r="152" spans="1:19" x14ac:dyDescent="0.3">
      <c r="A152">
        <v>151</v>
      </c>
      <c r="B152" t="s">
        <v>43</v>
      </c>
      <c r="C152">
        <v>2014</v>
      </c>
      <c r="D152">
        <v>182731</v>
      </c>
      <c r="E152" t="s">
        <v>13</v>
      </c>
      <c r="F152" t="s">
        <v>14</v>
      </c>
      <c r="G152" t="s">
        <v>15</v>
      </c>
      <c r="H152">
        <v>2197</v>
      </c>
      <c r="I152" t="s">
        <v>475</v>
      </c>
      <c r="J152" t="s">
        <v>476</v>
      </c>
      <c r="K152">
        <v>7</v>
      </c>
      <c r="L152" t="s">
        <v>477</v>
      </c>
      <c r="M152" s="1" t="str">
        <f>TEXT(DATE(tbl_data[[#This Row],[Model_Year]],1,1),"yyyy")</f>
        <v>2014</v>
      </c>
      <c r="N152" s="1" t="str">
        <f>IF(tbl_data[[#This Row],[Kilometers_Driven]]&lt;50000,"&lt;50k",
IF(tbl_data[[#This Row],[Kilometers_Driven]]&lt;100000,"50k-100k",
IF(tbl_data[[#This Row],[Kilometers_Driven]]&lt;150000,"100k-150k","150k+")))</f>
        <v>150k+</v>
      </c>
      <c r="O152" s="1" t="str">
        <f>IF(tbl_data[[#This Row],[Price_USD]]&gt;=87089,"High",
IF(tbl_data[[#This Row],[Price_USD]]&gt;=56807,"Mid","Low"))</f>
        <v>High</v>
      </c>
      <c r="P152" s="1" t="str">
        <f>IF(tbl_data[[#This Row],[Transmission]]="Automatic","Auto","Manual")</f>
        <v>Manual</v>
      </c>
      <c r="Q152" s="1" t="str">
        <f>IFERROR(IF(VALUE(tbl_data[[#This Row],[Engine_CC]])=0,"",VALUE(tbl_data[[#This Row],[Price_USD]])/VALUE(tbl_data[[#This Row],[Engine_CC]])),"")</f>
        <v/>
      </c>
      <c r="R152" s="1" t="str">
        <f>TRIM(tbl_data[[#This Row],[Brand]])</f>
        <v>Ford</v>
      </c>
      <c r="S152" s="1">
        <f>_xlfn.NUMBERVALUE(tbl_data[[#This Row],[Price_USD]],".",",")</f>
        <v>38476.69</v>
      </c>
    </row>
    <row r="153" spans="1:19" x14ac:dyDescent="0.3">
      <c r="A153">
        <v>152</v>
      </c>
      <c r="B153" t="s">
        <v>12</v>
      </c>
      <c r="C153">
        <v>2018</v>
      </c>
      <c r="D153">
        <v>45108</v>
      </c>
      <c r="E153" t="s">
        <v>44</v>
      </c>
      <c r="F153" t="s">
        <v>14</v>
      </c>
      <c r="G153" t="s">
        <v>32</v>
      </c>
      <c r="H153">
        <v>1353</v>
      </c>
      <c r="I153" t="s">
        <v>478</v>
      </c>
      <c r="J153" t="s">
        <v>479</v>
      </c>
      <c r="K153">
        <v>6</v>
      </c>
      <c r="L153" t="s">
        <v>480</v>
      </c>
      <c r="M153" s="1" t="str">
        <f>TEXT(DATE(tbl_data[[#This Row],[Model_Year]],1,1),"yyyy")</f>
        <v>2018</v>
      </c>
      <c r="N153" s="1" t="str">
        <f>IF(tbl_data[[#This Row],[Kilometers_Driven]]&lt;50000,"&lt;50k",
IF(tbl_data[[#This Row],[Kilometers_Driven]]&lt;100000,"50k-100k",
IF(tbl_data[[#This Row],[Kilometers_Driven]]&lt;150000,"100k-150k","150k+")))</f>
        <v>&lt;50k</v>
      </c>
      <c r="O153" s="1" t="str">
        <f>IF(tbl_data[[#This Row],[Price_USD]]&gt;=87089,"High",
IF(tbl_data[[#This Row],[Price_USD]]&gt;=56807,"Mid","Low"))</f>
        <v>High</v>
      </c>
      <c r="P153" s="1" t="str">
        <f>IF(tbl_data[[#This Row],[Transmission]]="Automatic","Auto","Manual")</f>
        <v>Manual</v>
      </c>
      <c r="Q153" s="1" t="str">
        <f>IFERROR(IF(VALUE(tbl_data[[#This Row],[Engine_CC]])=0,"",VALUE(tbl_data[[#This Row],[Price_USD]])/VALUE(tbl_data[[#This Row],[Engine_CC]])),"")</f>
        <v/>
      </c>
      <c r="R153" s="1" t="str">
        <f>TRIM(tbl_data[[#This Row],[Brand]])</f>
        <v>Audi</v>
      </c>
      <c r="S153" s="1">
        <f>_xlfn.NUMBERVALUE(tbl_data[[#This Row],[Price_USD]],".",",")</f>
        <v>84664.89</v>
      </c>
    </row>
    <row r="154" spans="1:19" x14ac:dyDescent="0.3">
      <c r="A154">
        <v>153</v>
      </c>
      <c r="B154" t="s">
        <v>69</v>
      </c>
      <c r="C154">
        <v>2021</v>
      </c>
      <c r="D154">
        <v>133955</v>
      </c>
      <c r="E154" t="s">
        <v>13</v>
      </c>
      <c r="F154" t="s">
        <v>14</v>
      </c>
      <c r="G154" t="s">
        <v>32</v>
      </c>
      <c r="H154">
        <v>3150</v>
      </c>
      <c r="I154" t="s">
        <v>481</v>
      </c>
      <c r="J154" t="s">
        <v>482</v>
      </c>
      <c r="K154">
        <v>2</v>
      </c>
      <c r="L154" t="s">
        <v>483</v>
      </c>
      <c r="M154" s="1" t="str">
        <f>TEXT(DATE(tbl_data[[#This Row],[Model_Year]],1,1),"yyyy")</f>
        <v>2021</v>
      </c>
      <c r="N154" s="1" t="str">
        <f>IF(tbl_data[[#This Row],[Kilometers_Driven]]&lt;50000,"&lt;50k",
IF(tbl_data[[#This Row],[Kilometers_Driven]]&lt;100000,"50k-100k",
IF(tbl_data[[#This Row],[Kilometers_Driven]]&lt;150000,"100k-150k","150k+")))</f>
        <v>100k-150k</v>
      </c>
      <c r="O154" s="1" t="str">
        <f>IF(tbl_data[[#This Row],[Price_USD]]&gt;=87089,"High",
IF(tbl_data[[#This Row],[Price_USD]]&gt;=56807,"Mid","Low"))</f>
        <v>High</v>
      </c>
      <c r="P154" s="1" t="str">
        <f>IF(tbl_data[[#This Row],[Transmission]]="Automatic","Auto","Manual")</f>
        <v>Manual</v>
      </c>
      <c r="Q154" s="1" t="str">
        <f>IFERROR(IF(VALUE(tbl_data[[#This Row],[Engine_CC]])=0,"",VALUE(tbl_data[[#This Row],[Price_USD]])/VALUE(tbl_data[[#This Row],[Engine_CC]])),"")</f>
        <v/>
      </c>
      <c r="R154" s="1" t="str">
        <f>TRIM(tbl_data[[#This Row],[Brand]])</f>
        <v>Hyundai</v>
      </c>
      <c r="S154" s="1">
        <f>_xlfn.NUMBERVALUE(tbl_data[[#This Row],[Price_USD]],".",",")</f>
        <v>95460.41</v>
      </c>
    </row>
    <row r="155" spans="1:19" x14ac:dyDescent="0.3">
      <c r="A155">
        <v>154</v>
      </c>
      <c r="B155" t="s">
        <v>25</v>
      </c>
      <c r="C155">
        <v>2022</v>
      </c>
      <c r="D155">
        <v>12967</v>
      </c>
      <c r="E155" t="s">
        <v>31</v>
      </c>
      <c r="F155" t="s">
        <v>14</v>
      </c>
      <c r="G155" t="s">
        <v>32</v>
      </c>
      <c r="H155">
        <v>2069</v>
      </c>
      <c r="I155" t="s">
        <v>484</v>
      </c>
      <c r="J155" t="s">
        <v>97</v>
      </c>
      <c r="K155">
        <v>6</v>
      </c>
      <c r="L155" t="s">
        <v>485</v>
      </c>
      <c r="M155" s="1" t="str">
        <f>TEXT(DATE(tbl_data[[#This Row],[Model_Year]],1,1),"yyyy")</f>
        <v>2022</v>
      </c>
      <c r="N155" s="1" t="str">
        <f>IF(tbl_data[[#This Row],[Kilometers_Driven]]&lt;50000,"&lt;50k",
IF(tbl_data[[#This Row],[Kilometers_Driven]]&lt;100000,"50k-100k",
IF(tbl_data[[#This Row],[Kilometers_Driven]]&lt;150000,"100k-150k","150k+")))</f>
        <v>&lt;50k</v>
      </c>
      <c r="O155" s="1" t="str">
        <f>IF(tbl_data[[#This Row],[Price_USD]]&gt;=87089,"High",
IF(tbl_data[[#This Row],[Price_USD]]&gt;=56807,"Mid","Low"))</f>
        <v>High</v>
      </c>
      <c r="P155" s="1" t="str">
        <f>IF(tbl_data[[#This Row],[Transmission]]="Automatic","Auto","Manual")</f>
        <v>Manual</v>
      </c>
      <c r="Q155" s="1" t="str">
        <f>IFERROR(IF(VALUE(tbl_data[[#This Row],[Engine_CC]])=0,"",VALUE(tbl_data[[#This Row],[Price_USD]])/VALUE(tbl_data[[#This Row],[Engine_CC]])),"")</f>
        <v/>
      </c>
      <c r="R155" s="1" t="str">
        <f>TRIM(tbl_data[[#This Row],[Brand]])</f>
        <v>Kia</v>
      </c>
      <c r="S155" s="1">
        <f>_xlfn.NUMBERVALUE(tbl_data[[#This Row],[Price_USD]],".",",")</f>
        <v>37603.08</v>
      </c>
    </row>
    <row r="156" spans="1:19" x14ac:dyDescent="0.3">
      <c r="A156">
        <v>155</v>
      </c>
      <c r="B156" t="s">
        <v>102</v>
      </c>
      <c r="C156">
        <v>2023</v>
      </c>
      <c r="D156">
        <v>115719</v>
      </c>
      <c r="E156" t="s">
        <v>44</v>
      </c>
      <c r="F156" t="s">
        <v>21</v>
      </c>
      <c r="G156" t="s">
        <v>26</v>
      </c>
      <c r="H156">
        <v>2060</v>
      </c>
      <c r="I156" t="s">
        <v>486</v>
      </c>
      <c r="J156" t="s">
        <v>487</v>
      </c>
      <c r="K156">
        <v>7</v>
      </c>
      <c r="L156" t="s">
        <v>488</v>
      </c>
      <c r="M156" s="1" t="str">
        <f>TEXT(DATE(tbl_data[[#This Row],[Model_Year]],1,1),"yyyy")</f>
        <v>2023</v>
      </c>
      <c r="N156" s="1" t="str">
        <f>IF(tbl_data[[#This Row],[Kilometers_Driven]]&lt;50000,"&lt;50k",
IF(tbl_data[[#This Row],[Kilometers_Driven]]&lt;100000,"50k-100k",
IF(tbl_data[[#This Row],[Kilometers_Driven]]&lt;150000,"100k-150k","150k+")))</f>
        <v>100k-150k</v>
      </c>
      <c r="O156" s="1" t="str">
        <f>IF(tbl_data[[#This Row],[Price_USD]]&gt;=87089,"High",
IF(tbl_data[[#This Row],[Price_USD]]&gt;=56807,"Mid","Low"))</f>
        <v>High</v>
      </c>
      <c r="P156" s="1" t="str">
        <f>IF(tbl_data[[#This Row],[Transmission]]="Automatic","Auto","Manual")</f>
        <v>Auto</v>
      </c>
      <c r="Q156" s="1" t="str">
        <f>IFERROR(IF(VALUE(tbl_data[[#This Row],[Engine_CC]])=0,"",VALUE(tbl_data[[#This Row],[Price_USD]])/VALUE(tbl_data[[#This Row],[Engine_CC]])),"")</f>
        <v/>
      </c>
      <c r="R156" s="1" t="str">
        <f>TRIM(tbl_data[[#This Row],[Brand]])</f>
        <v>Nissan</v>
      </c>
      <c r="S156" s="1">
        <f>_xlfn.NUMBERVALUE(tbl_data[[#This Row],[Price_USD]],".",",")</f>
        <v>60991.51</v>
      </c>
    </row>
    <row r="157" spans="1:19" x14ac:dyDescent="0.3">
      <c r="A157">
        <v>156</v>
      </c>
      <c r="B157" t="s">
        <v>30</v>
      </c>
      <c r="C157">
        <v>2021</v>
      </c>
      <c r="D157">
        <v>16871</v>
      </c>
      <c r="E157" t="s">
        <v>44</v>
      </c>
      <c r="F157" t="s">
        <v>14</v>
      </c>
      <c r="G157" t="s">
        <v>32</v>
      </c>
      <c r="H157">
        <v>984</v>
      </c>
      <c r="I157" t="s">
        <v>489</v>
      </c>
      <c r="J157" t="s">
        <v>490</v>
      </c>
      <c r="K157">
        <v>2</v>
      </c>
      <c r="L157" t="s">
        <v>491</v>
      </c>
      <c r="M157" s="1" t="str">
        <f>TEXT(DATE(tbl_data[[#This Row],[Model_Year]],1,1),"yyyy")</f>
        <v>2021</v>
      </c>
      <c r="N157" s="1" t="str">
        <f>IF(tbl_data[[#This Row],[Kilometers_Driven]]&lt;50000,"&lt;50k",
IF(tbl_data[[#This Row],[Kilometers_Driven]]&lt;100000,"50k-100k",
IF(tbl_data[[#This Row],[Kilometers_Driven]]&lt;150000,"100k-150k","150k+")))</f>
        <v>&lt;50k</v>
      </c>
      <c r="O157" s="1" t="str">
        <f>IF(tbl_data[[#This Row],[Price_USD]]&gt;=87089,"High",
IF(tbl_data[[#This Row],[Price_USD]]&gt;=56807,"Mid","Low"))</f>
        <v>High</v>
      </c>
      <c r="P157" s="1" t="str">
        <f>IF(tbl_data[[#This Row],[Transmission]]="Automatic","Auto","Manual")</f>
        <v>Manual</v>
      </c>
      <c r="Q157" s="1" t="str">
        <f>IFERROR(IF(VALUE(tbl_data[[#This Row],[Engine_CC]])=0,"",VALUE(tbl_data[[#This Row],[Price_USD]])/VALUE(tbl_data[[#This Row],[Engine_CC]])),"")</f>
        <v/>
      </c>
      <c r="R157" s="1" t="str">
        <f>TRIM(tbl_data[[#This Row],[Brand]])</f>
        <v>Mercedes</v>
      </c>
      <c r="S157" s="1">
        <f>_xlfn.NUMBERVALUE(tbl_data[[#This Row],[Price_USD]],".",",")</f>
        <v>52270.91</v>
      </c>
    </row>
    <row r="158" spans="1:19" x14ac:dyDescent="0.3">
      <c r="A158">
        <v>157</v>
      </c>
      <c r="B158" t="s">
        <v>92</v>
      </c>
      <c r="C158">
        <v>2018</v>
      </c>
      <c r="D158">
        <v>169685</v>
      </c>
      <c r="E158" t="s">
        <v>31</v>
      </c>
      <c r="F158" t="s">
        <v>14</v>
      </c>
      <c r="G158" t="s">
        <v>26</v>
      </c>
      <c r="H158">
        <v>3210</v>
      </c>
      <c r="I158" t="s">
        <v>492</v>
      </c>
      <c r="J158" t="s">
        <v>493</v>
      </c>
      <c r="K158">
        <v>5</v>
      </c>
      <c r="L158" t="s">
        <v>494</v>
      </c>
      <c r="M158" s="1" t="str">
        <f>TEXT(DATE(tbl_data[[#This Row],[Model_Year]],1,1),"yyyy")</f>
        <v>2018</v>
      </c>
      <c r="N158" s="1" t="str">
        <f>IF(tbl_data[[#This Row],[Kilometers_Driven]]&lt;50000,"&lt;50k",
IF(tbl_data[[#This Row],[Kilometers_Driven]]&lt;100000,"50k-100k",
IF(tbl_data[[#This Row],[Kilometers_Driven]]&lt;150000,"100k-150k","150k+")))</f>
        <v>150k+</v>
      </c>
      <c r="O158" s="1" t="str">
        <f>IF(tbl_data[[#This Row],[Price_USD]]&gt;=87089,"High",
IF(tbl_data[[#This Row],[Price_USD]]&gt;=56807,"Mid","Low"))</f>
        <v>High</v>
      </c>
      <c r="P158" s="1" t="str">
        <f>IF(tbl_data[[#This Row],[Transmission]]="Automatic","Auto","Manual")</f>
        <v>Manual</v>
      </c>
      <c r="Q158" s="1" t="str">
        <f>IFERROR(IF(VALUE(tbl_data[[#This Row],[Engine_CC]])=0,"",VALUE(tbl_data[[#This Row],[Price_USD]])/VALUE(tbl_data[[#This Row],[Engine_CC]])),"")</f>
        <v/>
      </c>
      <c r="R158" s="1" t="str">
        <f>TRIM(tbl_data[[#This Row],[Brand]])</f>
        <v>Toyota</v>
      </c>
      <c r="S158" s="1">
        <f>_xlfn.NUMBERVALUE(tbl_data[[#This Row],[Price_USD]],".",",")</f>
        <v>51031.17</v>
      </c>
    </row>
    <row r="159" spans="1:19" x14ac:dyDescent="0.3">
      <c r="A159">
        <v>158</v>
      </c>
      <c r="B159" t="s">
        <v>43</v>
      </c>
      <c r="C159">
        <v>2013</v>
      </c>
      <c r="D159">
        <v>33179</v>
      </c>
      <c r="E159" t="s">
        <v>44</v>
      </c>
      <c r="F159" t="s">
        <v>21</v>
      </c>
      <c r="G159" t="s">
        <v>32</v>
      </c>
      <c r="H159">
        <v>3009</v>
      </c>
      <c r="I159" t="s">
        <v>495</v>
      </c>
      <c r="J159" t="s">
        <v>496</v>
      </c>
      <c r="K159">
        <v>2</v>
      </c>
      <c r="L159" t="s">
        <v>497</v>
      </c>
      <c r="M159" s="1" t="str">
        <f>TEXT(DATE(tbl_data[[#This Row],[Model_Year]],1,1),"yyyy")</f>
        <v>2013</v>
      </c>
      <c r="N159" s="1" t="str">
        <f>IF(tbl_data[[#This Row],[Kilometers_Driven]]&lt;50000,"&lt;50k",
IF(tbl_data[[#This Row],[Kilometers_Driven]]&lt;100000,"50k-100k",
IF(tbl_data[[#This Row],[Kilometers_Driven]]&lt;150000,"100k-150k","150k+")))</f>
        <v>&lt;50k</v>
      </c>
      <c r="O159" s="1" t="str">
        <f>IF(tbl_data[[#This Row],[Price_USD]]&gt;=87089,"High",
IF(tbl_data[[#This Row],[Price_USD]]&gt;=56807,"Mid","Low"))</f>
        <v>High</v>
      </c>
      <c r="P159" s="1" t="str">
        <f>IF(tbl_data[[#This Row],[Transmission]]="Automatic","Auto","Manual")</f>
        <v>Auto</v>
      </c>
      <c r="Q159" s="1" t="str">
        <f>IFERROR(IF(VALUE(tbl_data[[#This Row],[Engine_CC]])=0,"",VALUE(tbl_data[[#This Row],[Price_USD]])/VALUE(tbl_data[[#This Row],[Engine_CC]])),"")</f>
        <v/>
      </c>
      <c r="R159" s="1" t="str">
        <f>TRIM(tbl_data[[#This Row],[Brand]])</f>
        <v>Ford</v>
      </c>
      <c r="S159" s="1">
        <f>_xlfn.NUMBERVALUE(tbl_data[[#This Row],[Price_USD]],".",",")</f>
        <v>30067.8</v>
      </c>
    </row>
    <row r="160" spans="1:19" x14ac:dyDescent="0.3">
      <c r="A160">
        <v>159</v>
      </c>
      <c r="B160" t="s">
        <v>39</v>
      </c>
      <c r="C160">
        <v>2012</v>
      </c>
      <c r="D160">
        <v>188260</v>
      </c>
      <c r="E160" t="s">
        <v>20</v>
      </c>
      <c r="F160" t="s">
        <v>21</v>
      </c>
      <c r="G160" t="s">
        <v>32</v>
      </c>
      <c r="H160">
        <v>4472</v>
      </c>
      <c r="I160" t="s">
        <v>498</v>
      </c>
      <c r="J160" t="s">
        <v>499</v>
      </c>
      <c r="K160">
        <v>4</v>
      </c>
      <c r="L160" t="s">
        <v>500</v>
      </c>
      <c r="M160" s="1" t="str">
        <f>TEXT(DATE(tbl_data[[#This Row],[Model_Year]],1,1),"yyyy")</f>
        <v>2012</v>
      </c>
      <c r="N160" s="1" t="str">
        <f>IF(tbl_data[[#This Row],[Kilometers_Driven]]&lt;50000,"&lt;50k",
IF(tbl_data[[#This Row],[Kilometers_Driven]]&lt;100000,"50k-100k",
IF(tbl_data[[#This Row],[Kilometers_Driven]]&lt;150000,"100k-150k","150k+")))</f>
        <v>150k+</v>
      </c>
      <c r="O160" s="1" t="str">
        <f>IF(tbl_data[[#This Row],[Price_USD]]&gt;=87089,"High",
IF(tbl_data[[#This Row],[Price_USD]]&gt;=56807,"Mid","Low"))</f>
        <v>High</v>
      </c>
      <c r="P160" s="1" t="str">
        <f>IF(tbl_data[[#This Row],[Transmission]]="Automatic","Auto","Manual")</f>
        <v>Auto</v>
      </c>
      <c r="Q160" s="1" t="str">
        <f>IFERROR(IF(VALUE(tbl_data[[#This Row],[Engine_CC]])=0,"",VALUE(tbl_data[[#This Row],[Price_USD]])/VALUE(tbl_data[[#This Row],[Engine_CC]])),"")</f>
        <v/>
      </c>
      <c r="R160" s="1" t="str">
        <f>TRIM(tbl_data[[#This Row],[Brand]])</f>
        <v>Volkswagen</v>
      </c>
      <c r="S160" s="1">
        <f>_xlfn.NUMBERVALUE(tbl_data[[#This Row],[Price_USD]],".",",")</f>
        <v>18955.419999999998</v>
      </c>
    </row>
    <row r="161" spans="1:19" x14ac:dyDescent="0.3">
      <c r="A161">
        <v>160</v>
      </c>
      <c r="B161" t="s">
        <v>25</v>
      </c>
      <c r="C161">
        <v>2006</v>
      </c>
      <c r="D161">
        <v>60099</v>
      </c>
      <c r="E161" t="s">
        <v>13</v>
      </c>
      <c r="F161" t="s">
        <v>14</v>
      </c>
      <c r="G161" t="s">
        <v>15</v>
      </c>
      <c r="H161">
        <v>2681</v>
      </c>
      <c r="I161" t="s">
        <v>501</v>
      </c>
      <c r="J161" t="s">
        <v>502</v>
      </c>
      <c r="K161">
        <v>2</v>
      </c>
      <c r="L161" t="s">
        <v>503</v>
      </c>
      <c r="M161" s="1" t="str">
        <f>TEXT(DATE(tbl_data[[#This Row],[Model_Year]],1,1),"yyyy")</f>
        <v>2006</v>
      </c>
      <c r="N161" s="1" t="str">
        <f>IF(tbl_data[[#This Row],[Kilometers_Driven]]&lt;50000,"&lt;50k",
IF(tbl_data[[#This Row],[Kilometers_Driven]]&lt;100000,"50k-100k",
IF(tbl_data[[#This Row],[Kilometers_Driven]]&lt;150000,"100k-150k","150k+")))</f>
        <v>50k-100k</v>
      </c>
      <c r="O161" s="1" t="str">
        <f>IF(tbl_data[[#This Row],[Price_USD]]&gt;=87089,"High",
IF(tbl_data[[#This Row],[Price_USD]]&gt;=56807,"Mid","Low"))</f>
        <v>High</v>
      </c>
      <c r="P161" s="1" t="str">
        <f>IF(tbl_data[[#This Row],[Transmission]]="Automatic","Auto","Manual")</f>
        <v>Manual</v>
      </c>
      <c r="Q161" s="1" t="str">
        <f>IFERROR(IF(VALUE(tbl_data[[#This Row],[Engine_CC]])=0,"",VALUE(tbl_data[[#This Row],[Price_USD]])/VALUE(tbl_data[[#This Row],[Engine_CC]])),"")</f>
        <v/>
      </c>
      <c r="R161" s="1" t="str">
        <f>TRIM(tbl_data[[#This Row],[Brand]])</f>
        <v>Kia</v>
      </c>
      <c r="S161" s="1">
        <f>_xlfn.NUMBERVALUE(tbl_data[[#This Row],[Price_USD]],".",",")</f>
        <v>26012.560000000001</v>
      </c>
    </row>
    <row r="162" spans="1:19" x14ac:dyDescent="0.3">
      <c r="A162">
        <v>161</v>
      </c>
      <c r="B162" t="s">
        <v>69</v>
      </c>
      <c r="C162">
        <v>2017</v>
      </c>
      <c r="D162">
        <v>40262</v>
      </c>
      <c r="E162" t="s">
        <v>13</v>
      </c>
      <c r="F162" t="s">
        <v>21</v>
      </c>
      <c r="G162" t="s">
        <v>32</v>
      </c>
      <c r="H162">
        <v>1321</v>
      </c>
      <c r="I162" t="s">
        <v>504</v>
      </c>
      <c r="J162" t="s">
        <v>505</v>
      </c>
      <c r="K162">
        <v>5</v>
      </c>
      <c r="L162" t="s">
        <v>506</v>
      </c>
      <c r="M162" s="1" t="str">
        <f>TEXT(DATE(tbl_data[[#This Row],[Model_Year]],1,1),"yyyy")</f>
        <v>2017</v>
      </c>
      <c r="N162" s="1" t="str">
        <f>IF(tbl_data[[#This Row],[Kilometers_Driven]]&lt;50000,"&lt;50k",
IF(tbl_data[[#This Row],[Kilometers_Driven]]&lt;100000,"50k-100k",
IF(tbl_data[[#This Row],[Kilometers_Driven]]&lt;150000,"100k-150k","150k+")))</f>
        <v>&lt;50k</v>
      </c>
      <c r="O162" s="1" t="str">
        <f>IF(tbl_data[[#This Row],[Price_USD]]&gt;=87089,"High",
IF(tbl_data[[#This Row],[Price_USD]]&gt;=56807,"Mid","Low"))</f>
        <v>High</v>
      </c>
      <c r="P162" s="1" t="str">
        <f>IF(tbl_data[[#This Row],[Transmission]]="Automatic","Auto","Manual")</f>
        <v>Auto</v>
      </c>
      <c r="Q162" s="1" t="str">
        <f>IFERROR(IF(VALUE(tbl_data[[#This Row],[Engine_CC]])=0,"",VALUE(tbl_data[[#This Row],[Price_USD]])/VALUE(tbl_data[[#This Row],[Engine_CC]])),"")</f>
        <v/>
      </c>
      <c r="R162" s="1" t="str">
        <f>TRIM(tbl_data[[#This Row],[Brand]])</f>
        <v>Hyundai</v>
      </c>
      <c r="S162" s="1">
        <f>_xlfn.NUMBERVALUE(tbl_data[[#This Row],[Price_USD]],".",",")</f>
        <v>9473.89</v>
      </c>
    </row>
    <row r="163" spans="1:19" x14ac:dyDescent="0.3">
      <c r="A163">
        <v>162</v>
      </c>
      <c r="B163" t="s">
        <v>25</v>
      </c>
      <c r="C163">
        <v>2011</v>
      </c>
      <c r="D163">
        <v>83213</v>
      </c>
      <c r="E163" t="s">
        <v>13</v>
      </c>
      <c r="F163" t="s">
        <v>21</v>
      </c>
      <c r="G163" t="s">
        <v>32</v>
      </c>
      <c r="H163">
        <v>2687</v>
      </c>
      <c r="I163" t="s">
        <v>507</v>
      </c>
      <c r="J163" t="s">
        <v>508</v>
      </c>
      <c r="K163">
        <v>6</v>
      </c>
      <c r="L163" t="s">
        <v>509</v>
      </c>
      <c r="M163" s="1" t="str">
        <f>TEXT(DATE(tbl_data[[#This Row],[Model_Year]],1,1),"yyyy")</f>
        <v>2011</v>
      </c>
      <c r="N163" s="1" t="str">
        <f>IF(tbl_data[[#This Row],[Kilometers_Driven]]&lt;50000,"&lt;50k",
IF(tbl_data[[#This Row],[Kilometers_Driven]]&lt;100000,"50k-100k",
IF(tbl_data[[#This Row],[Kilometers_Driven]]&lt;150000,"100k-150k","150k+")))</f>
        <v>50k-100k</v>
      </c>
      <c r="O163" s="1" t="str">
        <f>IF(tbl_data[[#This Row],[Price_USD]]&gt;=87089,"High",
IF(tbl_data[[#This Row],[Price_USD]]&gt;=56807,"Mid","Low"))</f>
        <v>High</v>
      </c>
      <c r="P163" s="1" t="str">
        <f>IF(tbl_data[[#This Row],[Transmission]]="Automatic","Auto","Manual")</f>
        <v>Auto</v>
      </c>
      <c r="Q163" s="1" t="str">
        <f>IFERROR(IF(VALUE(tbl_data[[#This Row],[Engine_CC]])=0,"",VALUE(tbl_data[[#This Row],[Price_USD]])/VALUE(tbl_data[[#This Row],[Engine_CC]])),"")</f>
        <v/>
      </c>
      <c r="R163" s="1" t="str">
        <f>TRIM(tbl_data[[#This Row],[Brand]])</f>
        <v>Kia</v>
      </c>
      <c r="S163" s="1">
        <f>_xlfn.NUMBERVALUE(tbl_data[[#This Row],[Price_USD]],".",",")</f>
        <v>26181.3</v>
      </c>
    </row>
    <row r="164" spans="1:19" x14ac:dyDescent="0.3">
      <c r="A164">
        <v>163</v>
      </c>
      <c r="B164" t="s">
        <v>102</v>
      </c>
      <c r="C164">
        <v>2013</v>
      </c>
      <c r="D164">
        <v>122407</v>
      </c>
      <c r="E164" t="s">
        <v>20</v>
      </c>
      <c r="F164" t="s">
        <v>14</v>
      </c>
      <c r="G164" t="s">
        <v>15</v>
      </c>
      <c r="H164">
        <v>3352</v>
      </c>
      <c r="I164" t="s">
        <v>510</v>
      </c>
      <c r="J164" t="s">
        <v>511</v>
      </c>
      <c r="K164">
        <v>2</v>
      </c>
      <c r="L164" t="s">
        <v>512</v>
      </c>
      <c r="M164" s="1" t="str">
        <f>TEXT(DATE(tbl_data[[#This Row],[Model_Year]],1,1),"yyyy")</f>
        <v>2013</v>
      </c>
      <c r="N164" s="1" t="str">
        <f>IF(tbl_data[[#This Row],[Kilometers_Driven]]&lt;50000,"&lt;50k",
IF(tbl_data[[#This Row],[Kilometers_Driven]]&lt;100000,"50k-100k",
IF(tbl_data[[#This Row],[Kilometers_Driven]]&lt;150000,"100k-150k","150k+")))</f>
        <v>100k-150k</v>
      </c>
      <c r="O164" s="1" t="str">
        <f>IF(tbl_data[[#This Row],[Price_USD]]&gt;=87089,"High",
IF(tbl_data[[#This Row],[Price_USD]]&gt;=56807,"Mid","Low"))</f>
        <v>High</v>
      </c>
      <c r="P164" s="1" t="str">
        <f>IF(tbl_data[[#This Row],[Transmission]]="Automatic","Auto","Manual")</f>
        <v>Manual</v>
      </c>
      <c r="Q164" s="1" t="str">
        <f>IFERROR(IF(VALUE(tbl_data[[#This Row],[Engine_CC]])=0,"",VALUE(tbl_data[[#This Row],[Price_USD]])/VALUE(tbl_data[[#This Row],[Engine_CC]])),"")</f>
        <v/>
      </c>
      <c r="R164" s="1" t="str">
        <f>TRIM(tbl_data[[#This Row],[Brand]])</f>
        <v>Nissan</v>
      </c>
      <c r="S164" s="1">
        <f>_xlfn.NUMBERVALUE(tbl_data[[#This Row],[Price_USD]],".",",")</f>
        <v>4076.51</v>
      </c>
    </row>
    <row r="165" spans="1:19" x14ac:dyDescent="0.3">
      <c r="A165">
        <v>164</v>
      </c>
      <c r="B165" t="s">
        <v>19</v>
      </c>
      <c r="C165">
        <v>2015</v>
      </c>
      <c r="D165">
        <v>154340</v>
      </c>
      <c r="E165" t="s">
        <v>13</v>
      </c>
      <c r="F165" t="s">
        <v>14</v>
      </c>
      <c r="G165" t="s">
        <v>26</v>
      </c>
      <c r="H165">
        <v>4609</v>
      </c>
      <c r="I165" t="s">
        <v>513</v>
      </c>
      <c r="J165" t="s">
        <v>514</v>
      </c>
      <c r="K165">
        <v>2</v>
      </c>
      <c r="L165" t="s">
        <v>515</v>
      </c>
      <c r="M165" s="1" t="str">
        <f>TEXT(DATE(tbl_data[[#This Row],[Model_Year]],1,1),"yyyy")</f>
        <v>2015</v>
      </c>
      <c r="N165" s="1" t="str">
        <f>IF(tbl_data[[#This Row],[Kilometers_Driven]]&lt;50000,"&lt;50k",
IF(tbl_data[[#This Row],[Kilometers_Driven]]&lt;100000,"50k-100k",
IF(tbl_data[[#This Row],[Kilometers_Driven]]&lt;150000,"100k-150k","150k+")))</f>
        <v>150k+</v>
      </c>
      <c r="O165" s="1" t="str">
        <f>IF(tbl_data[[#This Row],[Price_USD]]&gt;=87089,"High",
IF(tbl_data[[#This Row],[Price_USD]]&gt;=56807,"Mid","Low"))</f>
        <v>High</v>
      </c>
      <c r="P165" s="1" t="str">
        <f>IF(tbl_data[[#This Row],[Transmission]]="Automatic","Auto","Manual")</f>
        <v>Manual</v>
      </c>
      <c r="Q165" s="1" t="str">
        <f>IFERROR(IF(VALUE(tbl_data[[#This Row],[Engine_CC]])=0,"",VALUE(tbl_data[[#This Row],[Price_USD]])/VALUE(tbl_data[[#This Row],[Engine_CC]])),"")</f>
        <v/>
      </c>
      <c r="R165" s="1" t="str">
        <f>TRIM(tbl_data[[#This Row],[Brand]])</f>
        <v>BMW</v>
      </c>
      <c r="S165" s="1">
        <f>_xlfn.NUMBERVALUE(tbl_data[[#This Row],[Price_USD]],".",",")</f>
        <v>76389.23</v>
      </c>
    </row>
    <row r="166" spans="1:19" x14ac:dyDescent="0.3">
      <c r="A166">
        <v>165</v>
      </c>
      <c r="B166" t="s">
        <v>92</v>
      </c>
      <c r="C166">
        <v>2018</v>
      </c>
      <c r="D166">
        <v>91269</v>
      </c>
      <c r="E166" t="s">
        <v>31</v>
      </c>
      <c r="F166" t="s">
        <v>21</v>
      </c>
      <c r="G166" t="s">
        <v>26</v>
      </c>
      <c r="H166">
        <v>4955</v>
      </c>
      <c r="I166" t="s">
        <v>516</v>
      </c>
      <c r="J166" t="s">
        <v>517</v>
      </c>
      <c r="K166">
        <v>2</v>
      </c>
      <c r="L166" t="s">
        <v>518</v>
      </c>
      <c r="M166" s="1" t="str">
        <f>TEXT(DATE(tbl_data[[#This Row],[Model_Year]],1,1),"yyyy")</f>
        <v>2018</v>
      </c>
      <c r="N166" s="1" t="str">
        <f>IF(tbl_data[[#This Row],[Kilometers_Driven]]&lt;50000,"&lt;50k",
IF(tbl_data[[#This Row],[Kilometers_Driven]]&lt;100000,"50k-100k",
IF(tbl_data[[#This Row],[Kilometers_Driven]]&lt;150000,"100k-150k","150k+")))</f>
        <v>50k-100k</v>
      </c>
      <c r="O166" s="1" t="str">
        <f>IF(tbl_data[[#This Row],[Price_USD]]&gt;=87089,"High",
IF(tbl_data[[#This Row],[Price_USD]]&gt;=56807,"Mid","Low"))</f>
        <v>High</v>
      </c>
      <c r="P166" s="1" t="str">
        <f>IF(tbl_data[[#This Row],[Transmission]]="Automatic","Auto","Manual")</f>
        <v>Auto</v>
      </c>
      <c r="Q166" s="1" t="str">
        <f>IFERROR(IF(VALUE(tbl_data[[#This Row],[Engine_CC]])=0,"",VALUE(tbl_data[[#This Row],[Price_USD]])/VALUE(tbl_data[[#This Row],[Engine_CC]])),"")</f>
        <v/>
      </c>
      <c r="R166" s="1" t="str">
        <f>TRIM(tbl_data[[#This Row],[Brand]])</f>
        <v>Toyota</v>
      </c>
      <c r="S166" s="1">
        <f>_xlfn.NUMBERVALUE(tbl_data[[#This Row],[Price_USD]],".",",")</f>
        <v>40015.919999999998</v>
      </c>
    </row>
    <row r="167" spans="1:19" x14ac:dyDescent="0.3">
      <c r="A167">
        <v>166</v>
      </c>
      <c r="B167" t="s">
        <v>92</v>
      </c>
      <c r="C167">
        <v>2008</v>
      </c>
      <c r="D167">
        <v>65545</v>
      </c>
      <c r="E167" t="s">
        <v>44</v>
      </c>
      <c r="F167" t="s">
        <v>14</v>
      </c>
      <c r="G167" t="s">
        <v>32</v>
      </c>
      <c r="H167">
        <v>4279</v>
      </c>
      <c r="I167" t="s">
        <v>519</v>
      </c>
      <c r="J167" t="s">
        <v>116</v>
      </c>
      <c r="K167">
        <v>2</v>
      </c>
      <c r="L167" t="s">
        <v>520</v>
      </c>
      <c r="M167" s="1" t="str">
        <f>TEXT(DATE(tbl_data[[#This Row],[Model_Year]],1,1),"yyyy")</f>
        <v>2008</v>
      </c>
      <c r="N167" s="1" t="str">
        <f>IF(tbl_data[[#This Row],[Kilometers_Driven]]&lt;50000,"&lt;50k",
IF(tbl_data[[#This Row],[Kilometers_Driven]]&lt;100000,"50k-100k",
IF(tbl_data[[#This Row],[Kilometers_Driven]]&lt;150000,"100k-150k","150k+")))</f>
        <v>50k-100k</v>
      </c>
      <c r="O167" s="1" t="str">
        <f>IF(tbl_data[[#This Row],[Price_USD]]&gt;=87089,"High",
IF(tbl_data[[#This Row],[Price_USD]]&gt;=56807,"Mid","Low"))</f>
        <v>High</v>
      </c>
      <c r="P167" s="1" t="str">
        <f>IF(tbl_data[[#This Row],[Transmission]]="Automatic","Auto","Manual")</f>
        <v>Manual</v>
      </c>
      <c r="Q167" s="1" t="str">
        <f>IFERROR(IF(VALUE(tbl_data[[#This Row],[Engine_CC]])=0,"",VALUE(tbl_data[[#This Row],[Price_USD]])/VALUE(tbl_data[[#This Row],[Engine_CC]])),"")</f>
        <v/>
      </c>
      <c r="R167" s="1" t="str">
        <f>TRIM(tbl_data[[#This Row],[Brand]])</f>
        <v>Toyota</v>
      </c>
      <c r="S167" s="1">
        <f>_xlfn.NUMBERVALUE(tbl_data[[#This Row],[Price_USD]],".",",")</f>
        <v>116857.93</v>
      </c>
    </row>
    <row r="168" spans="1:19" x14ac:dyDescent="0.3">
      <c r="A168">
        <v>167</v>
      </c>
      <c r="B168" t="s">
        <v>39</v>
      </c>
      <c r="C168">
        <v>2017</v>
      </c>
      <c r="D168">
        <v>44922</v>
      </c>
      <c r="E168" t="s">
        <v>20</v>
      </c>
      <c r="F168" t="s">
        <v>14</v>
      </c>
      <c r="G168" t="s">
        <v>26</v>
      </c>
      <c r="H168">
        <v>2209</v>
      </c>
      <c r="I168" t="s">
        <v>521</v>
      </c>
      <c r="J168" t="s">
        <v>522</v>
      </c>
      <c r="K168">
        <v>5</v>
      </c>
      <c r="L168" t="s">
        <v>523</v>
      </c>
      <c r="M168" s="1" t="str">
        <f>TEXT(DATE(tbl_data[[#This Row],[Model_Year]],1,1),"yyyy")</f>
        <v>2017</v>
      </c>
      <c r="N168" s="1" t="str">
        <f>IF(tbl_data[[#This Row],[Kilometers_Driven]]&lt;50000,"&lt;50k",
IF(tbl_data[[#This Row],[Kilometers_Driven]]&lt;100000,"50k-100k",
IF(tbl_data[[#This Row],[Kilometers_Driven]]&lt;150000,"100k-150k","150k+")))</f>
        <v>&lt;50k</v>
      </c>
      <c r="O168" s="1" t="str">
        <f>IF(tbl_data[[#This Row],[Price_USD]]&gt;=87089,"High",
IF(tbl_data[[#This Row],[Price_USD]]&gt;=56807,"Mid","Low"))</f>
        <v>High</v>
      </c>
      <c r="P168" s="1" t="str">
        <f>IF(tbl_data[[#This Row],[Transmission]]="Automatic","Auto","Manual")</f>
        <v>Manual</v>
      </c>
      <c r="Q168" s="1" t="str">
        <f>IFERROR(IF(VALUE(tbl_data[[#This Row],[Engine_CC]])=0,"",VALUE(tbl_data[[#This Row],[Price_USD]])/VALUE(tbl_data[[#This Row],[Engine_CC]])),"")</f>
        <v/>
      </c>
      <c r="R168" s="1" t="str">
        <f>TRIM(tbl_data[[#This Row],[Brand]])</f>
        <v>Volkswagen</v>
      </c>
      <c r="S168" s="1">
        <f>_xlfn.NUMBERVALUE(tbl_data[[#This Row],[Price_USD]],".",",")</f>
        <v>25664.89</v>
      </c>
    </row>
    <row r="169" spans="1:19" x14ac:dyDescent="0.3">
      <c r="A169">
        <v>168</v>
      </c>
      <c r="B169" t="s">
        <v>19</v>
      </c>
      <c r="C169">
        <v>2006</v>
      </c>
      <c r="D169">
        <v>47913</v>
      </c>
      <c r="E169" t="s">
        <v>13</v>
      </c>
      <c r="F169" t="s">
        <v>21</v>
      </c>
      <c r="G169" t="s">
        <v>32</v>
      </c>
      <c r="H169">
        <v>2494</v>
      </c>
      <c r="I169" t="s">
        <v>524</v>
      </c>
      <c r="J169" t="s">
        <v>525</v>
      </c>
      <c r="K169">
        <v>7</v>
      </c>
      <c r="L169" t="s">
        <v>526</v>
      </c>
      <c r="M169" s="1" t="str">
        <f>TEXT(DATE(tbl_data[[#This Row],[Model_Year]],1,1),"yyyy")</f>
        <v>2006</v>
      </c>
      <c r="N169" s="1" t="str">
        <f>IF(tbl_data[[#This Row],[Kilometers_Driven]]&lt;50000,"&lt;50k",
IF(tbl_data[[#This Row],[Kilometers_Driven]]&lt;100000,"50k-100k",
IF(tbl_data[[#This Row],[Kilometers_Driven]]&lt;150000,"100k-150k","150k+")))</f>
        <v>&lt;50k</v>
      </c>
      <c r="O169" s="1" t="str">
        <f>IF(tbl_data[[#This Row],[Price_USD]]&gt;=87089,"High",
IF(tbl_data[[#This Row],[Price_USD]]&gt;=56807,"Mid","Low"))</f>
        <v>High</v>
      </c>
      <c r="P169" s="1" t="str">
        <f>IF(tbl_data[[#This Row],[Transmission]]="Automatic","Auto","Manual")</f>
        <v>Auto</v>
      </c>
      <c r="Q169" s="1" t="str">
        <f>IFERROR(IF(VALUE(tbl_data[[#This Row],[Engine_CC]])=0,"",VALUE(tbl_data[[#This Row],[Price_USD]])/VALUE(tbl_data[[#This Row],[Engine_CC]])),"")</f>
        <v/>
      </c>
      <c r="R169" s="1" t="str">
        <f>TRIM(tbl_data[[#This Row],[Brand]])</f>
        <v>BMW</v>
      </c>
      <c r="S169" s="1">
        <f>_xlfn.NUMBERVALUE(tbl_data[[#This Row],[Price_USD]],".",",")</f>
        <v>43461.94</v>
      </c>
    </row>
    <row r="170" spans="1:19" x14ac:dyDescent="0.3">
      <c r="A170">
        <v>169</v>
      </c>
      <c r="B170" t="s">
        <v>12</v>
      </c>
      <c r="C170">
        <v>2009</v>
      </c>
      <c r="D170">
        <v>102033</v>
      </c>
      <c r="E170" t="s">
        <v>31</v>
      </c>
      <c r="F170" t="s">
        <v>14</v>
      </c>
      <c r="G170" t="s">
        <v>15</v>
      </c>
      <c r="H170">
        <v>1326</v>
      </c>
      <c r="I170" t="s">
        <v>527</v>
      </c>
      <c r="J170" t="s">
        <v>528</v>
      </c>
      <c r="K170">
        <v>7</v>
      </c>
      <c r="L170" t="s">
        <v>529</v>
      </c>
      <c r="M170" s="1" t="str">
        <f>TEXT(DATE(tbl_data[[#This Row],[Model_Year]],1,1),"yyyy")</f>
        <v>2009</v>
      </c>
      <c r="N170" s="1" t="str">
        <f>IF(tbl_data[[#This Row],[Kilometers_Driven]]&lt;50000,"&lt;50k",
IF(tbl_data[[#This Row],[Kilometers_Driven]]&lt;100000,"50k-100k",
IF(tbl_data[[#This Row],[Kilometers_Driven]]&lt;150000,"100k-150k","150k+")))</f>
        <v>100k-150k</v>
      </c>
      <c r="O170" s="1" t="str">
        <f>IF(tbl_data[[#This Row],[Price_USD]]&gt;=87089,"High",
IF(tbl_data[[#This Row],[Price_USD]]&gt;=56807,"Mid","Low"))</f>
        <v>High</v>
      </c>
      <c r="P170" s="1" t="str">
        <f>IF(tbl_data[[#This Row],[Transmission]]="Automatic","Auto","Manual")</f>
        <v>Manual</v>
      </c>
      <c r="Q170" s="1" t="str">
        <f>IFERROR(IF(VALUE(tbl_data[[#This Row],[Engine_CC]])=0,"",VALUE(tbl_data[[#This Row],[Price_USD]])/VALUE(tbl_data[[#This Row],[Engine_CC]])),"")</f>
        <v/>
      </c>
      <c r="R170" s="1" t="str">
        <f>TRIM(tbl_data[[#This Row],[Brand]])</f>
        <v>Audi</v>
      </c>
      <c r="S170" s="1">
        <f>_xlfn.NUMBERVALUE(tbl_data[[#This Row],[Price_USD]],".",",")</f>
        <v>44867.42</v>
      </c>
    </row>
    <row r="171" spans="1:19" x14ac:dyDescent="0.3">
      <c r="A171">
        <v>170</v>
      </c>
      <c r="B171" t="s">
        <v>76</v>
      </c>
      <c r="C171">
        <v>2015</v>
      </c>
      <c r="D171">
        <v>109792</v>
      </c>
      <c r="E171" t="s">
        <v>44</v>
      </c>
      <c r="F171" t="s">
        <v>14</v>
      </c>
      <c r="G171" t="s">
        <v>15</v>
      </c>
      <c r="H171">
        <v>3460</v>
      </c>
      <c r="I171" t="s">
        <v>530</v>
      </c>
      <c r="J171" t="s">
        <v>531</v>
      </c>
      <c r="K171">
        <v>2</v>
      </c>
      <c r="L171" t="s">
        <v>532</v>
      </c>
      <c r="M171" s="1" t="str">
        <f>TEXT(DATE(tbl_data[[#This Row],[Model_Year]],1,1),"yyyy")</f>
        <v>2015</v>
      </c>
      <c r="N171" s="1" t="str">
        <f>IF(tbl_data[[#This Row],[Kilometers_Driven]]&lt;50000,"&lt;50k",
IF(tbl_data[[#This Row],[Kilometers_Driven]]&lt;100000,"50k-100k",
IF(tbl_data[[#This Row],[Kilometers_Driven]]&lt;150000,"100k-150k","150k+")))</f>
        <v>100k-150k</v>
      </c>
      <c r="O171" s="1" t="str">
        <f>IF(tbl_data[[#This Row],[Price_USD]]&gt;=87089,"High",
IF(tbl_data[[#This Row],[Price_USD]]&gt;=56807,"Mid","Low"))</f>
        <v>High</v>
      </c>
      <c r="P171" s="1" t="str">
        <f>IF(tbl_data[[#This Row],[Transmission]]="Automatic","Auto","Manual")</f>
        <v>Manual</v>
      </c>
      <c r="Q171" s="1" t="str">
        <f>IFERROR(IF(VALUE(tbl_data[[#This Row],[Engine_CC]])=0,"",VALUE(tbl_data[[#This Row],[Price_USD]])/VALUE(tbl_data[[#This Row],[Engine_CC]])),"")</f>
        <v/>
      </c>
      <c r="R171" s="1" t="str">
        <f>TRIM(tbl_data[[#This Row],[Brand]])</f>
        <v>Honda</v>
      </c>
      <c r="S171" s="1">
        <f>_xlfn.NUMBERVALUE(tbl_data[[#This Row],[Price_USD]],".",",")</f>
        <v>3988.83</v>
      </c>
    </row>
    <row r="172" spans="1:19" x14ac:dyDescent="0.3">
      <c r="A172">
        <v>171</v>
      </c>
      <c r="B172" t="s">
        <v>43</v>
      </c>
      <c r="C172">
        <v>2010</v>
      </c>
      <c r="D172">
        <v>191749</v>
      </c>
      <c r="E172" t="s">
        <v>44</v>
      </c>
      <c r="F172" t="s">
        <v>14</v>
      </c>
      <c r="G172" t="s">
        <v>32</v>
      </c>
      <c r="H172">
        <v>2972</v>
      </c>
      <c r="I172" t="s">
        <v>533</v>
      </c>
      <c r="J172" t="s">
        <v>534</v>
      </c>
      <c r="K172">
        <v>5</v>
      </c>
      <c r="L172" t="s">
        <v>535</v>
      </c>
      <c r="M172" s="1" t="str">
        <f>TEXT(DATE(tbl_data[[#This Row],[Model_Year]],1,1),"yyyy")</f>
        <v>2010</v>
      </c>
      <c r="N172" s="1" t="str">
        <f>IF(tbl_data[[#This Row],[Kilometers_Driven]]&lt;50000,"&lt;50k",
IF(tbl_data[[#This Row],[Kilometers_Driven]]&lt;100000,"50k-100k",
IF(tbl_data[[#This Row],[Kilometers_Driven]]&lt;150000,"100k-150k","150k+")))</f>
        <v>150k+</v>
      </c>
      <c r="O172" s="1" t="str">
        <f>IF(tbl_data[[#This Row],[Price_USD]]&gt;=87089,"High",
IF(tbl_data[[#This Row],[Price_USD]]&gt;=56807,"Mid","Low"))</f>
        <v>High</v>
      </c>
      <c r="P172" s="1" t="str">
        <f>IF(tbl_data[[#This Row],[Transmission]]="Automatic","Auto","Manual")</f>
        <v>Manual</v>
      </c>
      <c r="Q172" s="1" t="str">
        <f>IFERROR(IF(VALUE(tbl_data[[#This Row],[Engine_CC]])=0,"",VALUE(tbl_data[[#This Row],[Price_USD]])/VALUE(tbl_data[[#This Row],[Engine_CC]])),"")</f>
        <v/>
      </c>
      <c r="R172" s="1" t="str">
        <f>TRIM(tbl_data[[#This Row],[Brand]])</f>
        <v>Ford</v>
      </c>
      <c r="S172" s="1">
        <f>_xlfn.NUMBERVALUE(tbl_data[[#This Row],[Price_USD]],".",",")</f>
        <v>101187.33</v>
      </c>
    </row>
    <row r="173" spans="1:19" x14ac:dyDescent="0.3">
      <c r="A173">
        <v>172</v>
      </c>
      <c r="B173" t="s">
        <v>92</v>
      </c>
      <c r="C173">
        <v>2022</v>
      </c>
      <c r="D173">
        <v>185913</v>
      </c>
      <c r="E173" t="s">
        <v>20</v>
      </c>
      <c r="F173" t="s">
        <v>14</v>
      </c>
      <c r="G173" t="s">
        <v>15</v>
      </c>
      <c r="H173">
        <v>1079</v>
      </c>
      <c r="I173" t="s">
        <v>536</v>
      </c>
      <c r="J173" t="s">
        <v>537</v>
      </c>
      <c r="K173">
        <v>5</v>
      </c>
      <c r="L173" t="s">
        <v>538</v>
      </c>
      <c r="M173" s="1" t="str">
        <f>TEXT(DATE(tbl_data[[#This Row],[Model_Year]],1,1),"yyyy")</f>
        <v>2022</v>
      </c>
      <c r="N173" s="1" t="str">
        <f>IF(tbl_data[[#This Row],[Kilometers_Driven]]&lt;50000,"&lt;50k",
IF(tbl_data[[#This Row],[Kilometers_Driven]]&lt;100000,"50k-100k",
IF(tbl_data[[#This Row],[Kilometers_Driven]]&lt;150000,"100k-150k","150k+")))</f>
        <v>150k+</v>
      </c>
      <c r="O173" s="1" t="str">
        <f>IF(tbl_data[[#This Row],[Price_USD]]&gt;=87089,"High",
IF(tbl_data[[#This Row],[Price_USD]]&gt;=56807,"Mid","Low"))</f>
        <v>High</v>
      </c>
      <c r="P173" s="1" t="str">
        <f>IF(tbl_data[[#This Row],[Transmission]]="Automatic","Auto","Manual")</f>
        <v>Manual</v>
      </c>
      <c r="Q173" s="1" t="str">
        <f>IFERROR(IF(VALUE(tbl_data[[#This Row],[Engine_CC]])=0,"",VALUE(tbl_data[[#This Row],[Price_USD]])/VALUE(tbl_data[[#This Row],[Engine_CC]])),"")</f>
        <v/>
      </c>
      <c r="R173" s="1" t="str">
        <f>TRIM(tbl_data[[#This Row],[Brand]])</f>
        <v>Toyota</v>
      </c>
      <c r="S173" s="1">
        <f>_xlfn.NUMBERVALUE(tbl_data[[#This Row],[Price_USD]],".",",")</f>
        <v>6743.35</v>
      </c>
    </row>
    <row r="174" spans="1:19" x14ac:dyDescent="0.3">
      <c r="A174">
        <v>173</v>
      </c>
      <c r="B174" t="s">
        <v>30</v>
      </c>
      <c r="C174">
        <v>2014</v>
      </c>
      <c r="D174">
        <v>182404</v>
      </c>
      <c r="E174" t="s">
        <v>20</v>
      </c>
      <c r="F174" t="s">
        <v>14</v>
      </c>
      <c r="G174" t="s">
        <v>15</v>
      </c>
      <c r="H174">
        <v>3764</v>
      </c>
      <c r="I174" t="s">
        <v>539</v>
      </c>
      <c r="J174" t="s">
        <v>540</v>
      </c>
      <c r="K174">
        <v>2</v>
      </c>
      <c r="L174" t="s">
        <v>541</v>
      </c>
      <c r="M174" s="1" t="str">
        <f>TEXT(DATE(tbl_data[[#This Row],[Model_Year]],1,1),"yyyy")</f>
        <v>2014</v>
      </c>
      <c r="N174" s="1" t="str">
        <f>IF(tbl_data[[#This Row],[Kilometers_Driven]]&lt;50000,"&lt;50k",
IF(tbl_data[[#This Row],[Kilometers_Driven]]&lt;100000,"50k-100k",
IF(tbl_data[[#This Row],[Kilometers_Driven]]&lt;150000,"100k-150k","150k+")))</f>
        <v>150k+</v>
      </c>
      <c r="O174" s="1" t="str">
        <f>IF(tbl_data[[#This Row],[Price_USD]]&gt;=87089,"High",
IF(tbl_data[[#This Row],[Price_USD]]&gt;=56807,"Mid","Low"))</f>
        <v>High</v>
      </c>
      <c r="P174" s="1" t="str">
        <f>IF(tbl_data[[#This Row],[Transmission]]="Automatic","Auto","Manual")</f>
        <v>Manual</v>
      </c>
      <c r="Q174" s="1" t="str">
        <f>IFERROR(IF(VALUE(tbl_data[[#This Row],[Engine_CC]])=0,"",VALUE(tbl_data[[#This Row],[Price_USD]])/VALUE(tbl_data[[#This Row],[Engine_CC]])),"")</f>
        <v/>
      </c>
      <c r="R174" s="1" t="str">
        <f>TRIM(tbl_data[[#This Row],[Brand]])</f>
        <v>Mercedes</v>
      </c>
      <c r="S174" s="1">
        <f>_xlfn.NUMBERVALUE(tbl_data[[#This Row],[Price_USD]],".",",")</f>
        <v>113001.04</v>
      </c>
    </row>
    <row r="175" spans="1:19" x14ac:dyDescent="0.3">
      <c r="A175">
        <v>174</v>
      </c>
      <c r="B175" t="s">
        <v>92</v>
      </c>
      <c r="C175">
        <v>2008</v>
      </c>
      <c r="D175">
        <v>124863</v>
      </c>
      <c r="E175" t="s">
        <v>20</v>
      </c>
      <c r="F175" t="s">
        <v>21</v>
      </c>
      <c r="G175" t="s">
        <v>32</v>
      </c>
      <c r="H175">
        <v>4777</v>
      </c>
      <c r="I175" t="s">
        <v>542</v>
      </c>
      <c r="J175" t="s">
        <v>543</v>
      </c>
      <c r="K175">
        <v>4</v>
      </c>
      <c r="L175" t="s">
        <v>544</v>
      </c>
      <c r="M175" s="1" t="str">
        <f>TEXT(DATE(tbl_data[[#This Row],[Model_Year]],1,1),"yyyy")</f>
        <v>2008</v>
      </c>
      <c r="N175" s="1" t="str">
        <f>IF(tbl_data[[#This Row],[Kilometers_Driven]]&lt;50000,"&lt;50k",
IF(tbl_data[[#This Row],[Kilometers_Driven]]&lt;100000,"50k-100k",
IF(tbl_data[[#This Row],[Kilometers_Driven]]&lt;150000,"100k-150k","150k+")))</f>
        <v>100k-150k</v>
      </c>
      <c r="O175" s="1" t="str">
        <f>IF(tbl_data[[#This Row],[Price_USD]]&gt;=87089,"High",
IF(tbl_data[[#This Row],[Price_USD]]&gt;=56807,"Mid","Low"))</f>
        <v>High</v>
      </c>
      <c r="P175" s="1" t="str">
        <f>IF(tbl_data[[#This Row],[Transmission]]="Automatic","Auto","Manual")</f>
        <v>Auto</v>
      </c>
      <c r="Q175" s="1" t="str">
        <f>IFERROR(IF(VALUE(tbl_data[[#This Row],[Engine_CC]])=0,"",VALUE(tbl_data[[#This Row],[Price_USD]])/VALUE(tbl_data[[#This Row],[Engine_CC]])),"")</f>
        <v/>
      </c>
      <c r="R175" s="1" t="str">
        <f>TRIM(tbl_data[[#This Row],[Brand]])</f>
        <v>Toyota</v>
      </c>
      <c r="S175" s="1">
        <f>_xlfn.NUMBERVALUE(tbl_data[[#This Row],[Price_USD]],".",",")</f>
        <v>107372.7</v>
      </c>
    </row>
    <row r="176" spans="1:19" x14ac:dyDescent="0.3">
      <c r="A176">
        <v>175</v>
      </c>
      <c r="B176" t="s">
        <v>25</v>
      </c>
      <c r="C176">
        <v>2013</v>
      </c>
      <c r="D176">
        <v>161104</v>
      </c>
      <c r="E176" t="s">
        <v>31</v>
      </c>
      <c r="F176" t="s">
        <v>21</v>
      </c>
      <c r="G176" t="s">
        <v>32</v>
      </c>
      <c r="H176">
        <v>3469</v>
      </c>
      <c r="I176" t="s">
        <v>545</v>
      </c>
      <c r="J176" t="s">
        <v>546</v>
      </c>
      <c r="K176">
        <v>2</v>
      </c>
      <c r="L176" t="s">
        <v>547</v>
      </c>
      <c r="M176" s="1" t="str">
        <f>TEXT(DATE(tbl_data[[#This Row],[Model_Year]],1,1),"yyyy")</f>
        <v>2013</v>
      </c>
      <c r="N176" s="1" t="str">
        <f>IF(tbl_data[[#This Row],[Kilometers_Driven]]&lt;50000,"&lt;50k",
IF(tbl_data[[#This Row],[Kilometers_Driven]]&lt;100000,"50k-100k",
IF(tbl_data[[#This Row],[Kilometers_Driven]]&lt;150000,"100k-150k","150k+")))</f>
        <v>150k+</v>
      </c>
      <c r="O176" s="1" t="str">
        <f>IF(tbl_data[[#This Row],[Price_USD]]&gt;=87089,"High",
IF(tbl_data[[#This Row],[Price_USD]]&gt;=56807,"Mid","Low"))</f>
        <v>High</v>
      </c>
      <c r="P176" s="1" t="str">
        <f>IF(tbl_data[[#This Row],[Transmission]]="Automatic","Auto","Manual")</f>
        <v>Auto</v>
      </c>
      <c r="Q176" s="1" t="str">
        <f>IFERROR(IF(VALUE(tbl_data[[#This Row],[Engine_CC]])=0,"",VALUE(tbl_data[[#This Row],[Price_USD]])/VALUE(tbl_data[[#This Row],[Engine_CC]])),"")</f>
        <v/>
      </c>
      <c r="R176" s="1" t="str">
        <f>TRIM(tbl_data[[#This Row],[Brand]])</f>
        <v>Kia</v>
      </c>
      <c r="S176" s="1">
        <f>_xlfn.NUMBERVALUE(tbl_data[[#This Row],[Price_USD]],".",",")</f>
        <v>65656.06</v>
      </c>
    </row>
    <row r="177" spans="1:19" x14ac:dyDescent="0.3">
      <c r="A177">
        <v>176</v>
      </c>
      <c r="B177" t="s">
        <v>92</v>
      </c>
      <c r="C177">
        <v>2010</v>
      </c>
      <c r="D177">
        <v>173918</v>
      </c>
      <c r="E177" t="s">
        <v>31</v>
      </c>
      <c r="F177" t="s">
        <v>14</v>
      </c>
      <c r="G177" t="s">
        <v>15</v>
      </c>
      <c r="H177">
        <v>3693</v>
      </c>
      <c r="I177" t="s">
        <v>548</v>
      </c>
      <c r="J177" t="s">
        <v>549</v>
      </c>
      <c r="K177">
        <v>4</v>
      </c>
      <c r="L177" t="s">
        <v>550</v>
      </c>
      <c r="M177" s="1" t="str">
        <f>TEXT(DATE(tbl_data[[#This Row],[Model_Year]],1,1),"yyyy")</f>
        <v>2010</v>
      </c>
      <c r="N177" s="1" t="str">
        <f>IF(tbl_data[[#This Row],[Kilometers_Driven]]&lt;50000,"&lt;50k",
IF(tbl_data[[#This Row],[Kilometers_Driven]]&lt;100000,"50k-100k",
IF(tbl_data[[#This Row],[Kilometers_Driven]]&lt;150000,"100k-150k","150k+")))</f>
        <v>150k+</v>
      </c>
      <c r="O177" s="1" t="str">
        <f>IF(tbl_data[[#This Row],[Price_USD]]&gt;=87089,"High",
IF(tbl_data[[#This Row],[Price_USD]]&gt;=56807,"Mid","Low"))</f>
        <v>High</v>
      </c>
      <c r="P177" s="1" t="str">
        <f>IF(tbl_data[[#This Row],[Transmission]]="Automatic","Auto","Manual")</f>
        <v>Manual</v>
      </c>
      <c r="Q177" s="1" t="str">
        <f>IFERROR(IF(VALUE(tbl_data[[#This Row],[Engine_CC]])=0,"",VALUE(tbl_data[[#This Row],[Price_USD]])/VALUE(tbl_data[[#This Row],[Engine_CC]])),"")</f>
        <v/>
      </c>
      <c r="R177" s="1" t="str">
        <f>TRIM(tbl_data[[#This Row],[Brand]])</f>
        <v>Toyota</v>
      </c>
      <c r="S177" s="1">
        <f>_xlfn.NUMBERVALUE(tbl_data[[#This Row],[Price_USD]],".",",")</f>
        <v>66600.679999999993</v>
      </c>
    </row>
    <row r="178" spans="1:19" x14ac:dyDescent="0.3">
      <c r="A178">
        <v>177</v>
      </c>
      <c r="B178" t="s">
        <v>92</v>
      </c>
      <c r="C178">
        <v>2006</v>
      </c>
      <c r="D178">
        <v>195546</v>
      </c>
      <c r="E178" t="s">
        <v>20</v>
      </c>
      <c r="F178" t="s">
        <v>21</v>
      </c>
      <c r="G178" t="s">
        <v>26</v>
      </c>
      <c r="H178">
        <v>2551</v>
      </c>
      <c r="I178" t="s">
        <v>551</v>
      </c>
      <c r="J178" t="s">
        <v>552</v>
      </c>
      <c r="K178">
        <v>2</v>
      </c>
      <c r="L178" t="s">
        <v>553</v>
      </c>
      <c r="M178" s="1" t="str">
        <f>TEXT(DATE(tbl_data[[#This Row],[Model_Year]],1,1),"yyyy")</f>
        <v>2006</v>
      </c>
      <c r="N178" s="1" t="str">
        <f>IF(tbl_data[[#This Row],[Kilometers_Driven]]&lt;50000,"&lt;50k",
IF(tbl_data[[#This Row],[Kilometers_Driven]]&lt;100000,"50k-100k",
IF(tbl_data[[#This Row],[Kilometers_Driven]]&lt;150000,"100k-150k","150k+")))</f>
        <v>150k+</v>
      </c>
      <c r="O178" s="1" t="str">
        <f>IF(tbl_data[[#This Row],[Price_USD]]&gt;=87089,"High",
IF(tbl_data[[#This Row],[Price_USD]]&gt;=56807,"Mid","Low"))</f>
        <v>High</v>
      </c>
      <c r="P178" s="1" t="str">
        <f>IF(tbl_data[[#This Row],[Transmission]]="Automatic","Auto","Manual")</f>
        <v>Auto</v>
      </c>
      <c r="Q178" s="1" t="str">
        <f>IFERROR(IF(VALUE(tbl_data[[#This Row],[Engine_CC]])=0,"",VALUE(tbl_data[[#This Row],[Price_USD]])/VALUE(tbl_data[[#This Row],[Engine_CC]])),"")</f>
        <v/>
      </c>
      <c r="R178" s="1" t="str">
        <f>TRIM(tbl_data[[#This Row],[Brand]])</f>
        <v>Toyota</v>
      </c>
      <c r="S178" s="1">
        <f>_xlfn.NUMBERVALUE(tbl_data[[#This Row],[Price_USD]],".",",")</f>
        <v>79492.02</v>
      </c>
    </row>
    <row r="179" spans="1:19" x14ac:dyDescent="0.3">
      <c r="A179">
        <v>178</v>
      </c>
      <c r="B179" t="s">
        <v>76</v>
      </c>
      <c r="C179">
        <v>2021</v>
      </c>
      <c r="D179">
        <v>49936</v>
      </c>
      <c r="E179" t="s">
        <v>13</v>
      </c>
      <c r="F179" t="s">
        <v>14</v>
      </c>
      <c r="G179" t="s">
        <v>26</v>
      </c>
      <c r="H179">
        <v>4781</v>
      </c>
      <c r="I179" t="s">
        <v>554</v>
      </c>
      <c r="J179" t="s">
        <v>555</v>
      </c>
      <c r="K179">
        <v>4</v>
      </c>
      <c r="L179" t="s">
        <v>556</v>
      </c>
      <c r="M179" s="1" t="str">
        <f>TEXT(DATE(tbl_data[[#This Row],[Model_Year]],1,1),"yyyy")</f>
        <v>2021</v>
      </c>
      <c r="N179" s="1" t="str">
        <f>IF(tbl_data[[#This Row],[Kilometers_Driven]]&lt;50000,"&lt;50k",
IF(tbl_data[[#This Row],[Kilometers_Driven]]&lt;100000,"50k-100k",
IF(tbl_data[[#This Row],[Kilometers_Driven]]&lt;150000,"100k-150k","150k+")))</f>
        <v>&lt;50k</v>
      </c>
      <c r="O179" s="1" t="str">
        <f>IF(tbl_data[[#This Row],[Price_USD]]&gt;=87089,"High",
IF(tbl_data[[#This Row],[Price_USD]]&gt;=56807,"Mid","Low"))</f>
        <v>High</v>
      </c>
      <c r="P179" s="1" t="str">
        <f>IF(tbl_data[[#This Row],[Transmission]]="Automatic","Auto","Manual")</f>
        <v>Manual</v>
      </c>
      <c r="Q179" s="1" t="str">
        <f>IFERROR(IF(VALUE(tbl_data[[#This Row],[Engine_CC]])=0,"",VALUE(tbl_data[[#This Row],[Price_USD]])/VALUE(tbl_data[[#This Row],[Engine_CC]])),"")</f>
        <v/>
      </c>
      <c r="R179" s="1" t="str">
        <f>TRIM(tbl_data[[#This Row],[Brand]])</f>
        <v>Honda</v>
      </c>
      <c r="S179" s="1">
        <f>_xlfn.NUMBERVALUE(tbl_data[[#This Row],[Price_USD]],".",",")</f>
        <v>48284.85</v>
      </c>
    </row>
    <row r="180" spans="1:19" x14ac:dyDescent="0.3">
      <c r="A180">
        <v>179</v>
      </c>
      <c r="B180" t="s">
        <v>76</v>
      </c>
      <c r="C180">
        <v>2009</v>
      </c>
      <c r="D180">
        <v>165866</v>
      </c>
      <c r="E180" t="s">
        <v>44</v>
      </c>
      <c r="F180" t="s">
        <v>14</v>
      </c>
      <c r="G180" t="s">
        <v>32</v>
      </c>
      <c r="H180">
        <v>3161</v>
      </c>
      <c r="I180" t="s">
        <v>557</v>
      </c>
      <c r="J180" t="s">
        <v>558</v>
      </c>
      <c r="K180">
        <v>4</v>
      </c>
      <c r="L180" t="s">
        <v>559</v>
      </c>
      <c r="M180" s="1" t="str">
        <f>TEXT(DATE(tbl_data[[#This Row],[Model_Year]],1,1),"yyyy")</f>
        <v>2009</v>
      </c>
      <c r="N180" s="1" t="str">
        <f>IF(tbl_data[[#This Row],[Kilometers_Driven]]&lt;50000,"&lt;50k",
IF(tbl_data[[#This Row],[Kilometers_Driven]]&lt;100000,"50k-100k",
IF(tbl_data[[#This Row],[Kilometers_Driven]]&lt;150000,"100k-150k","150k+")))</f>
        <v>150k+</v>
      </c>
      <c r="O180" s="1" t="str">
        <f>IF(tbl_data[[#This Row],[Price_USD]]&gt;=87089,"High",
IF(tbl_data[[#This Row],[Price_USD]]&gt;=56807,"Mid","Low"))</f>
        <v>High</v>
      </c>
      <c r="P180" s="1" t="str">
        <f>IF(tbl_data[[#This Row],[Transmission]]="Automatic","Auto","Manual")</f>
        <v>Manual</v>
      </c>
      <c r="Q180" s="1" t="str">
        <f>IFERROR(IF(VALUE(tbl_data[[#This Row],[Engine_CC]])=0,"",VALUE(tbl_data[[#This Row],[Price_USD]])/VALUE(tbl_data[[#This Row],[Engine_CC]])),"")</f>
        <v/>
      </c>
      <c r="R180" s="1" t="str">
        <f>TRIM(tbl_data[[#This Row],[Brand]])</f>
        <v>Honda</v>
      </c>
      <c r="S180" s="1">
        <f>_xlfn.NUMBERVALUE(tbl_data[[#This Row],[Price_USD]],".",",")</f>
        <v>78725.009999999995</v>
      </c>
    </row>
    <row r="181" spans="1:19" x14ac:dyDescent="0.3">
      <c r="A181">
        <v>180</v>
      </c>
      <c r="B181" t="s">
        <v>69</v>
      </c>
      <c r="C181">
        <v>2010</v>
      </c>
      <c r="D181">
        <v>197660</v>
      </c>
      <c r="E181" t="s">
        <v>44</v>
      </c>
      <c r="F181" t="s">
        <v>14</v>
      </c>
      <c r="G181" t="s">
        <v>32</v>
      </c>
      <c r="H181">
        <v>4931</v>
      </c>
      <c r="I181" t="s">
        <v>560</v>
      </c>
      <c r="J181" t="s">
        <v>561</v>
      </c>
      <c r="K181">
        <v>2</v>
      </c>
      <c r="L181" t="s">
        <v>562</v>
      </c>
      <c r="M181" s="1" t="str">
        <f>TEXT(DATE(tbl_data[[#This Row],[Model_Year]],1,1),"yyyy")</f>
        <v>2010</v>
      </c>
      <c r="N181" s="1" t="str">
        <f>IF(tbl_data[[#This Row],[Kilometers_Driven]]&lt;50000,"&lt;50k",
IF(tbl_data[[#This Row],[Kilometers_Driven]]&lt;100000,"50k-100k",
IF(tbl_data[[#This Row],[Kilometers_Driven]]&lt;150000,"100k-150k","150k+")))</f>
        <v>150k+</v>
      </c>
      <c r="O181" s="1" t="str">
        <f>IF(tbl_data[[#This Row],[Price_USD]]&gt;=87089,"High",
IF(tbl_data[[#This Row],[Price_USD]]&gt;=56807,"Mid","Low"))</f>
        <v>High</v>
      </c>
      <c r="P181" s="1" t="str">
        <f>IF(tbl_data[[#This Row],[Transmission]]="Automatic","Auto","Manual")</f>
        <v>Manual</v>
      </c>
      <c r="Q181" s="1" t="str">
        <f>IFERROR(IF(VALUE(tbl_data[[#This Row],[Engine_CC]])=0,"",VALUE(tbl_data[[#This Row],[Price_USD]])/VALUE(tbl_data[[#This Row],[Engine_CC]])),"")</f>
        <v/>
      </c>
      <c r="R181" s="1" t="str">
        <f>TRIM(tbl_data[[#This Row],[Brand]])</f>
        <v>Hyundai</v>
      </c>
      <c r="S181" s="1">
        <f>_xlfn.NUMBERVALUE(tbl_data[[#This Row],[Price_USD]],".",",")</f>
        <v>8237.9</v>
      </c>
    </row>
    <row r="182" spans="1:19" x14ac:dyDescent="0.3">
      <c r="A182">
        <v>181</v>
      </c>
      <c r="B182" t="s">
        <v>12</v>
      </c>
      <c r="C182">
        <v>2016</v>
      </c>
      <c r="D182">
        <v>186403</v>
      </c>
      <c r="E182" t="s">
        <v>31</v>
      </c>
      <c r="F182" t="s">
        <v>14</v>
      </c>
      <c r="G182" t="s">
        <v>26</v>
      </c>
      <c r="H182">
        <v>2508</v>
      </c>
      <c r="I182" t="s">
        <v>563</v>
      </c>
      <c r="J182" t="s">
        <v>564</v>
      </c>
      <c r="K182">
        <v>4</v>
      </c>
      <c r="L182" t="s">
        <v>565</v>
      </c>
      <c r="M182" s="1" t="str">
        <f>TEXT(DATE(tbl_data[[#This Row],[Model_Year]],1,1),"yyyy")</f>
        <v>2016</v>
      </c>
      <c r="N182" s="1" t="str">
        <f>IF(tbl_data[[#This Row],[Kilometers_Driven]]&lt;50000,"&lt;50k",
IF(tbl_data[[#This Row],[Kilometers_Driven]]&lt;100000,"50k-100k",
IF(tbl_data[[#This Row],[Kilometers_Driven]]&lt;150000,"100k-150k","150k+")))</f>
        <v>150k+</v>
      </c>
      <c r="O182" s="1" t="str">
        <f>IF(tbl_data[[#This Row],[Price_USD]]&gt;=87089,"High",
IF(tbl_data[[#This Row],[Price_USD]]&gt;=56807,"Mid","Low"))</f>
        <v>High</v>
      </c>
      <c r="P182" s="1" t="str">
        <f>IF(tbl_data[[#This Row],[Transmission]]="Automatic","Auto","Manual")</f>
        <v>Manual</v>
      </c>
      <c r="Q182" s="1" t="str">
        <f>IFERROR(IF(VALUE(tbl_data[[#This Row],[Engine_CC]])=0,"",VALUE(tbl_data[[#This Row],[Price_USD]])/VALUE(tbl_data[[#This Row],[Engine_CC]])),"")</f>
        <v/>
      </c>
      <c r="R182" s="1" t="str">
        <f>TRIM(tbl_data[[#This Row],[Brand]])</f>
        <v>Audi</v>
      </c>
      <c r="S182" s="1">
        <f>_xlfn.NUMBERVALUE(tbl_data[[#This Row],[Price_USD]],".",",")</f>
        <v>9323.57</v>
      </c>
    </row>
    <row r="183" spans="1:19" x14ac:dyDescent="0.3">
      <c r="A183">
        <v>182</v>
      </c>
      <c r="B183" t="s">
        <v>30</v>
      </c>
      <c r="C183">
        <v>2014</v>
      </c>
      <c r="D183">
        <v>33141</v>
      </c>
      <c r="E183" t="s">
        <v>44</v>
      </c>
      <c r="F183" t="s">
        <v>14</v>
      </c>
      <c r="G183" t="s">
        <v>15</v>
      </c>
      <c r="H183">
        <v>3486</v>
      </c>
      <c r="I183" t="s">
        <v>566</v>
      </c>
      <c r="J183" t="s">
        <v>567</v>
      </c>
      <c r="K183">
        <v>6</v>
      </c>
      <c r="L183" t="s">
        <v>568</v>
      </c>
      <c r="M183" s="1" t="str">
        <f>TEXT(DATE(tbl_data[[#This Row],[Model_Year]],1,1),"yyyy")</f>
        <v>2014</v>
      </c>
      <c r="N183" s="1" t="str">
        <f>IF(tbl_data[[#This Row],[Kilometers_Driven]]&lt;50000,"&lt;50k",
IF(tbl_data[[#This Row],[Kilometers_Driven]]&lt;100000,"50k-100k",
IF(tbl_data[[#This Row],[Kilometers_Driven]]&lt;150000,"100k-150k","150k+")))</f>
        <v>&lt;50k</v>
      </c>
      <c r="O183" s="1" t="str">
        <f>IF(tbl_data[[#This Row],[Price_USD]]&gt;=87089,"High",
IF(tbl_data[[#This Row],[Price_USD]]&gt;=56807,"Mid","Low"))</f>
        <v>High</v>
      </c>
      <c r="P183" s="1" t="str">
        <f>IF(tbl_data[[#This Row],[Transmission]]="Automatic","Auto","Manual")</f>
        <v>Manual</v>
      </c>
      <c r="Q183" s="1" t="str">
        <f>IFERROR(IF(VALUE(tbl_data[[#This Row],[Engine_CC]])=0,"",VALUE(tbl_data[[#This Row],[Price_USD]])/VALUE(tbl_data[[#This Row],[Engine_CC]])),"")</f>
        <v/>
      </c>
      <c r="R183" s="1" t="str">
        <f>TRIM(tbl_data[[#This Row],[Brand]])</f>
        <v>Mercedes</v>
      </c>
      <c r="S183" s="1">
        <f>_xlfn.NUMBERVALUE(tbl_data[[#This Row],[Price_USD]],".",",")</f>
        <v>56495.96</v>
      </c>
    </row>
    <row r="184" spans="1:19" x14ac:dyDescent="0.3">
      <c r="A184">
        <v>183</v>
      </c>
      <c r="B184" t="s">
        <v>92</v>
      </c>
      <c r="C184">
        <v>2010</v>
      </c>
      <c r="D184">
        <v>145146</v>
      </c>
      <c r="E184" t="s">
        <v>13</v>
      </c>
      <c r="F184" t="s">
        <v>21</v>
      </c>
      <c r="G184" t="s">
        <v>26</v>
      </c>
      <c r="H184">
        <v>3695</v>
      </c>
      <c r="I184" t="s">
        <v>569</v>
      </c>
      <c r="J184" t="s">
        <v>570</v>
      </c>
      <c r="K184">
        <v>7</v>
      </c>
      <c r="L184" t="s">
        <v>571</v>
      </c>
      <c r="M184" s="1" t="str">
        <f>TEXT(DATE(tbl_data[[#This Row],[Model_Year]],1,1),"yyyy")</f>
        <v>2010</v>
      </c>
      <c r="N184" s="1" t="str">
        <f>IF(tbl_data[[#This Row],[Kilometers_Driven]]&lt;50000,"&lt;50k",
IF(tbl_data[[#This Row],[Kilometers_Driven]]&lt;100000,"50k-100k",
IF(tbl_data[[#This Row],[Kilometers_Driven]]&lt;150000,"100k-150k","150k+")))</f>
        <v>100k-150k</v>
      </c>
      <c r="O184" s="1" t="str">
        <f>IF(tbl_data[[#This Row],[Price_USD]]&gt;=87089,"High",
IF(tbl_data[[#This Row],[Price_USD]]&gt;=56807,"Mid","Low"))</f>
        <v>High</v>
      </c>
      <c r="P184" s="1" t="str">
        <f>IF(tbl_data[[#This Row],[Transmission]]="Automatic","Auto","Manual")</f>
        <v>Auto</v>
      </c>
      <c r="Q184" s="1" t="str">
        <f>IFERROR(IF(VALUE(tbl_data[[#This Row],[Engine_CC]])=0,"",VALUE(tbl_data[[#This Row],[Price_USD]])/VALUE(tbl_data[[#This Row],[Engine_CC]])),"")</f>
        <v/>
      </c>
      <c r="R184" s="1" t="str">
        <f>TRIM(tbl_data[[#This Row],[Brand]])</f>
        <v>Toyota</v>
      </c>
      <c r="S184" s="1">
        <f>_xlfn.NUMBERVALUE(tbl_data[[#This Row],[Price_USD]],".",",")</f>
        <v>67305.81</v>
      </c>
    </row>
    <row r="185" spans="1:19" x14ac:dyDescent="0.3">
      <c r="A185">
        <v>184</v>
      </c>
      <c r="B185" t="s">
        <v>92</v>
      </c>
      <c r="C185">
        <v>2012</v>
      </c>
      <c r="D185">
        <v>142478</v>
      </c>
      <c r="E185" t="s">
        <v>44</v>
      </c>
      <c r="F185" t="s">
        <v>21</v>
      </c>
      <c r="G185" t="s">
        <v>26</v>
      </c>
      <c r="H185">
        <v>3576</v>
      </c>
      <c r="I185" t="s">
        <v>572</v>
      </c>
      <c r="J185" t="s">
        <v>573</v>
      </c>
      <c r="K185">
        <v>5</v>
      </c>
      <c r="L185" t="s">
        <v>574</v>
      </c>
      <c r="M185" s="1" t="str">
        <f>TEXT(DATE(tbl_data[[#This Row],[Model_Year]],1,1),"yyyy")</f>
        <v>2012</v>
      </c>
      <c r="N185" s="1" t="str">
        <f>IF(tbl_data[[#This Row],[Kilometers_Driven]]&lt;50000,"&lt;50k",
IF(tbl_data[[#This Row],[Kilometers_Driven]]&lt;100000,"50k-100k",
IF(tbl_data[[#This Row],[Kilometers_Driven]]&lt;150000,"100k-150k","150k+")))</f>
        <v>100k-150k</v>
      </c>
      <c r="O185" s="1" t="str">
        <f>IF(tbl_data[[#This Row],[Price_USD]]&gt;=87089,"High",
IF(tbl_data[[#This Row],[Price_USD]]&gt;=56807,"Mid","Low"))</f>
        <v>High</v>
      </c>
      <c r="P185" s="1" t="str">
        <f>IF(tbl_data[[#This Row],[Transmission]]="Automatic","Auto","Manual")</f>
        <v>Auto</v>
      </c>
      <c r="Q185" s="1" t="str">
        <f>IFERROR(IF(VALUE(tbl_data[[#This Row],[Engine_CC]])=0,"",VALUE(tbl_data[[#This Row],[Price_USD]])/VALUE(tbl_data[[#This Row],[Engine_CC]])),"")</f>
        <v/>
      </c>
      <c r="R185" s="1" t="str">
        <f>TRIM(tbl_data[[#This Row],[Brand]])</f>
        <v>Toyota</v>
      </c>
      <c r="S185" s="1">
        <f>_xlfn.NUMBERVALUE(tbl_data[[#This Row],[Price_USD]],".",",")</f>
        <v>106874.66</v>
      </c>
    </row>
    <row r="186" spans="1:19" x14ac:dyDescent="0.3">
      <c r="A186">
        <v>185</v>
      </c>
      <c r="B186" t="s">
        <v>43</v>
      </c>
      <c r="C186">
        <v>2006</v>
      </c>
      <c r="D186">
        <v>102359</v>
      </c>
      <c r="E186" t="s">
        <v>31</v>
      </c>
      <c r="F186" t="s">
        <v>14</v>
      </c>
      <c r="G186" t="s">
        <v>26</v>
      </c>
      <c r="H186">
        <v>1919</v>
      </c>
      <c r="I186" t="s">
        <v>575</v>
      </c>
      <c r="J186" t="s">
        <v>576</v>
      </c>
      <c r="K186">
        <v>4</v>
      </c>
      <c r="L186" t="s">
        <v>577</v>
      </c>
      <c r="M186" s="1" t="str">
        <f>TEXT(DATE(tbl_data[[#This Row],[Model_Year]],1,1),"yyyy")</f>
        <v>2006</v>
      </c>
      <c r="N186" s="1" t="str">
        <f>IF(tbl_data[[#This Row],[Kilometers_Driven]]&lt;50000,"&lt;50k",
IF(tbl_data[[#This Row],[Kilometers_Driven]]&lt;100000,"50k-100k",
IF(tbl_data[[#This Row],[Kilometers_Driven]]&lt;150000,"100k-150k","150k+")))</f>
        <v>100k-150k</v>
      </c>
      <c r="O186" s="1" t="str">
        <f>IF(tbl_data[[#This Row],[Price_USD]]&gt;=87089,"High",
IF(tbl_data[[#This Row],[Price_USD]]&gt;=56807,"Mid","Low"))</f>
        <v>High</v>
      </c>
      <c r="P186" s="1" t="str">
        <f>IF(tbl_data[[#This Row],[Transmission]]="Automatic","Auto","Manual")</f>
        <v>Manual</v>
      </c>
      <c r="Q186" s="1" t="str">
        <f>IFERROR(IF(VALUE(tbl_data[[#This Row],[Engine_CC]])=0,"",VALUE(tbl_data[[#This Row],[Price_USD]])/VALUE(tbl_data[[#This Row],[Engine_CC]])),"")</f>
        <v/>
      </c>
      <c r="R186" s="1" t="str">
        <f>TRIM(tbl_data[[#This Row],[Brand]])</f>
        <v>Ford</v>
      </c>
      <c r="S186" s="1">
        <f>_xlfn.NUMBERVALUE(tbl_data[[#This Row],[Price_USD]],".",",")</f>
        <v>15245.29</v>
      </c>
    </row>
    <row r="187" spans="1:19" x14ac:dyDescent="0.3">
      <c r="A187">
        <v>186</v>
      </c>
      <c r="B187" t="s">
        <v>76</v>
      </c>
      <c r="C187">
        <v>2016</v>
      </c>
      <c r="D187">
        <v>128279</v>
      </c>
      <c r="E187" t="s">
        <v>31</v>
      </c>
      <c r="F187" t="s">
        <v>21</v>
      </c>
      <c r="G187" t="s">
        <v>26</v>
      </c>
      <c r="H187">
        <v>3788</v>
      </c>
      <c r="I187" t="s">
        <v>578</v>
      </c>
      <c r="J187" t="s">
        <v>579</v>
      </c>
      <c r="K187">
        <v>4</v>
      </c>
      <c r="L187" t="s">
        <v>580</v>
      </c>
      <c r="M187" s="1" t="str">
        <f>TEXT(DATE(tbl_data[[#This Row],[Model_Year]],1,1),"yyyy")</f>
        <v>2016</v>
      </c>
      <c r="N187" s="1" t="str">
        <f>IF(tbl_data[[#This Row],[Kilometers_Driven]]&lt;50000,"&lt;50k",
IF(tbl_data[[#This Row],[Kilometers_Driven]]&lt;100000,"50k-100k",
IF(tbl_data[[#This Row],[Kilometers_Driven]]&lt;150000,"100k-150k","150k+")))</f>
        <v>100k-150k</v>
      </c>
      <c r="O187" s="1" t="str">
        <f>IF(tbl_data[[#This Row],[Price_USD]]&gt;=87089,"High",
IF(tbl_data[[#This Row],[Price_USD]]&gt;=56807,"Mid","Low"))</f>
        <v>High</v>
      </c>
      <c r="P187" s="1" t="str">
        <f>IF(tbl_data[[#This Row],[Transmission]]="Automatic","Auto","Manual")</f>
        <v>Auto</v>
      </c>
      <c r="Q187" s="1" t="str">
        <f>IFERROR(IF(VALUE(tbl_data[[#This Row],[Engine_CC]])=0,"",VALUE(tbl_data[[#This Row],[Price_USD]])/VALUE(tbl_data[[#This Row],[Engine_CC]])),"")</f>
        <v/>
      </c>
      <c r="R187" s="1" t="str">
        <f>TRIM(tbl_data[[#This Row],[Brand]])</f>
        <v>Honda</v>
      </c>
      <c r="S187" s="1">
        <f>_xlfn.NUMBERVALUE(tbl_data[[#This Row],[Price_USD]],".",",")</f>
        <v>99249.81</v>
      </c>
    </row>
    <row r="188" spans="1:19" x14ac:dyDescent="0.3">
      <c r="A188">
        <v>187</v>
      </c>
      <c r="B188" t="s">
        <v>30</v>
      </c>
      <c r="C188">
        <v>2017</v>
      </c>
      <c r="D188">
        <v>159363</v>
      </c>
      <c r="E188" t="s">
        <v>13</v>
      </c>
      <c r="F188" t="s">
        <v>14</v>
      </c>
      <c r="G188" t="s">
        <v>32</v>
      </c>
      <c r="H188">
        <v>994</v>
      </c>
      <c r="I188" t="s">
        <v>581</v>
      </c>
      <c r="J188" t="s">
        <v>582</v>
      </c>
      <c r="K188">
        <v>5</v>
      </c>
      <c r="L188" t="s">
        <v>583</v>
      </c>
      <c r="M188" s="1" t="str">
        <f>TEXT(DATE(tbl_data[[#This Row],[Model_Year]],1,1),"yyyy")</f>
        <v>2017</v>
      </c>
      <c r="N188" s="1" t="str">
        <f>IF(tbl_data[[#This Row],[Kilometers_Driven]]&lt;50000,"&lt;50k",
IF(tbl_data[[#This Row],[Kilometers_Driven]]&lt;100000,"50k-100k",
IF(tbl_data[[#This Row],[Kilometers_Driven]]&lt;150000,"100k-150k","150k+")))</f>
        <v>150k+</v>
      </c>
      <c r="O188" s="1" t="str">
        <f>IF(tbl_data[[#This Row],[Price_USD]]&gt;=87089,"High",
IF(tbl_data[[#This Row],[Price_USD]]&gt;=56807,"Mid","Low"))</f>
        <v>High</v>
      </c>
      <c r="P188" s="1" t="str">
        <f>IF(tbl_data[[#This Row],[Transmission]]="Automatic","Auto","Manual")</f>
        <v>Manual</v>
      </c>
      <c r="Q188" s="1" t="str">
        <f>IFERROR(IF(VALUE(tbl_data[[#This Row],[Engine_CC]])=0,"",VALUE(tbl_data[[#This Row],[Price_USD]])/VALUE(tbl_data[[#This Row],[Engine_CC]])),"")</f>
        <v/>
      </c>
      <c r="R188" s="1" t="str">
        <f>TRIM(tbl_data[[#This Row],[Brand]])</f>
        <v>Mercedes</v>
      </c>
      <c r="S188" s="1">
        <f>_xlfn.NUMBERVALUE(tbl_data[[#This Row],[Price_USD]],".",",")</f>
        <v>27575.54</v>
      </c>
    </row>
    <row r="189" spans="1:19" x14ac:dyDescent="0.3">
      <c r="A189">
        <v>188</v>
      </c>
      <c r="B189" t="s">
        <v>39</v>
      </c>
      <c r="C189">
        <v>2011</v>
      </c>
      <c r="D189">
        <v>46568</v>
      </c>
      <c r="E189" t="s">
        <v>13</v>
      </c>
      <c r="F189" t="s">
        <v>21</v>
      </c>
      <c r="G189" t="s">
        <v>32</v>
      </c>
      <c r="H189">
        <v>1462</v>
      </c>
      <c r="I189" t="s">
        <v>584</v>
      </c>
      <c r="J189" t="s">
        <v>585</v>
      </c>
      <c r="K189">
        <v>4</v>
      </c>
      <c r="L189" t="s">
        <v>586</v>
      </c>
      <c r="M189" s="1" t="str">
        <f>TEXT(DATE(tbl_data[[#This Row],[Model_Year]],1,1),"yyyy")</f>
        <v>2011</v>
      </c>
      <c r="N189" s="1" t="str">
        <f>IF(tbl_data[[#This Row],[Kilometers_Driven]]&lt;50000,"&lt;50k",
IF(tbl_data[[#This Row],[Kilometers_Driven]]&lt;100000,"50k-100k",
IF(tbl_data[[#This Row],[Kilometers_Driven]]&lt;150000,"100k-150k","150k+")))</f>
        <v>&lt;50k</v>
      </c>
      <c r="O189" s="1" t="str">
        <f>IF(tbl_data[[#This Row],[Price_USD]]&gt;=87089,"High",
IF(tbl_data[[#This Row],[Price_USD]]&gt;=56807,"Mid","Low"))</f>
        <v>High</v>
      </c>
      <c r="P189" s="1" t="str">
        <f>IF(tbl_data[[#This Row],[Transmission]]="Automatic","Auto","Manual")</f>
        <v>Auto</v>
      </c>
      <c r="Q189" s="1" t="str">
        <f>IFERROR(IF(VALUE(tbl_data[[#This Row],[Engine_CC]])=0,"",VALUE(tbl_data[[#This Row],[Price_USD]])/VALUE(tbl_data[[#This Row],[Engine_CC]])),"")</f>
        <v/>
      </c>
      <c r="R189" s="1" t="str">
        <f>TRIM(tbl_data[[#This Row],[Brand]])</f>
        <v>Volkswagen</v>
      </c>
      <c r="S189" s="1">
        <f>_xlfn.NUMBERVALUE(tbl_data[[#This Row],[Price_USD]],".",",")</f>
        <v>49107.79</v>
      </c>
    </row>
    <row r="190" spans="1:19" x14ac:dyDescent="0.3">
      <c r="A190">
        <v>189</v>
      </c>
      <c r="B190" t="s">
        <v>69</v>
      </c>
      <c r="C190">
        <v>2014</v>
      </c>
      <c r="D190">
        <v>102539</v>
      </c>
      <c r="E190" t="s">
        <v>44</v>
      </c>
      <c r="F190" t="s">
        <v>14</v>
      </c>
      <c r="G190" t="s">
        <v>15</v>
      </c>
      <c r="H190">
        <v>1279</v>
      </c>
      <c r="I190" t="s">
        <v>587</v>
      </c>
      <c r="J190" t="s">
        <v>396</v>
      </c>
      <c r="K190">
        <v>5</v>
      </c>
      <c r="L190" t="s">
        <v>588</v>
      </c>
      <c r="M190" s="1" t="str">
        <f>TEXT(DATE(tbl_data[[#This Row],[Model_Year]],1,1),"yyyy")</f>
        <v>2014</v>
      </c>
      <c r="N190" s="1" t="str">
        <f>IF(tbl_data[[#This Row],[Kilometers_Driven]]&lt;50000,"&lt;50k",
IF(tbl_data[[#This Row],[Kilometers_Driven]]&lt;100000,"50k-100k",
IF(tbl_data[[#This Row],[Kilometers_Driven]]&lt;150000,"100k-150k","150k+")))</f>
        <v>100k-150k</v>
      </c>
      <c r="O190" s="1" t="str">
        <f>IF(tbl_data[[#This Row],[Price_USD]]&gt;=87089,"High",
IF(tbl_data[[#This Row],[Price_USD]]&gt;=56807,"Mid","Low"))</f>
        <v>High</v>
      </c>
      <c r="P190" s="1" t="str">
        <f>IF(tbl_data[[#This Row],[Transmission]]="Automatic","Auto","Manual")</f>
        <v>Manual</v>
      </c>
      <c r="Q190" s="1" t="str">
        <f>IFERROR(IF(VALUE(tbl_data[[#This Row],[Engine_CC]])=0,"",VALUE(tbl_data[[#This Row],[Price_USD]])/VALUE(tbl_data[[#This Row],[Engine_CC]])),"")</f>
        <v/>
      </c>
      <c r="R190" s="1" t="str">
        <f>TRIM(tbl_data[[#This Row],[Brand]])</f>
        <v>Hyundai</v>
      </c>
      <c r="S190" s="1">
        <f>_xlfn.NUMBERVALUE(tbl_data[[#This Row],[Price_USD]],".",",")</f>
        <v>40042.480000000003</v>
      </c>
    </row>
    <row r="191" spans="1:19" x14ac:dyDescent="0.3">
      <c r="A191">
        <v>190</v>
      </c>
      <c r="B191" t="s">
        <v>12</v>
      </c>
      <c r="C191">
        <v>2017</v>
      </c>
      <c r="D191">
        <v>51851</v>
      </c>
      <c r="E191" t="s">
        <v>44</v>
      </c>
      <c r="F191" t="s">
        <v>21</v>
      </c>
      <c r="G191" t="s">
        <v>15</v>
      </c>
      <c r="H191">
        <v>2223</v>
      </c>
      <c r="I191" t="s">
        <v>589</v>
      </c>
      <c r="J191" t="s">
        <v>590</v>
      </c>
      <c r="K191">
        <v>2</v>
      </c>
      <c r="L191" t="s">
        <v>591</v>
      </c>
      <c r="M191" s="1" t="str">
        <f>TEXT(DATE(tbl_data[[#This Row],[Model_Year]],1,1),"yyyy")</f>
        <v>2017</v>
      </c>
      <c r="N191" s="1" t="str">
        <f>IF(tbl_data[[#This Row],[Kilometers_Driven]]&lt;50000,"&lt;50k",
IF(tbl_data[[#This Row],[Kilometers_Driven]]&lt;100000,"50k-100k",
IF(tbl_data[[#This Row],[Kilometers_Driven]]&lt;150000,"100k-150k","150k+")))</f>
        <v>50k-100k</v>
      </c>
      <c r="O191" s="1" t="str">
        <f>IF(tbl_data[[#This Row],[Price_USD]]&gt;=87089,"High",
IF(tbl_data[[#This Row],[Price_USD]]&gt;=56807,"Mid","Low"))</f>
        <v>High</v>
      </c>
      <c r="P191" s="1" t="str">
        <f>IF(tbl_data[[#This Row],[Transmission]]="Automatic","Auto","Manual")</f>
        <v>Auto</v>
      </c>
      <c r="Q191" s="1" t="str">
        <f>IFERROR(IF(VALUE(tbl_data[[#This Row],[Engine_CC]])=0,"",VALUE(tbl_data[[#This Row],[Price_USD]])/VALUE(tbl_data[[#This Row],[Engine_CC]])),"")</f>
        <v/>
      </c>
      <c r="R191" s="1" t="str">
        <f>TRIM(tbl_data[[#This Row],[Brand]])</f>
        <v>Audi</v>
      </c>
      <c r="S191" s="1">
        <f>_xlfn.NUMBERVALUE(tbl_data[[#This Row],[Price_USD]],".",",")</f>
        <v>49818.17</v>
      </c>
    </row>
    <row r="192" spans="1:19" x14ac:dyDescent="0.3">
      <c r="A192">
        <v>191</v>
      </c>
      <c r="B192" t="s">
        <v>19</v>
      </c>
      <c r="C192">
        <v>2021</v>
      </c>
      <c r="D192">
        <v>59823</v>
      </c>
      <c r="E192" t="s">
        <v>31</v>
      </c>
      <c r="F192" t="s">
        <v>14</v>
      </c>
      <c r="G192" t="s">
        <v>15</v>
      </c>
      <c r="H192">
        <v>3508</v>
      </c>
      <c r="I192" t="s">
        <v>592</v>
      </c>
      <c r="J192" t="s">
        <v>593</v>
      </c>
      <c r="K192">
        <v>6</v>
      </c>
      <c r="L192" t="s">
        <v>594</v>
      </c>
      <c r="M192" s="1" t="str">
        <f>TEXT(DATE(tbl_data[[#This Row],[Model_Year]],1,1),"yyyy")</f>
        <v>2021</v>
      </c>
      <c r="N192" s="1" t="str">
        <f>IF(tbl_data[[#This Row],[Kilometers_Driven]]&lt;50000,"&lt;50k",
IF(tbl_data[[#This Row],[Kilometers_Driven]]&lt;100000,"50k-100k",
IF(tbl_data[[#This Row],[Kilometers_Driven]]&lt;150000,"100k-150k","150k+")))</f>
        <v>50k-100k</v>
      </c>
      <c r="O192" s="1" t="str">
        <f>IF(tbl_data[[#This Row],[Price_USD]]&gt;=87089,"High",
IF(tbl_data[[#This Row],[Price_USD]]&gt;=56807,"Mid","Low"))</f>
        <v>High</v>
      </c>
      <c r="P192" s="1" t="str">
        <f>IF(tbl_data[[#This Row],[Transmission]]="Automatic","Auto","Manual")</f>
        <v>Manual</v>
      </c>
      <c r="Q192" s="1" t="str">
        <f>IFERROR(IF(VALUE(tbl_data[[#This Row],[Engine_CC]])=0,"",VALUE(tbl_data[[#This Row],[Price_USD]])/VALUE(tbl_data[[#This Row],[Engine_CC]])),"")</f>
        <v/>
      </c>
      <c r="R192" s="1" t="str">
        <f>TRIM(tbl_data[[#This Row],[Brand]])</f>
        <v>BMW</v>
      </c>
      <c r="S192" s="1">
        <f>_xlfn.NUMBERVALUE(tbl_data[[#This Row],[Price_USD]],".",",")</f>
        <v>20607.97</v>
      </c>
    </row>
    <row r="193" spans="1:19" x14ac:dyDescent="0.3">
      <c r="A193">
        <v>192</v>
      </c>
      <c r="B193" t="s">
        <v>12</v>
      </c>
      <c r="C193">
        <v>2018</v>
      </c>
      <c r="D193">
        <v>28312</v>
      </c>
      <c r="E193" t="s">
        <v>13</v>
      </c>
      <c r="F193" t="s">
        <v>14</v>
      </c>
      <c r="G193" t="s">
        <v>15</v>
      </c>
      <c r="H193">
        <v>3975</v>
      </c>
      <c r="I193" t="s">
        <v>595</v>
      </c>
      <c r="J193" t="s">
        <v>596</v>
      </c>
      <c r="K193">
        <v>6</v>
      </c>
      <c r="L193" t="s">
        <v>597</v>
      </c>
      <c r="M193" s="1" t="str">
        <f>TEXT(DATE(tbl_data[[#This Row],[Model_Year]],1,1),"yyyy")</f>
        <v>2018</v>
      </c>
      <c r="N193" s="1" t="str">
        <f>IF(tbl_data[[#This Row],[Kilometers_Driven]]&lt;50000,"&lt;50k",
IF(tbl_data[[#This Row],[Kilometers_Driven]]&lt;100000,"50k-100k",
IF(tbl_data[[#This Row],[Kilometers_Driven]]&lt;150000,"100k-150k","150k+")))</f>
        <v>&lt;50k</v>
      </c>
      <c r="O193" s="1" t="str">
        <f>IF(tbl_data[[#This Row],[Price_USD]]&gt;=87089,"High",
IF(tbl_data[[#This Row],[Price_USD]]&gt;=56807,"Mid","Low"))</f>
        <v>High</v>
      </c>
      <c r="P193" s="1" t="str">
        <f>IF(tbl_data[[#This Row],[Transmission]]="Automatic","Auto","Manual")</f>
        <v>Manual</v>
      </c>
      <c r="Q193" s="1" t="str">
        <f>IFERROR(IF(VALUE(tbl_data[[#This Row],[Engine_CC]])=0,"",VALUE(tbl_data[[#This Row],[Price_USD]])/VALUE(tbl_data[[#This Row],[Engine_CC]])),"")</f>
        <v/>
      </c>
      <c r="R193" s="1" t="str">
        <f>TRIM(tbl_data[[#This Row],[Brand]])</f>
        <v>Audi</v>
      </c>
      <c r="S193" s="1">
        <f>_xlfn.NUMBERVALUE(tbl_data[[#This Row],[Price_USD]],".",",")</f>
        <v>61917.7</v>
      </c>
    </row>
    <row r="194" spans="1:19" x14ac:dyDescent="0.3">
      <c r="A194">
        <v>193</v>
      </c>
      <c r="B194" t="s">
        <v>25</v>
      </c>
      <c r="C194">
        <v>2006</v>
      </c>
      <c r="D194">
        <v>179180</v>
      </c>
      <c r="E194" t="s">
        <v>13</v>
      </c>
      <c r="F194" t="s">
        <v>21</v>
      </c>
      <c r="G194" t="s">
        <v>26</v>
      </c>
      <c r="H194">
        <v>4614</v>
      </c>
      <c r="I194" t="s">
        <v>598</v>
      </c>
      <c r="J194" t="s">
        <v>599</v>
      </c>
      <c r="K194">
        <v>7</v>
      </c>
      <c r="L194" t="s">
        <v>600</v>
      </c>
      <c r="M194" s="1" t="str">
        <f>TEXT(DATE(tbl_data[[#This Row],[Model_Year]],1,1),"yyyy")</f>
        <v>2006</v>
      </c>
      <c r="N194" s="1" t="str">
        <f>IF(tbl_data[[#This Row],[Kilometers_Driven]]&lt;50000,"&lt;50k",
IF(tbl_data[[#This Row],[Kilometers_Driven]]&lt;100000,"50k-100k",
IF(tbl_data[[#This Row],[Kilometers_Driven]]&lt;150000,"100k-150k","150k+")))</f>
        <v>150k+</v>
      </c>
      <c r="O194" s="1" t="str">
        <f>IF(tbl_data[[#This Row],[Price_USD]]&gt;=87089,"High",
IF(tbl_data[[#This Row],[Price_USD]]&gt;=56807,"Mid","Low"))</f>
        <v>High</v>
      </c>
      <c r="P194" s="1" t="str">
        <f>IF(tbl_data[[#This Row],[Transmission]]="Automatic","Auto","Manual")</f>
        <v>Auto</v>
      </c>
      <c r="Q194" s="1" t="str">
        <f>IFERROR(IF(VALUE(tbl_data[[#This Row],[Engine_CC]])=0,"",VALUE(tbl_data[[#This Row],[Price_USD]])/VALUE(tbl_data[[#This Row],[Engine_CC]])),"")</f>
        <v/>
      </c>
      <c r="R194" s="1" t="str">
        <f>TRIM(tbl_data[[#This Row],[Brand]])</f>
        <v>Kia</v>
      </c>
      <c r="S194" s="1">
        <f>_xlfn.NUMBERVALUE(tbl_data[[#This Row],[Price_USD]],".",",")</f>
        <v>96792.18</v>
      </c>
    </row>
    <row r="195" spans="1:19" x14ac:dyDescent="0.3">
      <c r="A195">
        <v>194</v>
      </c>
      <c r="B195" t="s">
        <v>92</v>
      </c>
      <c r="C195">
        <v>2015</v>
      </c>
      <c r="D195">
        <v>170243</v>
      </c>
      <c r="E195" t="s">
        <v>13</v>
      </c>
      <c r="F195" t="s">
        <v>21</v>
      </c>
      <c r="G195" t="s">
        <v>32</v>
      </c>
      <c r="H195">
        <v>2814</v>
      </c>
      <c r="I195" t="s">
        <v>601</v>
      </c>
      <c r="J195" t="s">
        <v>602</v>
      </c>
      <c r="K195">
        <v>4</v>
      </c>
      <c r="L195" t="s">
        <v>603</v>
      </c>
      <c r="M195" s="1" t="str">
        <f>TEXT(DATE(tbl_data[[#This Row],[Model_Year]],1,1),"yyyy")</f>
        <v>2015</v>
      </c>
      <c r="N195" s="1" t="str">
        <f>IF(tbl_data[[#This Row],[Kilometers_Driven]]&lt;50000,"&lt;50k",
IF(tbl_data[[#This Row],[Kilometers_Driven]]&lt;100000,"50k-100k",
IF(tbl_data[[#This Row],[Kilometers_Driven]]&lt;150000,"100k-150k","150k+")))</f>
        <v>150k+</v>
      </c>
      <c r="O195" s="1" t="str">
        <f>IF(tbl_data[[#This Row],[Price_USD]]&gt;=87089,"High",
IF(tbl_data[[#This Row],[Price_USD]]&gt;=56807,"Mid","Low"))</f>
        <v>High</v>
      </c>
      <c r="P195" s="1" t="str">
        <f>IF(tbl_data[[#This Row],[Transmission]]="Automatic","Auto","Manual")</f>
        <v>Auto</v>
      </c>
      <c r="Q195" s="1" t="str">
        <f>IFERROR(IF(VALUE(tbl_data[[#This Row],[Engine_CC]])=0,"",VALUE(tbl_data[[#This Row],[Price_USD]])/VALUE(tbl_data[[#This Row],[Engine_CC]])),"")</f>
        <v/>
      </c>
      <c r="R195" s="1" t="str">
        <f>TRIM(tbl_data[[#This Row],[Brand]])</f>
        <v>Toyota</v>
      </c>
      <c r="S195" s="1">
        <f>_xlfn.NUMBERVALUE(tbl_data[[#This Row],[Price_USD]],".",",")</f>
        <v>54659.48</v>
      </c>
    </row>
    <row r="196" spans="1:19" x14ac:dyDescent="0.3">
      <c r="A196">
        <v>195</v>
      </c>
      <c r="B196" t="s">
        <v>69</v>
      </c>
      <c r="C196">
        <v>2005</v>
      </c>
      <c r="D196">
        <v>177851</v>
      </c>
      <c r="E196" t="s">
        <v>44</v>
      </c>
      <c r="F196" t="s">
        <v>14</v>
      </c>
      <c r="G196" t="s">
        <v>32</v>
      </c>
      <c r="H196">
        <v>4589</v>
      </c>
      <c r="I196" t="s">
        <v>604</v>
      </c>
      <c r="J196" t="s">
        <v>605</v>
      </c>
      <c r="K196">
        <v>7</v>
      </c>
      <c r="L196" t="s">
        <v>606</v>
      </c>
      <c r="M196" s="1" t="str">
        <f>TEXT(DATE(tbl_data[[#This Row],[Model_Year]],1,1),"yyyy")</f>
        <v>2005</v>
      </c>
      <c r="N196" s="1" t="str">
        <f>IF(tbl_data[[#This Row],[Kilometers_Driven]]&lt;50000,"&lt;50k",
IF(tbl_data[[#This Row],[Kilometers_Driven]]&lt;100000,"50k-100k",
IF(tbl_data[[#This Row],[Kilometers_Driven]]&lt;150000,"100k-150k","150k+")))</f>
        <v>150k+</v>
      </c>
      <c r="O196" s="1" t="str">
        <f>IF(tbl_data[[#This Row],[Price_USD]]&gt;=87089,"High",
IF(tbl_data[[#This Row],[Price_USD]]&gt;=56807,"Mid","Low"))</f>
        <v>High</v>
      </c>
      <c r="P196" s="1" t="str">
        <f>IF(tbl_data[[#This Row],[Transmission]]="Automatic","Auto","Manual")</f>
        <v>Manual</v>
      </c>
      <c r="Q196" s="1" t="str">
        <f>IFERROR(IF(VALUE(tbl_data[[#This Row],[Engine_CC]])=0,"",VALUE(tbl_data[[#This Row],[Price_USD]])/VALUE(tbl_data[[#This Row],[Engine_CC]])),"")</f>
        <v/>
      </c>
      <c r="R196" s="1" t="str">
        <f>TRIM(tbl_data[[#This Row],[Brand]])</f>
        <v>Hyundai</v>
      </c>
      <c r="S196" s="1">
        <f>_xlfn.NUMBERVALUE(tbl_data[[#This Row],[Price_USD]],".",",")</f>
        <v>60401.79</v>
      </c>
    </row>
    <row r="197" spans="1:19" x14ac:dyDescent="0.3">
      <c r="A197">
        <v>196</v>
      </c>
      <c r="B197" t="s">
        <v>25</v>
      </c>
      <c r="C197">
        <v>2023</v>
      </c>
      <c r="D197">
        <v>103723</v>
      </c>
      <c r="E197" t="s">
        <v>13</v>
      </c>
      <c r="F197" t="s">
        <v>21</v>
      </c>
      <c r="G197" t="s">
        <v>15</v>
      </c>
      <c r="H197">
        <v>3243</v>
      </c>
      <c r="I197" t="s">
        <v>607</v>
      </c>
      <c r="J197" t="s">
        <v>608</v>
      </c>
      <c r="K197">
        <v>2</v>
      </c>
      <c r="L197" t="s">
        <v>609</v>
      </c>
      <c r="M197" s="1" t="str">
        <f>TEXT(DATE(tbl_data[[#This Row],[Model_Year]],1,1),"yyyy")</f>
        <v>2023</v>
      </c>
      <c r="N197" s="1" t="str">
        <f>IF(tbl_data[[#This Row],[Kilometers_Driven]]&lt;50000,"&lt;50k",
IF(tbl_data[[#This Row],[Kilometers_Driven]]&lt;100000,"50k-100k",
IF(tbl_data[[#This Row],[Kilometers_Driven]]&lt;150000,"100k-150k","150k+")))</f>
        <v>100k-150k</v>
      </c>
      <c r="O197" s="1" t="str">
        <f>IF(tbl_data[[#This Row],[Price_USD]]&gt;=87089,"High",
IF(tbl_data[[#This Row],[Price_USD]]&gt;=56807,"Mid","Low"))</f>
        <v>High</v>
      </c>
      <c r="P197" s="1" t="str">
        <f>IF(tbl_data[[#This Row],[Transmission]]="Automatic","Auto","Manual")</f>
        <v>Auto</v>
      </c>
      <c r="Q197" s="1" t="str">
        <f>IFERROR(IF(VALUE(tbl_data[[#This Row],[Engine_CC]])=0,"",VALUE(tbl_data[[#This Row],[Price_USD]])/VALUE(tbl_data[[#This Row],[Engine_CC]])),"")</f>
        <v/>
      </c>
      <c r="R197" s="1" t="str">
        <f>TRIM(tbl_data[[#This Row],[Brand]])</f>
        <v>Kia</v>
      </c>
      <c r="S197" s="1">
        <f>_xlfn.NUMBERVALUE(tbl_data[[#This Row],[Price_USD]],".",",")</f>
        <v>102305.81</v>
      </c>
    </row>
    <row r="198" spans="1:19" x14ac:dyDescent="0.3">
      <c r="A198">
        <v>197</v>
      </c>
      <c r="B198" t="s">
        <v>30</v>
      </c>
      <c r="C198">
        <v>2008</v>
      </c>
      <c r="D198">
        <v>17411</v>
      </c>
      <c r="E198" t="s">
        <v>31</v>
      </c>
      <c r="F198" t="s">
        <v>14</v>
      </c>
      <c r="G198" t="s">
        <v>15</v>
      </c>
      <c r="H198">
        <v>1711</v>
      </c>
      <c r="I198" t="s">
        <v>610</v>
      </c>
      <c r="J198" t="s">
        <v>611</v>
      </c>
      <c r="K198">
        <v>6</v>
      </c>
      <c r="L198" t="s">
        <v>612</v>
      </c>
      <c r="M198" s="1" t="str">
        <f>TEXT(DATE(tbl_data[[#This Row],[Model_Year]],1,1),"yyyy")</f>
        <v>2008</v>
      </c>
      <c r="N198" s="1" t="str">
        <f>IF(tbl_data[[#This Row],[Kilometers_Driven]]&lt;50000,"&lt;50k",
IF(tbl_data[[#This Row],[Kilometers_Driven]]&lt;100000,"50k-100k",
IF(tbl_data[[#This Row],[Kilometers_Driven]]&lt;150000,"100k-150k","150k+")))</f>
        <v>&lt;50k</v>
      </c>
      <c r="O198" s="1" t="str">
        <f>IF(tbl_data[[#This Row],[Price_USD]]&gt;=87089,"High",
IF(tbl_data[[#This Row],[Price_USD]]&gt;=56807,"Mid","Low"))</f>
        <v>High</v>
      </c>
      <c r="P198" s="1" t="str">
        <f>IF(tbl_data[[#This Row],[Transmission]]="Automatic","Auto","Manual")</f>
        <v>Manual</v>
      </c>
      <c r="Q198" s="1" t="str">
        <f>IFERROR(IF(VALUE(tbl_data[[#This Row],[Engine_CC]])=0,"",VALUE(tbl_data[[#This Row],[Price_USD]])/VALUE(tbl_data[[#This Row],[Engine_CC]])),"")</f>
        <v/>
      </c>
      <c r="R198" s="1" t="str">
        <f>TRIM(tbl_data[[#This Row],[Brand]])</f>
        <v>Mercedes</v>
      </c>
      <c r="S198" s="1">
        <f>_xlfn.NUMBERVALUE(tbl_data[[#This Row],[Price_USD]],".",",")</f>
        <v>85608.8</v>
      </c>
    </row>
    <row r="199" spans="1:19" x14ac:dyDescent="0.3">
      <c r="A199">
        <v>198</v>
      </c>
      <c r="B199" t="s">
        <v>19</v>
      </c>
      <c r="C199">
        <v>2023</v>
      </c>
      <c r="D199">
        <v>62009</v>
      </c>
      <c r="E199" t="s">
        <v>31</v>
      </c>
      <c r="F199" t="s">
        <v>21</v>
      </c>
      <c r="G199" t="s">
        <v>26</v>
      </c>
      <c r="H199">
        <v>4013</v>
      </c>
      <c r="I199" t="s">
        <v>613</v>
      </c>
      <c r="J199" t="s">
        <v>614</v>
      </c>
      <c r="K199">
        <v>2</v>
      </c>
      <c r="L199" t="s">
        <v>615</v>
      </c>
      <c r="M199" s="1" t="str">
        <f>TEXT(DATE(tbl_data[[#This Row],[Model_Year]],1,1),"yyyy")</f>
        <v>2023</v>
      </c>
      <c r="N199" s="1" t="str">
        <f>IF(tbl_data[[#This Row],[Kilometers_Driven]]&lt;50000,"&lt;50k",
IF(tbl_data[[#This Row],[Kilometers_Driven]]&lt;100000,"50k-100k",
IF(tbl_data[[#This Row],[Kilometers_Driven]]&lt;150000,"100k-150k","150k+")))</f>
        <v>50k-100k</v>
      </c>
      <c r="O199" s="1" t="str">
        <f>IF(tbl_data[[#This Row],[Price_USD]]&gt;=87089,"High",
IF(tbl_data[[#This Row],[Price_USD]]&gt;=56807,"Mid","Low"))</f>
        <v>High</v>
      </c>
      <c r="P199" s="1" t="str">
        <f>IF(tbl_data[[#This Row],[Transmission]]="Automatic","Auto","Manual")</f>
        <v>Auto</v>
      </c>
      <c r="Q199" s="1" t="str">
        <f>IFERROR(IF(VALUE(tbl_data[[#This Row],[Engine_CC]])=0,"",VALUE(tbl_data[[#This Row],[Price_USD]])/VALUE(tbl_data[[#This Row],[Engine_CC]])),"")</f>
        <v/>
      </c>
      <c r="R199" s="1" t="str">
        <f>TRIM(tbl_data[[#This Row],[Brand]])</f>
        <v>BMW</v>
      </c>
      <c r="S199" s="1">
        <f>_xlfn.NUMBERVALUE(tbl_data[[#This Row],[Price_USD]],".",",")</f>
        <v>60383.17</v>
      </c>
    </row>
    <row r="200" spans="1:19" x14ac:dyDescent="0.3">
      <c r="A200">
        <v>199</v>
      </c>
      <c r="B200" t="s">
        <v>76</v>
      </c>
      <c r="C200">
        <v>2015</v>
      </c>
      <c r="D200">
        <v>151494</v>
      </c>
      <c r="E200" t="s">
        <v>44</v>
      </c>
      <c r="F200" t="s">
        <v>21</v>
      </c>
      <c r="G200" t="s">
        <v>26</v>
      </c>
      <c r="H200">
        <v>3164</v>
      </c>
      <c r="I200" t="s">
        <v>616</v>
      </c>
      <c r="J200" t="s">
        <v>617</v>
      </c>
      <c r="K200">
        <v>2</v>
      </c>
      <c r="L200" t="s">
        <v>618</v>
      </c>
      <c r="M200" s="1" t="str">
        <f>TEXT(DATE(tbl_data[[#This Row],[Model_Year]],1,1),"yyyy")</f>
        <v>2015</v>
      </c>
      <c r="N200" s="1" t="str">
        <f>IF(tbl_data[[#This Row],[Kilometers_Driven]]&lt;50000,"&lt;50k",
IF(tbl_data[[#This Row],[Kilometers_Driven]]&lt;100000,"50k-100k",
IF(tbl_data[[#This Row],[Kilometers_Driven]]&lt;150000,"100k-150k","150k+")))</f>
        <v>150k+</v>
      </c>
      <c r="O200" s="1" t="str">
        <f>IF(tbl_data[[#This Row],[Price_USD]]&gt;=87089,"High",
IF(tbl_data[[#This Row],[Price_USD]]&gt;=56807,"Mid","Low"))</f>
        <v>High</v>
      </c>
      <c r="P200" s="1" t="str">
        <f>IF(tbl_data[[#This Row],[Transmission]]="Automatic","Auto","Manual")</f>
        <v>Auto</v>
      </c>
      <c r="Q200" s="1" t="str">
        <f>IFERROR(IF(VALUE(tbl_data[[#This Row],[Engine_CC]])=0,"",VALUE(tbl_data[[#This Row],[Price_USD]])/VALUE(tbl_data[[#This Row],[Engine_CC]])),"")</f>
        <v/>
      </c>
      <c r="R200" s="1" t="str">
        <f>TRIM(tbl_data[[#This Row],[Brand]])</f>
        <v>Honda</v>
      </c>
      <c r="S200" s="1">
        <f>_xlfn.NUMBERVALUE(tbl_data[[#This Row],[Price_USD]],".",",")</f>
        <v>33150.39</v>
      </c>
    </row>
    <row r="201" spans="1:19" x14ac:dyDescent="0.3">
      <c r="A201">
        <v>200</v>
      </c>
      <c r="B201" t="s">
        <v>69</v>
      </c>
      <c r="C201">
        <v>2012</v>
      </c>
      <c r="D201">
        <v>178540</v>
      </c>
      <c r="E201" t="s">
        <v>20</v>
      </c>
      <c r="F201" t="s">
        <v>14</v>
      </c>
      <c r="G201" t="s">
        <v>15</v>
      </c>
      <c r="H201">
        <v>4429</v>
      </c>
      <c r="I201" t="s">
        <v>619</v>
      </c>
      <c r="J201" t="s">
        <v>620</v>
      </c>
      <c r="K201">
        <v>4</v>
      </c>
      <c r="L201" t="s">
        <v>621</v>
      </c>
      <c r="M201" s="1" t="str">
        <f>TEXT(DATE(tbl_data[[#This Row],[Model_Year]],1,1),"yyyy")</f>
        <v>2012</v>
      </c>
      <c r="N201" s="1" t="str">
        <f>IF(tbl_data[[#This Row],[Kilometers_Driven]]&lt;50000,"&lt;50k",
IF(tbl_data[[#This Row],[Kilometers_Driven]]&lt;100000,"50k-100k",
IF(tbl_data[[#This Row],[Kilometers_Driven]]&lt;150000,"100k-150k","150k+")))</f>
        <v>150k+</v>
      </c>
      <c r="O201" s="1" t="str">
        <f>IF(tbl_data[[#This Row],[Price_USD]]&gt;=87089,"High",
IF(tbl_data[[#This Row],[Price_USD]]&gt;=56807,"Mid","Low"))</f>
        <v>High</v>
      </c>
      <c r="P201" s="1" t="str">
        <f>IF(tbl_data[[#This Row],[Transmission]]="Automatic","Auto","Manual")</f>
        <v>Manual</v>
      </c>
      <c r="Q201" s="1" t="str">
        <f>IFERROR(IF(VALUE(tbl_data[[#This Row],[Engine_CC]])=0,"",VALUE(tbl_data[[#This Row],[Price_USD]])/VALUE(tbl_data[[#This Row],[Engine_CC]])),"")</f>
        <v/>
      </c>
      <c r="R201" s="1" t="str">
        <f>TRIM(tbl_data[[#This Row],[Brand]])</f>
        <v>Hyundai</v>
      </c>
      <c r="S201" s="1">
        <f>_xlfn.NUMBERVALUE(tbl_data[[#This Row],[Price_USD]],".",",")</f>
        <v>106536.43</v>
      </c>
    </row>
    <row r="202" spans="1:19" x14ac:dyDescent="0.3">
      <c r="A202">
        <v>201</v>
      </c>
      <c r="B202" t="s">
        <v>69</v>
      </c>
      <c r="C202">
        <v>2015</v>
      </c>
      <c r="D202">
        <v>37371</v>
      </c>
      <c r="E202" t="s">
        <v>44</v>
      </c>
      <c r="F202" t="s">
        <v>21</v>
      </c>
      <c r="G202" t="s">
        <v>32</v>
      </c>
      <c r="H202">
        <v>4272</v>
      </c>
      <c r="I202" t="s">
        <v>622</v>
      </c>
      <c r="J202" t="s">
        <v>623</v>
      </c>
      <c r="K202">
        <v>2</v>
      </c>
      <c r="L202" t="s">
        <v>624</v>
      </c>
      <c r="M202" s="1" t="str">
        <f>TEXT(DATE(tbl_data[[#This Row],[Model_Year]],1,1),"yyyy")</f>
        <v>2015</v>
      </c>
      <c r="N202" s="1" t="str">
        <f>IF(tbl_data[[#This Row],[Kilometers_Driven]]&lt;50000,"&lt;50k",
IF(tbl_data[[#This Row],[Kilometers_Driven]]&lt;100000,"50k-100k",
IF(tbl_data[[#This Row],[Kilometers_Driven]]&lt;150000,"100k-150k","150k+")))</f>
        <v>&lt;50k</v>
      </c>
      <c r="O202" s="1" t="str">
        <f>IF(tbl_data[[#This Row],[Price_USD]]&gt;=87089,"High",
IF(tbl_data[[#This Row],[Price_USD]]&gt;=56807,"Mid","Low"))</f>
        <v>High</v>
      </c>
      <c r="P202" s="1" t="str">
        <f>IF(tbl_data[[#This Row],[Transmission]]="Automatic","Auto","Manual")</f>
        <v>Auto</v>
      </c>
      <c r="Q202" s="1" t="str">
        <f>IFERROR(IF(VALUE(tbl_data[[#This Row],[Engine_CC]])=0,"",VALUE(tbl_data[[#This Row],[Price_USD]])/VALUE(tbl_data[[#This Row],[Engine_CC]])),"")</f>
        <v/>
      </c>
      <c r="R202" s="1" t="str">
        <f>TRIM(tbl_data[[#This Row],[Brand]])</f>
        <v>Hyundai</v>
      </c>
      <c r="S202" s="1">
        <f>_xlfn.NUMBERVALUE(tbl_data[[#This Row],[Price_USD]],".",",")</f>
        <v>70511.39</v>
      </c>
    </row>
    <row r="203" spans="1:19" x14ac:dyDescent="0.3">
      <c r="A203">
        <v>202</v>
      </c>
      <c r="B203" t="s">
        <v>92</v>
      </c>
      <c r="C203">
        <v>2008</v>
      </c>
      <c r="D203">
        <v>62022</v>
      </c>
      <c r="E203" t="s">
        <v>20</v>
      </c>
      <c r="F203" t="s">
        <v>21</v>
      </c>
      <c r="G203" t="s">
        <v>32</v>
      </c>
      <c r="H203">
        <v>1480</v>
      </c>
      <c r="I203" t="s">
        <v>625</v>
      </c>
      <c r="J203" t="s">
        <v>626</v>
      </c>
      <c r="K203">
        <v>6</v>
      </c>
      <c r="L203" t="s">
        <v>627</v>
      </c>
      <c r="M203" s="1" t="str">
        <f>TEXT(DATE(tbl_data[[#This Row],[Model_Year]],1,1),"yyyy")</f>
        <v>2008</v>
      </c>
      <c r="N203" s="1" t="str">
        <f>IF(tbl_data[[#This Row],[Kilometers_Driven]]&lt;50000,"&lt;50k",
IF(tbl_data[[#This Row],[Kilometers_Driven]]&lt;100000,"50k-100k",
IF(tbl_data[[#This Row],[Kilometers_Driven]]&lt;150000,"100k-150k","150k+")))</f>
        <v>50k-100k</v>
      </c>
      <c r="O203" s="1" t="str">
        <f>IF(tbl_data[[#This Row],[Price_USD]]&gt;=87089,"High",
IF(tbl_data[[#This Row],[Price_USD]]&gt;=56807,"Mid","Low"))</f>
        <v>High</v>
      </c>
      <c r="P203" s="1" t="str">
        <f>IF(tbl_data[[#This Row],[Transmission]]="Automatic","Auto","Manual")</f>
        <v>Auto</v>
      </c>
      <c r="Q203" s="1" t="str">
        <f>IFERROR(IF(VALUE(tbl_data[[#This Row],[Engine_CC]])=0,"",VALUE(tbl_data[[#This Row],[Price_USD]])/VALUE(tbl_data[[#This Row],[Engine_CC]])),"")</f>
        <v/>
      </c>
      <c r="R203" s="1" t="str">
        <f>TRIM(tbl_data[[#This Row],[Brand]])</f>
        <v>Toyota</v>
      </c>
      <c r="S203" s="1">
        <f>_xlfn.NUMBERVALUE(tbl_data[[#This Row],[Price_USD]],".",",")</f>
        <v>28874.27</v>
      </c>
    </row>
    <row r="204" spans="1:19" x14ac:dyDescent="0.3">
      <c r="A204">
        <v>203</v>
      </c>
      <c r="B204" t="s">
        <v>102</v>
      </c>
      <c r="C204">
        <v>2021</v>
      </c>
      <c r="D204">
        <v>76229</v>
      </c>
      <c r="E204" t="s">
        <v>13</v>
      </c>
      <c r="F204" t="s">
        <v>14</v>
      </c>
      <c r="G204" t="s">
        <v>32</v>
      </c>
      <c r="H204">
        <v>1409</v>
      </c>
      <c r="I204" t="s">
        <v>628</v>
      </c>
      <c r="J204" t="s">
        <v>629</v>
      </c>
      <c r="K204">
        <v>7</v>
      </c>
      <c r="L204" t="s">
        <v>630</v>
      </c>
      <c r="M204" s="1" t="str">
        <f>TEXT(DATE(tbl_data[[#This Row],[Model_Year]],1,1),"yyyy")</f>
        <v>2021</v>
      </c>
      <c r="N204" s="1" t="str">
        <f>IF(tbl_data[[#This Row],[Kilometers_Driven]]&lt;50000,"&lt;50k",
IF(tbl_data[[#This Row],[Kilometers_Driven]]&lt;100000,"50k-100k",
IF(tbl_data[[#This Row],[Kilometers_Driven]]&lt;150000,"100k-150k","150k+")))</f>
        <v>50k-100k</v>
      </c>
      <c r="O204" s="1" t="str">
        <f>IF(tbl_data[[#This Row],[Price_USD]]&gt;=87089,"High",
IF(tbl_data[[#This Row],[Price_USD]]&gt;=56807,"Mid","Low"))</f>
        <v>High</v>
      </c>
      <c r="P204" s="1" t="str">
        <f>IF(tbl_data[[#This Row],[Transmission]]="Automatic","Auto","Manual")</f>
        <v>Manual</v>
      </c>
      <c r="Q204" s="1" t="str">
        <f>IFERROR(IF(VALUE(tbl_data[[#This Row],[Engine_CC]])=0,"",VALUE(tbl_data[[#This Row],[Price_USD]])/VALUE(tbl_data[[#This Row],[Engine_CC]])),"")</f>
        <v/>
      </c>
      <c r="R204" s="1" t="str">
        <f>TRIM(tbl_data[[#This Row],[Brand]])</f>
        <v>Nissan</v>
      </c>
      <c r="S204" s="1">
        <f>_xlfn.NUMBERVALUE(tbl_data[[#This Row],[Price_USD]],".",",")</f>
        <v>34487.01</v>
      </c>
    </row>
    <row r="205" spans="1:19" x14ac:dyDescent="0.3">
      <c r="A205">
        <v>204</v>
      </c>
      <c r="B205" t="s">
        <v>69</v>
      </c>
      <c r="C205">
        <v>2011</v>
      </c>
      <c r="D205">
        <v>104071</v>
      </c>
      <c r="E205" t="s">
        <v>44</v>
      </c>
      <c r="F205" t="s">
        <v>21</v>
      </c>
      <c r="G205" t="s">
        <v>15</v>
      </c>
      <c r="H205">
        <v>2956</v>
      </c>
      <c r="I205" t="s">
        <v>631</v>
      </c>
      <c r="J205" t="s">
        <v>632</v>
      </c>
      <c r="K205">
        <v>6</v>
      </c>
      <c r="L205" t="s">
        <v>633</v>
      </c>
      <c r="M205" s="1" t="str">
        <f>TEXT(DATE(tbl_data[[#This Row],[Model_Year]],1,1),"yyyy")</f>
        <v>2011</v>
      </c>
      <c r="N205" s="1" t="str">
        <f>IF(tbl_data[[#This Row],[Kilometers_Driven]]&lt;50000,"&lt;50k",
IF(tbl_data[[#This Row],[Kilometers_Driven]]&lt;100000,"50k-100k",
IF(tbl_data[[#This Row],[Kilometers_Driven]]&lt;150000,"100k-150k","150k+")))</f>
        <v>100k-150k</v>
      </c>
      <c r="O205" s="1" t="str">
        <f>IF(tbl_data[[#This Row],[Price_USD]]&gt;=87089,"High",
IF(tbl_data[[#This Row],[Price_USD]]&gt;=56807,"Mid","Low"))</f>
        <v>High</v>
      </c>
      <c r="P205" s="1" t="str">
        <f>IF(tbl_data[[#This Row],[Transmission]]="Automatic","Auto","Manual")</f>
        <v>Auto</v>
      </c>
      <c r="Q205" s="1" t="str">
        <f>IFERROR(IF(VALUE(tbl_data[[#This Row],[Engine_CC]])=0,"",VALUE(tbl_data[[#This Row],[Price_USD]])/VALUE(tbl_data[[#This Row],[Engine_CC]])),"")</f>
        <v/>
      </c>
      <c r="R205" s="1" t="str">
        <f>TRIM(tbl_data[[#This Row],[Brand]])</f>
        <v>Hyundai</v>
      </c>
      <c r="S205" s="1">
        <f>_xlfn.NUMBERVALUE(tbl_data[[#This Row],[Price_USD]],".",",")</f>
        <v>96966.57</v>
      </c>
    </row>
    <row r="206" spans="1:19" x14ac:dyDescent="0.3">
      <c r="A206">
        <v>205</v>
      </c>
      <c r="B206" t="s">
        <v>43</v>
      </c>
      <c r="C206">
        <v>2012</v>
      </c>
      <c r="D206">
        <v>187268</v>
      </c>
      <c r="E206" t="s">
        <v>31</v>
      </c>
      <c r="F206" t="s">
        <v>14</v>
      </c>
      <c r="G206" t="s">
        <v>32</v>
      </c>
      <c r="H206">
        <v>4666</v>
      </c>
      <c r="I206" t="s">
        <v>634</v>
      </c>
      <c r="J206" t="s">
        <v>635</v>
      </c>
      <c r="K206">
        <v>4</v>
      </c>
      <c r="L206" t="s">
        <v>636</v>
      </c>
      <c r="M206" s="1" t="str">
        <f>TEXT(DATE(tbl_data[[#This Row],[Model_Year]],1,1),"yyyy")</f>
        <v>2012</v>
      </c>
      <c r="N206" s="1" t="str">
        <f>IF(tbl_data[[#This Row],[Kilometers_Driven]]&lt;50000,"&lt;50k",
IF(tbl_data[[#This Row],[Kilometers_Driven]]&lt;100000,"50k-100k",
IF(tbl_data[[#This Row],[Kilometers_Driven]]&lt;150000,"100k-150k","150k+")))</f>
        <v>150k+</v>
      </c>
      <c r="O206" s="1" t="str">
        <f>IF(tbl_data[[#This Row],[Price_USD]]&gt;=87089,"High",
IF(tbl_data[[#This Row],[Price_USD]]&gt;=56807,"Mid","Low"))</f>
        <v>High</v>
      </c>
      <c r="P206" s="1" t="str">
        <f>IF(tbl_data[[#This Row],[Transmission]]="Automatic","Auto","Manual")</f>
        <v>Manual</v>
      </c>
      <c r="Q206" s="1" t="str">
        <f>IFERROR(IF(VALUE(tbl_data[[#This Row],[Engine_CC]])=0,"",VALUE(tbl_data[[#This Row],[Price_USD]])/VALUE(tbl_data[[#This Row],[Engine_CC]])),"")</f>
        <v/>
      </c>
      <c r="R206" s="1" t="str">
        <f>TRIM(tbl_data[[#This Row],[Brand]])</f>
        <v>Ford</v>
      </c>
      <c r="S206" s="1">
        <f>_xlfn.NUMBERVALUE(tbl_data[[#This Row],[Price_USD]],".",",")</f>
        <v>8165.03</v>
      </c>
    </row>
    <row r="207" spans="1:19" x14ac:dyDescent="0.3">
      <c r="A207">
        <v>206</v>
      </c>
      <c r="B207" t="s">
        <v>19</v>
      </c>
      <c r="C207">
        <v>2007</v>
      </c>
      <c r="D207">
        <v>101774</v>
      </c>
      <c r="E207" t="s">
        <v>13</v>
      </c>
      <c r="F207" t="s">
        <v>14</v>
      </c>
      <c r="G207" t="s">
        <v>26</v>
      </c>
      <c r="H207">
        <v>1171</v>
      </c>
      <c r="I207" t="s">
        <v>637</v>
      </c>
      <c r="J207" t="s">
        <v>638</v>
      </c>
      <c r="K207">
        <v>6</v>
      </c>
      <c r="L207" t="s">
        <v>639</v>
      </c>
      <c r="M207" s="1" t="str">
        <f>TEXT(DATE(tbl_data[[#This Row],[Model_Year]],1,1),"yyyy")</f>
        <v>2007</v>
      </c>
      <c r="N207" s="1" t="str">
        <f>IF(tbl_data[[#This Row],[Kilometers_Driven]]&lt;50000,"&lt;50k",
IF(tbl_data[[#This Row],[Kilometers_Driven]]&lt;100000,"50k-100k",
IF(tbl_data[[#This Row],[Kilometers_Driven]]&lt;150000,"100k-150k","150k+")))</f>
        <v>100k-150k</v>
      </c>
      <c r="O207" s="1" t="str">
        <f>IF(tbl_data[[#This Row],[Price_USD]]&gt;=87089,"High",
IF(tbl_data[[#This Row],[Price_USD]]&gt;=56807,"Mid","Low"))</f>
        <v>High</v>
      </c>
      <c r="P207" s="1" t="str">
        <f>IF(tbl_data[[#This Row],[Transmission]]="Automatic","Auto","Manual")</f>
        <v>Manual</v>
      </c>
      <c r="Q207" s="1" t="str">
        <f>IFERROR(IF(VALUE(tbl_data[[#This Row],[Engine_CC]])=0,"",VALUE(tbl_data[[#This Row],[Price_USD]])/VALUE(tbl_data[[#This Row],[Engine_CC]])),"")</f>
        <v/>
      </c>
      <c r="R207" s="1" t="str">
        <f>TRIM(tbl_data[[#This Row],[Brand]])</f>
        <v>BMW</v>
      </c>
      <c r="S207" s="1">
        <f>_xlfn.NUMBERVALUE(tbl_data[[#This Row],[Price_USD]],".",",")</f>
        <v>119074.79</v>
      </c>
    </row>
    <row r="208" spans="1:19" x14ac:dyDescent="0.3">
      <c r="A208">
        <v>207</v>
      </c>
      <c r="B208" t="s">
        <v>19</v>
      </c>
      <c r="C208">
        <v>2006</v>
      </c>
      <c r="D208">
        <v>31715</v>
      </c>
      <c r="E208" t="s">
        <v>31</v>
      </c>
      <c r="F208" t="s">
        <v>14</v>
      </c>
      <c r="G208" t="s">
        <v>26</v>
      </c>
      <c r="H208">
        <v>1415</v>
      </c>
      <c r="I208" t="s">
        <v>640</v>
      </c>
      <c r="J208" t="s">
        <v>641</v>
      </c>
      <c r="K208">
        <v>5</v>
      </c>
      <c r="L208" t="s">
        <v>642</v>
      </c>
      <c r="M208" s="1" t="str">
        <f>TEXT(DATE(tbl_data[[#This Row],[Model_Year]],1,1),"yyyy")</f>
        <v>2006</v>
      </c>
      <c r="N208" s="1" t="str">
        <f>IF(tbl_data[[#This Row],[Kilometers_Driven]]&lt;50000,"&lt;50k",
IF(tbl_data[[#This Row],[Kilometers_Driven]]&lt;100000,"50k-100k",
IF(tbl_data[[#This Row],[Kilometers_Driven]]&lt;150000,"100k-150k","150k+")))</f>
        <v>&lt;50k</v>
      </c>
      <c r="O208" s="1" t="str">
        <f>IF(tbl_data[[#This Row],[Price_USD]]&gt;=87089,"High",
IF(tbl_data[[#This Row],[Price_USD]]&gt;=56807,"Mid","Low"))</f>
        <v>High</v>
      </c>
      <c r="P208" s="1" t="str">
        <f>IF(tbl_data[[#This Row],[Transmission]]="Automatic","Auto","Manual")</f>
        <v>Manual</v>
      </c>
      <c r="Q208" s="1" t="str">
        <f>IFERROR(IF(VALUE(tbl_data[[#This Row],[Engine_CC]])=0,"",VALUE(tbl_data[[#This Row],[Price_USD]])/VALUE(tbl_data[[#This Row],[Engine_CC]])),"")</f>
        <v/>
      </c>
      <c r="R208" s="1" t="str">
        <f>TRIM(tbl_data[[#This Row],[Brand]])</f>
        <v>BMW</v>
      </c>
      <c r="S208" s="1">
        <f>_xlfn.NUMBERVALUE(tbl_data[[#This Row],[Price_USD]],".",",")</f>
        <v>18251.150000000001</v>
      </c>
    </row>
    <row r="209" spans="1:19" x14ac:dyDescent="0.3">
      <c r="A209">
        <v>208</v>
      </c>
      <c r="B209" t="s">
        <v>43</v>
      </c>
      <c r="C209">
        <v>2019</v>
      </c>
      <c r="D209">
        <v>32605</v>
      </c>
      <c r="E209" t="s">
        <v>13</v>
      </c>
      <c r="F209" t="s">
        <v>14</v>
      </c>
      <c r="G209" t="s">
        <v>15</v>
      </c>
      <c r="H209">
        <v>3053</v>
      </c>
      <c r="I209" t="s">
        <v>643</v>
      </c>
      <c r="J209" t="s">
        <v>644</v>
      </c>
      <c r="K209">
        <v>7</v>
      </c>
      <c r="L209" t="s">
        <v>645</v>
      </c>
      <c r="M209" s="1" t="str">
        <f>TEXT(DATE(tbl_data[[#This Row],[Model_Year]],1,1),"yyyy")</f>
        <v>2019</v>
      </c>
      <c r="N209" s="1" t="str">
        <f>IF(tbl_data[[#This Row],[Kilometers_Driven]]&lt;50000,"&lt;50k",
IF(tbl_data[[#This Row],[Kilometers_Driven]]&lt;100000,"50k-100k",
IF(tbl_data[[#This Row],[Kilometers_Driven]]&lt;150000,"100k-150k","150k+")))</f>
        <v>&lt;50k</v>
      </c>
      <c r="O209" s="1" t="str">
        <f>IF(tbl_data[[#This Row],[Price_USD]]&gt;=87089,"High",
IF(tbl_data[[#This Row],[Price_USD]]&gt;=56807,"Mid","Low"))</f>
        <v>High</v>
      </c>
      <c r="P209" s="1" t="str">
        <f>IF(tbl_data[[#This Row],[Transmission]]="Automatic","Auto","Manual")</f>
        <v>Manual</v>
      </c>
      <c r="Q209" s="1" t="str">
        <f>IFERROR(IF(VALUE(tbl_data[[#This Row],[Engine_CC]])=0,"",VALUE(tbl_data[[#This Row],[Price_USD]])/VALUE(tbl_data[[#This Row],[Engine_CC]])),"")</f>
        <v/>
      </c>
      <c r="R209" s="1" t="str">
        <f>TRIM(tbl_data[[#This Row],[Brand]])</f>
        <v>Ford</v>
      </c>
      <c r="S209" s="1">
        <f>_xlfn.NUMBERVALUE(tbl_data[[#This Row],[Price_USD]],".",",")</f>
        <v>96140.02</v>
      </c>
    </row>
    <row r="210" spans="1:19" x14ac:dyDescent="0.3">
      <c r="A210">
        <v>209</v>
      </c>
      <c r="B210" t="s">
        <v>39</v>
      </c>
      <c r="C210">
        <v>2009</v>
      </c>
      <c r="D210">
        <v>104853</v>
      </c>
      <c r="E210" t="s">
        <v>44</v>
      </c>
      <c r="F210" t="s">
        <v>14</v>
      </c>
      <c r="G210" t="s">
        <v>26</v>
      </c>
      <c r="H210">
        <v>4938</v>
      </c>
      <c r="I210" t="s">
        <v>646</v>
      </c>
      <c r="J210" t="s">
        <v>647</v>
      </c>
      <c r="K210">
        <v>5</v>
      </c>
      <c r="L210" t="s">
        <v>648</v>
      </c>
      <c r="M210" s="1" t="str">
        <f>TEXT(DATE(tbl_data[[#This Row],[Model_Year]],1,1),"yyyy")</f>
        <v>2009</v>
      </c>
      <c r="N210" s="1" t="str">
        <f>IF(tbl_data[[#This Row],[Kilometers_Driven]]&lt;50000,"&lt;50k",
IF(tbl_data[[#This Row],[Kilometers_Driven]]&lt;100000,"50k-100k",
IF(tbl_data[[#This Row],[Kilometers_Driven]]&lt;150000,"100k-150k","150k+")))</f>
        <v>100k-150k</v>
      </c>
      <c r="O210" s="1" t="str">
        <f>IF(tbl_data[[#This Row],[Price_USD]]&gt;=87089,"High",
IF(tbl_data[[#This Row],[Price_USD]]&gt;=56807,"Mid","Low"))</f>
        <v>High</v>
      </c>
      <c r="P210" s="1" t="str">
        <f>IF(tbl_data[[#This Row],[Transmission]]="Automatic","Auto","Manual")</f>
        <v>Manual</v>
      </c>
      <c r="Q210" s="1" t="str">
        <f>IFERROR(IF(VALUE(tbl_data[[#This Row],[Engine_CC]])=0,"",VALUE(tbl_data[[#This Row],[Price_USD]])/VALUE(tbl_data[[#This Row],[Engine_CC]])),"")</f>
        <v/>
      </c>
      <c r="R210" s="1" t="str">
        <f>TRIM(tbl_data[[#This Row],[Brand]])</f>
        <v>Volkswagen</v>
      </c>
      <c r="S210" s="1">
        <f>_xlfn.NUMBERVALUE(tbl_data[[#This Row],[Price_USD]],".",",")</f>
        <v>49188.71</v>
      </c>
    </row>
    <row r="211" spans="1:19" x14ac:dyDescent="0.3">
      <c r="A211">
        <v>210</v>
      </c>
      <c r="B211" t="s">
        <v>43</v>
      </c>
      <c r="C211">
        <v>2005</v>
      </c>
      <c r="D211">
        <v>36174</v>
      </c>
      <c r="E211" t="s">
        <v>20</v>
      </c>
      <c r="F211" t="s">
        <v>21</v>
      </c>
      <c r="G211" t="s">
        <v>15</v>
      </c>
      <c r="H211">
        <v>1664</v>
      </c>
      <c r="I211" t="s">
        <v>649</v>
      </c>
      <c r="J211" t="s">
        <v>650</v>
      </c>
      <c r="K211">
        <v>5</v>
      </c>
      <c r="L211" t="s">
        <v>651</v>
      </c>
      <c r="M211" s="1" t="str">
        <f>TEXT(DATE(tbl_data[[#This Row],[Model_Year]],1,1),"yyyy")</f>
        <v>2005</v>
      </c>
      <c r="N211" s="1" t="str">
        <f>IF(tbl_data[[#This Row],[Kilometers_Driven]]&lt;50000,"&lt;50k",
IF(tbl_data[[#This Row],[Kilometers_Driven]]&lt;100000,"50k-100k",
IF(tbl_data[[#This Row],[Kilometers_Driven]]&lt;150000,"100k-150k","150k+")))</f>
        <v>&lt;50k</v>
      </c>
      <c r="O211" s="1" t="str">
        <f>IF(tbl_data[[#This Row],[Price_USD]]&gt;=87089,"High",
IF(tbl_data[[#This Row],[Price_USD]]&gt;=56807,"Mid","Low"))</f>
        <v>High</v>
      </c>
      <c r="P211" s="1" t="str">
        <f>IF(tbl_data[[#This Row],[Transmission]]="Automatic","Auto","Manual")</f>
        <v>Auto</v>
      </c>
      <c r="Q211" s="1" t="str">
        <f>IFERROR(IF(VALUE(tbl_data[[#This Row],[Engine_CC]])=0,"",VALUE(tbl_data[[#This Row],[Price_USD]])/VALUE(tbl_data[[#This Row],[Engine_CC]])),"")</f>
        <v/>
      </c>
      <c r="R211" s="1" t="str">
        <f>TRIM(tbl_data[[#This Row],[Brand]])</f>
        <v>Ford</v>
      </c>
      <c r="S211" s="1">
        <f>_xlfn.NUMBERVALUE(tbl_data[[#This Row],[Price_USD]],".",",")</f>
        <v>60589.29</v>
      </c>
    </row>
    <row r="212" spans="1:19" x14ac:dyDescent="0.3">
      <c r="A212">
        <v>211</v>
      </c>
      <c r="B212" t="s">
        <v>43</v>
      </c>
      <c r="C212">
        <v>2008</v>
      </c>
      <c r="D212">
        <v>146028</v>
      </c>
      <c r="E212" t="s">
        <v>13</v>
      </c>
      <c r="F212" t="s">
        <v>14</v>
      </c>
      <c r="G212" t="s">
        <v>32</v>
      </c>
      <c r="H212">
        <v>2068</v>
      </c>
      <c r="I212" t="s">
        <v>652</v>
      </c>
      <c r="J212" t="s">
        <v>653</v>
      </c>
      <c r="K212">
        <v>4</v>
      </c>
      <c r="L212" t="s">
        <v>654</v>
      </c>
      <c r="M212" s="1" t="str">
        <f>TEXT(DATE(tbl_data[[#This Row],[Model_Year]],1,1),"yyyy")</f>
        <v>2008</v>
      </c>
      <c r="N212" s="1" t="str">
        <f>IF(tbl_data[[#This Row],[Kilometers_Driven]]&lt;50000,"&lt;50k",
IF(tbl_data[[#This Row],[Kilometers_Driven]]&lt;100000,"50k-100k",
IF(tbl_data[[#This Row],[Kilometers_Driven]]&lt;150000,"100k-150k","150k+")))</f>
        <v>100k-150k</v>
      </c>
      <c r="O212" s="1" t="str">
        <f>IF(tbl_data[[#This Row],[Price_USD]]&gt;=87089,"High",
IF(tbl_data[[#This Row],[Price_USD]]&gt;=56807,"Mid","Low"))</f>
        <v>High</v>
      </c>
      <c r="P212" s="1" t="str">
        <f>IF(tbl_data[[#This Row],[Transmission]]="Automatic","Auto","Manual")</f>
        <v>Manual</v>
      </c>
      <c r="Q212" s="1" t="str">
        <f>IFERROR(IF(VALUE(tbl_data[[#This Row],[Engine_CC]])=0,"",VALUE(tbl_data[[#This Row],[Price_USD]])/VALUE(tbl_data[[#This Row],[Engine_CC]])),"")</f>
        <v/>
      </c>
      <c r="R212" s="1" t="str">
        <f>TRIM(tbl_data[[#This Row],[Brand]])</f>
        <v>Ford</v>
      </c>
      <c r="S212" s="1">
        <f>_xlfn.NUMBERVALUE(tbl_data[[#This Row],[Price_USD]],".",",")</f>
        <v>106036.12</v>
      </c>
    </row>
    <row r="213" spans="1:19" x14ac:dyDescent="0.3">
      <c r="A213">
        <v>212</v>
      </c>
      <c r="B213" t="s">
        <v>19</v>
      </c>
      <c r="C213">
        <v>2019</v>
      </c>
      <c r="D213">
        <v>81373</v>
      </c>
      <c r="E213" t="s">
        <v>20</v>
      </c>
      <c r="F213" t="s">
        <v>14</v>
      </c>
      <c r="G213" t="s">
        <v>32</v>
      </c>
      <c r="H213">
        <v>1584</v>
      </c>
      <c r="I213" t="s">
        <v>655</v>
      </c>
      <c r="J213" t="s">
        <v>656</v>
      </c>
      <c r="K213">
        <v>2</v>
      </c>
      <c r="L213" t="s">
        <v>657</v>
      </c>
      <c r="M213" s="1" t="str">
        <f>TEXT(DATE(tbl_data[[#This Row],[Model_Year]],1,1),"yyyy")</f>
        <v>2019</v>
      </c>
      <c r="N213" s="1" t="str">
        <f>IF(tbl_data[[#This Row],[Kilometers_Driven]]&lt;50000,"&lt;50k",
IF(tbl_data[[#This Row],[Kilometers_Driven]]&lt;100000,"50k-100k",
IF(tbl_data[[#This Row],[Kilometers_Driven]]&lt;150000,"100k-150k","150k+")))</f>
        <v>50k-100k</v>
      </c>
      <c r="O213" s="1" t="str">
        <f>IF(tbl_data[[#This Row],[Price_USD]]&gt;=87089,"High",
IF(tbl_data[[#This Row],[Price_USD]]&gt;=56807,"Mid","Low"))</f>
        <v>High</v>
      </c>
      <c r="P213" s="1" t="str">
        <f>IF(tbl_data[[#This Row],[Transmission]]="Automatic","Auto","Manual")</f>
        <v>Manual</v>
      </c>
      <c r="Q213" s="1" t="str">
        <f>IFERROR(IF(VALUE(tbl_data[[#This Row],[Engine_CC]])=0,"",VALUE(tbl_data[[#This Row],[Price_USD]])/VALUE(tbl_data[[#This Row],[Engine_CC]])),"")</f>
        <v/>
      </c>
      <c r="R213" s="1" t="str">
        <f>TRIM(tbl_data[[#This Row],[Brand]])</f>
        <v>BMW</v>
      </c>
      <c r="S213" s="1">
        <f>_xlfn.NUMBERVALUE(tbl_data[[#This Row],[Price_USD]],".",",")</f>
        <v>51310.61</v>
      </c>
    </row>
    <row r="214" spans="1:19" x14ac:dyDescent="0.3">
      <c r="A214">
        <v>213</v>
      </c>
      <c r="B214" t="s">
        <v>12</v>
      </c>
      <c r="C214">
        <v>2024</v>
      </c>
      <c r="D214">
        <v>74252</v>
      </c>
      <c r="E214" t="s">
        <v>13</v>
      </c>
      <c r="F214" t="s">
        <v>21</v>
      </c>
      <c r="G214" t="s">
        <v>32</v>
      </c>
      <c r="H214">
        <v>4978</v>
      </c>
      <c r="I214" t="s">
        <v>658</v>
      </c>
      <c r="J214" t="s">
        <v>659</v>
      </c>
      <c r="K214">
        <v>5</v>
      </c>
      <c r="L214" t="s">
        <v>660</v>
      </c>
      <c r="M214" s="1" t="str">
        <f>TEXT(DATE(tbl_data[[#This Row],[Model_Year]],1,1),"yyyy")</f>
        <v>2024</v>
      </c>
      <c r="N214" s="1" t="str">
        <f>IF(tbl_data[[#This Row],[Kilometers_Driven]]&lt;50000,"&lt;50k",
IF(tbl_data[[#This Row],[Kilometers_Driven]]&lt;100000,"50k-100k",
IF(tbl_data[[#This Row],[Kilometers_Driven]]&lt;150000,"100k-150k","150k+")))</f>
        <v>50k-100k</v>
      </c>
      <c r="O214" s="1" t="str">
        <f>IF(tbl_data[[#This Row],[Price_USD]]&gt;=87089,"High",
IF(tbl_data[[#This Row],[Price_USD]]&gt;=56807,"Mid","Low"))</f>
        <v>High</v>
      </c>
      <c r="P214" s="1" t="str">
        <f>IF(tbl_data[[#This Row],[Transmission]]="Automatic","Auto","Manual")</f>
        <v>Auto</v>
      </c>
      <c r="Q214" s="1" t="str">
        <f>IFERROR(IF(VALUE(tbl_data[[#This Row],[Engine_CC]])=0,"",VALUE(tbl_data[[#This Row],[Price_USD]])/VALUE(tbl_data[[#This Row],[Engine_CC]])),"")</f>
        <v/>
      </c>
      <c r="R214" s="1" t="str">
        <f>TRIM(tbl_data[[#This Row],[Brand]])</f>
        <v>Audi</v>
      </c>
      <c r="S214" s="1">
        <f>_xlfn.NUMBERVALUE(tbl_data[[#This Row],[Price_USD]],".",",")</f>
        <v>65886.77</v>
      </c>
    </row>
    <row r="215" spans="1:19" x14ac:dyDescent="0.3">
      <c r="A215">
        <v>214</v>
      </c>
      <c r="B215" t="s">
        <v>19</v>
      </c>
      <c r="C215">
        <v>2023</v>
      </c>
      <c r="D215">
        <v>198021</v>
      </c>
      <c r="E215" t="s">
        <v>31</v>
      </c>
      <c r="F215" t="s">
        <v>21</v>
      </c>
      <c r="G215" t="s">
        <v>26</v>
      </c>
      <c r="H215">
        <v>3037</v>
      </c>
      <c r="I215" t="s">
        <v>661</v>
      </c>
      <c r="J215" t="s">
        <v>662</v>
      </c>
      <c r="K215">
        <v>6</v>
      </c>
      <c r="L215" t="s">
        <v>663</v>
      </c>
      <c r="M215" s="1" t="str">
        <f>TEXT(DATE(tbl_data[[#This Row],[Model_Year]],1,1),"yyyy")</f>
        <v>2023</v>
      </c>
      <c r="N215" s="1" t="str">
        <f>IF(tbl_data[[#This Row],[Kilometers_Driven]]&lt;50000,"&lt;50k",
IF(tbl_data[[#This Row],[Kilometers_Driven]]&lt;100000,"50k-100k",
IF(tbl_data[[#This Row],[Kilometers_Driven]]&lt;150000,"100k-150k","150k+")))</f>
        <v>150k+</v>
      </c>
      <c r="O215" s="1" t="str">
        <f>IF(tbl_data[[#This Row],[Price_USD]]&gt;=87089,"High",
IF(tbl_data[[#This Row],[Price_USD]]&gt;=56807,"Mid","Low"))</f>
        <v>High</v>
      </c>
      <c r="P215" s="1" t="str">
        <f>IF(tbl_data[[#This Row],[Transmission]]="Automatic","Auto","Manual")</f>
        <v>Auto</v>
      </c>
      <c r="Q215" s="1" t="str">
        <f>IFERROR(IF(VALUE(tbl_data[[#This Row],[Engine_CC]])=0,"",VALUE(tbl_data[[#This Row],[Price_USD]])/VALUE(tbl_data[[#This Row],[Engine_CC]])),"")</f>
        <v/>
      </c>
      <c r="R215" s="1" t="str">
        <f>TRIM(tbl_data[[#This Row],[Brand]])</f>
        <v>BMW</v>
      </c>
      <c r="S215" s="1">
        <f>_xlfn.NUMBERVALUE(tbl_data[[#This Row],[Price_USD]],".",",")</f>
        <v>8768.06</v>
      </c>
    </row>
    <row r="216" spans="1:19" x14ac:dyDescent="0.3">
      <c r="A216">
        <v>215</v>
      </c>
      <c r="B216" t="s">
        <v>102</v>
      </c>
      <c r="C216">
        <v>2007</v>
      </c>
      <c r="D216">
        <v>198718</v>
      </c>
      <c r="E216" t="s">
        <v>31</v>
      </c>
      <c r="F216" t="s">
        <v>21</v>
      </c>
      <c r="G216" t="s">
        <v>15</v>
      </c>
      <c r="H216">
        <v>4854</v>
      </c>
      <c r="I216" t="s">
        <v>664</v>
      </c>
      <c r="J216" t="s">
        <v>665</v>
      </c>
      <c r="K216">
        <v>2</v>
      </c>
      <c r="L216" t="s">
        <v>666</v>
      </c>
      <c r="M216" s="1" t="str">
        <f>TEXT(DATE(tbl_data[[#This Row],[Model_Year]],1,1),"yyyy")</f>
        <v>2007</v>
      </c>
      <c r="N216" s="1" t="str">
        <f>IF(tbl_data[[#This Row],[Kilometers_Driven]]&lt;50000,"&lt;50k",
IF(tbl_data[[#This Row],[Kilometers_Driven]]&lt;100000,"50k-100k",
IF(tbl_data[[#This Row],[Kilometers_Driven]]&lt;150000,"100k-150k","150k+")))</f>
        <v>150k+</v>
      </c>
      <c r="O216" s="1" t="str">
        <f>IF(tbl_data[[#This Row],[Price_USD]]&gt;=87089,"High",
IF(tbl_data[[#This Row],[Price_USD]]&gt;=56807,"Mid","Low"))</f>
        <v>High</v>
      </c>
      <c r="P216" s="1" t="str">
        <f>IF(tbl_data[[#This Row],[Transmission]]="Automatic","Auto","Manual")</f>
        <v>Auto</v>
      </c>
      <c r="Q216" s="1" t="str">
        <f>IFERROR(IF(VALUE(tbl_data[[#This Row],[Engine_CC]])=0,"",VALUE(tbl_data[[#This Row],[Price_USD]])/VALUE(tbl_data[[#This Row],[Engine_CC]])),"")</f>
        <v/>
      </c>
      <c r="R216" s="1" t="str">
        <f>TRIM(tbl_data[[#This Row],[Brand]])</f>
        <v>Nissan</v>
      </c>
      <c r="S216" s="1">
        <f>_xlfn.NUMBERVALUE(tbl_data[[#This Row],[Price_USD]],".",",")</f>
        <v>3274.65</v>
      </c>
    </row>
    <row r="217" spans="1:19" x14ac:dyDescent="0.3">
      <c r="A217">
        <v>216</v>
      </c>
      <c r="B217" t="s">
        <v>92</v>
      </c>
      <c r="C217">
        <v>2024</v>
      </c>
      <c r="D217">
        <v>75017</v>
      </c>
      <c r="E217" t="s">
        <v>13</v>
      </c>
      <c r="F217" t="s">
        <v>14</v>
      </c>
      <c r="G217" t="s">
        <v>32</v>
      </c>
      <c r="H217">
        <v>1735</v>
      </c>
      <c r="I217" t="s">
        <v>667</v>
      </c>
      <c r="J217" t="s">
        <v>668</v>
      </c>
      <c r="K217">
        <v>6</v>
      </c>
      <c r="L217" t="s">
        <v>669</v>
      </c>
      <c r="M217" s="1" t="str">
        <f>TEXT(DATE(tbl_data[[#This Row],[Model_Year]],1,1),"yyyy")</f>
        <v>2024</v>
      </c>
      <c r="N217" s="1" t="str">
        <f>IF(tbl_data[[#This Row],[Kilometers_Driven]]&lt;50000,"&lt;50k",
IF(tbl_data[[#This Row],[Kilometers_Driven]]&lt;100000,"50k-100k",
IF(tbl_data[[#This Row],[Kilometers_Driven]]&lt;150000,"100k-150k","150k+")))</f>
        <v>50k-100k</v>
      </c>
      <c r="O217" s="1" t="str">
        <f>IF(tbl_data[[#This Row],[Price_USD]]&gt;=87089,"High",
IF(tbl_data[[#This Row],[Price_USD]]&gt;=56807,"Mid","Low"))</f>
        <v>High</v>
      </c>
      <c r="P217" s="1" t="str">
        <f>IF(tbl_data[[#This Row],[Transmission]]="Automatic","Auto","Manual")</f>
        <v>Manual</v>
      </c>
      <c r="Q217" s="1" t="str">
        <f>IFERROR(IF(VALUE(tbl_data[[#This Row],[Engine_CC]])=0,"",VALUE(tbl_data[[#This Row],[Price_USD]])/VALUE(tbl_data[[#This Row],[Engine_CC]])),"")</f>
        <v/>
      </c>
      <c r="R217" s="1" t="str">
        <f>TRIM(tbl_data[[#This Row],[Brand]])</f>
        <v>Toyota</v>
      </c>
      <c r="S217" s="1">
        <f>_xlfn.NUMBERVALUE(tbl_data[[#This Row],[Price_USD]],".",",")</f>
        <v>31641.59</v>
      </c>
    </row>
    <row r="218" spans="1:19" x14ac:dyDescent="0.3">
      <c r="A218">
        <v>217</v>
      </c>
      <c r="B218" t="s">
        <v>25</v>
      </c>
      <c r="C218">
        <v>2015</v>
      </c>
      <c r="D218">
        <v>68037</v>
      </c>
      <c r="E218" t="s">
        <v>20</v>
      </c>
      <c r="F218" t="s">
        <v>14</v>
      </c>
      <c r="G218" t="s">
        <v>15</v>
      </c>
      <c r="H218">
        <v>4780</v>
      </c>
      <c r="I218" t="s">
        <v>670</v>
      </c>
      <c r="J218" t="s">
        <v>671</v>
      </c>
      <c r="K218">
        <v>6</v>
      </c>
      <c r="L218" t="s">
        <v>672</v>
      </c>
      <c r="M218" s="1" t="str">
        <f>TEXT(DATE(tbl_data[[#This Row],[Model_Year]],1,1),"yyyy")</f>
        <v>2015</v>
      </c>
      <c r="N218" s="1" t="str">
        <f>IF(tbl_data[[#This Row],[Kilometers_Driven]]&lt;50000,"&lt;50k",
IF(tbl_data[[#This Row],[Kilometers_Driven]]&lt;100000,"50k-100k",
IF(tbl_data[[#This Row],[Kilometers_Driven]]&lt;150000,"100k-150k","150k+")))</f>
        <v>50k-100k</v>
      </c>
      <c r="O218" s="1" t="str">
        <f>IF(tbl_data[[#This Row],[Price_USD]]&gt;=87089,"High",
IF(tbl_data[[#This Row],[Price_USD]]&gt;=56807,"Mid","Low"))</f>
        <v>High</v>
      </c>
      <c r="P218" s="1" t="str">
        <f>IF(tbl_data[[#This Row],[Transmission]]="Automatic","Auto","Manual")</f>
        <v>Manual</v>
      </c>
      <c r="Q218" s="1" t="str">
        <f>IFERROR(IF(VALUE(tbl_data[[#This Row],[Engine_CC]])=0,"",VALUE(tbl_data[[#This Row],[Price_USD]])/VALUE(tbl_data[[#This Row],[Engine_CC]])),"")</f>
        <v/>
      </c>
      <c r="R218" s="1" t="str">
        <f>TRIM(tbl_data[[#This Row],[Brand]])</f>
        <v>Kia</v>
      </c>
      <c r="S218" s="1">
        <f>_xlfn.NUMBERVALUE(tbl_data[[#This Row],[Price_USD]],".",",")</f>
        <v>82628.22</v>
      </c>
    </row>
    <row r="219" spans="1:19" x14ac:dyDescent="0.3">
      <c r="A219">
        <v>218</v>
      </c>
      <c r="B219" t="s">
        <v>12</v>
      </c>
      <c r="C219">
        <v>2021</v>
      </c>
      <c r="D219">
        <v>94818</v>
      </c>
      <c r="E219" t="s">
        <v>44</v>
      </c>
      <c r="F219" t="s">
        <v>14</v>
      </c>
      <c r="G219" t="s">
        <v>32</v>
      </c>
      <c r="H219">
        <v>3138</v>
      </c>
      <c r="I219" t="s">
        <v>673</v>
      </c>
      <c r="J219" t="s">
        <v>674</v>
      </c>
      <c r="K219">
        <v>2</v>
      </c>
      <c r="L219" t="s">
        <v>675</v>
      </c>
      <c r="M219" s="1" t="str">
        <f>TEXT(DATE(tbl_data[[#This Row],[Model_Year]],1,1),"yyyy")</f>
        <v>2021</v>
      </c>
      <c r="N219" s="1" t="str">
        <f>IF(tbl_data[[#This Row],[Kilometers_Driven]]&lt;50000,"&lt;50k",
IF(tbl_data[[#This Row],[Kilometers_Driven]]&lt;100000,"50k-100k",
IF(tbl_data[[#This Row],[Kilometers_Driven]]&lt;150000,"100k-150k","150k+")))</f>
        <v>50k-100k</v>
      </c>
      <c r="O219" s="1" t="str">
        <f>IF(tbl_data[[#This Row],[Price_USD]]&gt;=87089,"High",
IF(tbl_data[[#This Row],[Price_USD]]&gt;=56807,"Mid","Low"))</f>
        <v>High</v>
      </c>
      <c r="P219" s="1" t="str">
        <f>IF(tbl_data[[#This Row],[Transmission]]="Automatic","Auto","Manual")</f>
        <v>Manual</v>
      </c>
      <c r="Q219" s="1" t="str">
        <f>IFERROR(IF(VALUE(tbl_data[[#This Row],[Engine_CC]])=0,"",VALUE(tbl_data[[#This Row],[Price_USD]])/VALUE(tbl_data[[#This Row],[Engine_CC]])),"")</f>
        <v/>
      </c>
      <c r="R219" s="1" t="str">
        <f>TRIM(tbl_data[[#This Row],[Brand]])</f>
        <v>Audi</v>
      </c>
      <c r="S219" s="1">
        <f>_xlfn.NUMBERVALUE(tbl_data[[#This Row],[Price_USD]],".",",")</f>
        <v>17187.990000000002</v>
      </c>
    </row>
    <row r="220" spans="1:19" x14ac:dyDescent="0.3">
      <c r="A220">
        <v>219</v>
      </c>
      <c r="B220" t="s">
        <v>76</v>
      </c>
      <c r="C220">
        <v>2017</v>
      </c>
      <c r="D220">
        <v>11548</v>
      </c>
      <c r="E220" t="s">
        <v>44</v>
      </c>
      <c r="F220" t="s">
        <v>21</v>
      </c>
      <c r="G220" t="s">
        <v>26</v>
      </c>
      <c r="H220">
        <v>1125</v>
      </c>
      <c r="I220" t="s">
        <v>676</v>
      </c>
      <c r="J220" t="s">
        <v>677</v>
      </c>
      <c r="K220">
        <v>2</v>
      </c>
      <c r="L220" t="s">
        <v>678</v>
      </c>
      <c r="M220" s="1" t="str">
        <f>TEXT(DATE(tbl_data[[#This Row],[Model_Year]],1,1),"yyyy")</f>
        <v>2017</v>
      </c>
      <c r="N220" s="1" t="str">
        <f>IF(tbl_data[[#This Row],[Kilometers_Driven]]&lt;50000,"&lt;50k",
IF(tbl_data[[#This Row],[Kilometers_Driven]]&lt;100000,"50k-100k",
IF(tbl_data[[#This Row],[Kilometers_Driven]]&lt;150000,"100k-150k","150k+")))</f>
        <v>&lt;50k</v>
      </c>
      <c r="O220" s="1" t="str">
        <f>IF(tbl_data[[#This Row],[Price_USD]]&gt;=87089,"High",
IF(tbl_data[[#This Row],[Price_USD]]&gt;=56807,"Mid","Low"))</f>
        <v>High</v>
      </c>
      <c r="P220" s="1" t="str">
        <f>IF(tbl_data[[#This Row],[Transmission]]="Automatic","Auto","Manual")</f>
        <v>Auto</v>
      </c>
      <c r="Q220" s="1" t="str">
        <f>IFERROR(IF(VALUE(tbl_data[[#This Row],[Engine_CC]])=0,"",VALUE(tbl_data[[#This Row],[Price_USD]])/VALUE(tbl_data[[#This Row],[Engine_CC]])),"")</f>
        <v/>
      </c>
      <c r="R220" s="1" t="str">
        <f>TRIM(tbl_data[[#This Row],[Brand]])</f>
        <v>Honda</v>
      </c>
      <c r="S220" s="1">
        <f>_xlfn.NUMBERVALUE(tbl_data[[#This Row],[Price_USD]],".",",")</f>
        <v>16310.15</v>
      </c>
    </row>
    <row r="221" spans="1:19" x14ac:dyDescent="0.3">
      <c r="A221">
        <v>220</v>
      </c>
      <c r="B221" t="s">
        <v>25</v>
      </c>
      <c r="C221">
        <v>2015</v>
      </c>
      <c r="D221">
        <v>121981</v>
      </c>
      <c r="E221" t="s">
        <v>31</v>
      </c>
      <c r="F221" t="s">
        <v>14</v>
      </c>
      <c r="G221" t="s">
        <v>26</v>
      </c>
      <c r="H221">
        <v>2334</v>
      </c>
      <c r="I221" t="s">
        <v>679</v>
      </c>
      <c r="J221" t="s">
        <v>680</v>
      </c>
      <c r="K221">
        <v>6</v>
      </c>
      <c r="L221" t="s">
        <v>681</v>
      </c>
      <c r="M221" s="1" t="str">
        <f>TEXT(DATE(tbl_data[[#This Row],[Model_Year]],1,1),"yyyy")</f>
        <v>2015</v>
      </c>
      <c r="N221" s="1" t="str">
        <f>IF(tbl_data[[#This Row],[Kilometers_Driven]]&lt;50000,"&lt;50k",
IF(tbl_data[[#This Row],[Kilometers_Driven]]&lt;100000,"50k-100k",
IF(tbl_data[[#This Row],[Kilometers_Driven]]&lt;150000,"100k-150k","150k+")))</f>
        <v>100k-150k</v>
      </c>
      <c r="O221" s="1" t="str">
        <f>IF(tbl_data[[#This Row],[Price_USD]]&gt;=87089,"High",
IF(tbl_data[[#This Row],[Price_USD]]&gt;=56807,"Mid","Low"))</f>
        <v>High</v>
      </c>
      <c r="P221" s="1" t="str">
        <f>IF(tbl_data[[#This Row],[Transmission]]="Automatic","Auto","Manual")</f>
        <v>Manual</v>
      </c>
      <c r="Q221" s="1" t="str">
        <f>IFERROR(IF(VALUE(tbl_data[[#This Row],[Engine_CC]])=0,"",VALUE(tbl_data[[#This Row],[Price_USD]])/VALUE(tbl_data[[#This Row],[Engine_CC]])),"")</f>
        <v/>
      </c>
      <c r="R221" s="1" t="str">
        <f>TRIM(tbl_data[[#This Row],[Brand]])</f>
        <v>Kia</v>
      </c>
      <c r="S221" s="1">
        <f>_xlfn.NUMBERVALUE(tbl_data[[#This Row],[Price_USD]],".",",")</f>
        <v>51082.39</v>
      </c>
    </row>
    <row r="222" spans="1:19" x14ac:dyDescent="0.3">
      <c r="A222">
        <v>221</v>
      </c>
      <c r="B222" t="s">
        <v>92</v>
      </c>
      <c r="C222">
        <v>2006</v>
      </c>
      <c r="D222">
        <v>159249</v>
      </c>
      <c r="E222" t="s">
        <v>44</v>
      </c>
      <c r="F222" t="s">
        <v>21</v>
      </c>
      <c r="G222" t="s">
        <v>15</v>
      </c>
      <c r="H222">
        <v>4280</v>
      </c>
      <c r="I222" t="s">
        <v>682</v>
      </c>
      <c r="J222" t="s">
        <v>683</v>
      </c>
      <c r="K222">
        <v>4</v>
      </c>
      <c r="L222" t="s">
        <v>684</v>
      </c>
      <c r="M222" s="1" t="str">
        <f>TEXT(DATE(tbl_data[[#This Row],[Model_Year]],1,1),"yyyy")</f>
        <v>2006</v>
      </c>
      <c r="N222" s="1" t="str">
        <f>IF(tbl_data[[#This Row],[Kilometers_Driven]]&lt;50000,"&lt;50k",
IF(tbl_data[[#This Row],[Kilometers_Driven]]&lt;100000,"50k-100k",
IF(tbl_data[[#This Row],[Kilometers_Driven]]&lt;150000,"100k-150k","150k+")))</f>
        <v>150k+</v>
      </c>
      <c r="O222" s="1" t="str">
        <f>IF(tbl_data[[#This Row],[Price_USD]]&gt;=87089,"High",
IF(tbl_data[[#This Row],[Price_USD]]&gt;=56807,"Mid","Low"))</f>
        <v>High</v>
      </c>
      <c r="P222" s="1" t="str">
        <f>IF(tbl_data[[#This Row],[Transmission]]="Automatic","Auto","Manual")</f>
        <v>Auto</v>
      </c>
      <c r="Q222" s="1" t="str">
        <f>IFERROR(IF(VALUE(tbl_data[[#This Row],[Engine_CC]])=0,"",VALUE(tbl_data[[#This Row],[Price_USD]])/VALUE(tbl_data[[#This Row],[Engine_CC]])),"")</f>
        <v/>
      </c>
      <c r="R222" s="1" t="str">
        <f>TRIM(tbl_data[[#This Row],[Brand]])</f>
        <v>Toyota</v>
      </c>
      <c r="S222" s="1">
        <f>_xlfn.NUMBERVALUE(tbl_data[[#This Row],[Price_USD]],".",",")</f>
        <v>78796.929999999993</v>
      </c>
    </row>
    <row r="223" spans="1:19" x14ac:dyDescent="0.3">
      <c r="A223">
        <v>222</v>
      </c>
      <c r="B223" t="s">
        <v>102</v>
      </c>
      <c r="C223">
        <v>2013</v>
      </c>
      <c r="D223">
        <v>29022</v>
      </c>
      <c r="E223" t="s">
        <v>31</v>
      </c>
      <c r="F223" t="s">
        <v>14</v>
      </c>
      <c r="G223" t="s">
        <v>26</v>
      </c>
      <c r="H223">
        <v>4661</v>
      </c>
      <c r="I223" t="s">
        <v>685</v>
      </c>
      <c r="J223" t="s">
        <v>686</v>
      </c>
      <c r="K223">
        <v>7</v>
      </c>
      <c r="L223" t="s">
        <v>687</v>
      </c>
      <c r="M223" s="1" t="str">
        <f>TEXT(DATE(tbl_data[[#This Row],[Model_Year]],1,1),"yyyy")</f>
        <v>2013</v>
      </c>
      <c r="N223" s="1" t="str">
        <f>IF(tbl_data[[#This Row],[Kilometers_Driven]]&lt;50000,"&lt;50k",
IF(tbl_data[[#This Row],[Kilometers_Driven]]&lt;100000,"50k-100k",
IF(tbl_data[[#This Row],[Kilometers_Driven]]&lt;150000,"100k-150k","150k+")))</f>
        <v>&lt;50k</v>
      </c>
      <c r="O223" s="1" t="str">
        <f>IF(tbl_data[[#This Row],[Price_USD]]&gt;=87089,"High",
IF(tbl_data[[#This Row],[Price_USD]]&gt;=56807,"Mid","Low"))</f>
        <v>High</v>
      </c>
      <c r="P223" s="1" t="str">
        <f>IF(tbl_data[[#This Row],[Transmission]]="Automatic","Auto","Manual")</f>
        <v>Manual</v>
      </c>
      <c r="Q223" s="1" t="str">
        <f>IFERROR(IF(VALUE(tbl_data[[#This Row],[Engine_CC]])=0,"",VALUE(tbl_data[[#This Row],[Price_USD]])/VALUE(tbl_data[[#This Row],[Engine_CC]])),"")</f>
        <v/>
      </c>
      <c r="R223" s="1" t="str">
        <f>TRIM(tbl_data[[#This Row],[Brand]])</f>
        <v>Nissan</v>
      </c>
      <c r="S223" s="1">
        <f>_xlfn.NUMBERVALUE(tbl_data[[#This Row],[Price_USD]],".",",")</f>
        <v>86312.42</v>
      </c>
    </row>
    <row r="224" spans="1:19" x14ac:dyDescent="0.3">
      <c r="A224">
        <v>223</v>
      </c>
      <c r="B224" t="s">
        <v>102</v>
      </c>
      <c r="C224">
        <v>2006</v>
      </c>
      <c r="D224">
        <v>111297</v>
      </c>
      <c r="E224" t="s">
        <v>44</v>
      </c>
      <c r="F224" t="s">
        <v>21</v>
      </c>
      <c r="G224" t="s">
        <v>26</v>
      </c>
      <c r="H224">
        <v>2785</v>
      </c>
      <c r="I224" t="s">
        <v>688</v>
      </c>
      <c r="J224" t="s">
        <v>689</v>
      </c>
      <c r="K224">
        <v>7</v>
      </c>
      <c r="L224" t="s">
        <v>690</v>
      </c>
      <c r="M224" s="1" t="str">
        <f>TEXT(DATE(tbl_data[[#This Row],[Model_Year]],1,1),"yyyy")</f>
        <v>2006</v>
      </c>
      <c r="N224" s="1" t="str">
        <f>IF(tbl_data[[#This Row],[Kilometers_Driven]]&lt;50000,"&lt;50k",
IF(tbl_data[[#This Row],[Kilometers_Driven]]&lt;100000,"50k-100k",
IF(tbl_data[[#This Row],[Kilometers_Driven]]&lt;150000,"100k-150k","150k+")))</f>
        <v>100k-150k</v>
      </c>
      <c r="O224" s="1" t="str">
        <f>IF(tbl_data[[#This Row],[Price_USD]]&gt;=87089,"High",
IF(tbl_data[[#This Row],[Price_USD]]&gt;=56807,"Mid","Low"))</f>
        <v>High</v>
      </c>
      <c r="P224" s="1" t="str">
        <f>IF(tbl_data[[#This Row],[Transmission]]="Automatic","Auto","Manual")</f>
        <v>Auto</v>
      </c>
      <c r="Q224" s="1" t="str">
        <f>IFERROR(IF(VALUE(tbl_data[[#This Row],[Engine_CC]])=0,"",VALUE(tbl_data[[#This Row],[Price_USD]])/VALUE(tbl_data[[#This Row],[Engine_CC]])),"")</f>
        <v/>
      </c>
      <c r="R224" s="1" t="str">
        <f>TRIM(tbl_data[[#This Row],[Brand]])</f>
        <v>Nissan</v>
      </c>
      <c r="S224" s="1">
        <f>_xlfn.NUMBERVALUE(tbl_data[[#This Row],[Price_USD]],".",",")</f>
        <v>23878.73</v>
      </c>
    </row>
    <row r="225" spans="1:19" x14ac:dyDescent="0.3">
      <c r="A225">
        <v>224</v>
      </c>
      <c r="B225" t="s">
        <v>76</v>
      </c>
      <c r="C225">
        <v>2013</v>
      </c>
      <c r="D225">
        <v>141614</v>
      </c>
      <c r="E225" t="s">
        <v>13</v>
      </c>
      <c r="F225" t="s">
        <v>14</v>
      </c>
      <c r="G225" t="s">
        <v>15</v>
      </c>
      <c r="H225">
        <v>3578</v>
      </c>
      <c r="I225" t="s">
        <v>691</v>
      </c>
      <c r="J225" t="s">
        <v>692</v>
      </c>
      <c r="K225">
        <v>4</v>
      </c>
      <c r="L225" t="s">
        <v>693</v>
      </c>
      <c r="M225" s="1" t="str">
        <f>TEXT(DATE(tbl_data[[#This Row],[Model_Year]],1,1),"yyyy")</f>
        <v>2013</v>
      </c>
      <c r="N225" s="1" t="str">
        <f>IF(tbl_data[[#This Row],[Kilometers_Driven]]&lt;50000,"&lt;50k",
IF(tbl_data[[#This Row],[Kilometers_Driven]]&lt;100000,"50k-100k",
IF(tbl_data[[#This Row],[Kilometers_Driven]]&lt;150000,"100k-150k","150k+")))</f>
        <v>100k-150k</v>
      </c>
      <c r="O225" s="1" t="str">
        <f>IF(tbl_data[[#This Row],[Price_USD]]&gt;=87089,"High",
IF(tbl_data[[#This Row],[Price_USD]]&gt;=56807,"Mid","Low"))</f>
        <v>High</v>
      </c>
      <c r="P225" s="1" t="str">
        <f>IF(tbl_data[[#This Row],[Transmission]]="Automatic","Auto","Manual")</f>
        <v>Manual</v>
      </c>
      <c r="Q225" s="1" t="str">
        <f>IFERROR(IF(VALUE(tbl_data[[#This Row],[Engine_CC]])=0,"",VALUE(tbl_data[[#This Row],[Price_USD]])/VALUE(tbl_data[[#This Row],[Engine_CC]])),"")</f>
        <v/>
      </c>
      <c r="R225" s="1" t="str">
        <f>TRIM(tbl_data[[#This Row],[Brand]])</f>
        <v>Honda</v>
      </c>
      <c r="S225" s="1">
        <f>_xlfn.NUMBERVALUE(tbl_data[[#This Row],[Price_USD]],".",",")</f>
        <v>12311.81</v>
      </c>
    </row>
    <row r="226" spans="1:19" x14ac:dyDescent="0.3">
      <c r="A226">
        <v>225</v>
      </c>
      <c r="B226" t="s">
        <v>12</v>
      </c>
      <c r="C226">
        <v>2013</v>
      </c>
      <c r="D226">
        <v>65428</v>
      </c>
      <c r="E226" t="s">
        <v>31</v>
      </c>
      <c r="F226" t="s">
        <v>14</v>
      </c>
      <c r="G226" t="s">
        <v>32</v>
      </c>
      <c r="H226">
        <v>2070</v>
      </c>
      <c r="I226" t="s">
        <v>694</v>
      </c>
      <c r="J226" t="s">
        <v>695</v>
      </c>
      <c r="K226">
        <v>2</v>
      </c>
      <c r="L226" t="s">
        <v>696</v>
      </c>
      <c r="M226" s="1" t="str">
        <f>TEXT(DATE(tbl_data[[#This Row],[Model_Year]],1,1),"yyyy")</f>
        <v>2013</v>
      </c>
      <c r="N226" s="1" t="str">
        <f>IF(tbl_data[[#This Row],[Kilometers_Driven]]&lt;50000,"&lt;50k",
IF(tbl_data[[#This Row],[Kilometers_Driven]]&lt;100000,"50k-100k",
IF(tbl_data[[#This Row],[Kilometers_Driven]]&lt;150000,"100k-150k","150k+")))</f>
        <v>50k-100k</v>
      </c>
      <c r="O226" s="1" t="str">
        <f>IF(tbl_data[[#This Row],[Price_USD]]&gt;=87089,"High",
IF(tbl_data[[#This Row],[Price_USD]]&gt;=56807,"Mid","Low"))</f>
        <v>High</v>
      </c>
      <c r="P226" s="1" t="str">
        <f>IF(tbl_data[[#This Row],[Transmission]]="Automatic","Auto","Manual")</f>
        <v>Manual</v>
      </c>
      <c r="Q226" s="1" t="str">
        <f>IFERROR(IF(VALUE(tbl_data[[#This Row],[Engine_CC]])=0,"",VALUE(tbl_data[[#This Row],[Price_USD]])/VALUE(tbl_data[[#This Row],[Engine_CC]])),"")</f>
        <v/>
      </c>
      <c r="R226" s="1" t="str">
        <f>TRIM(tbl_data[[#This Row],[Brand]])</f>
        <v>Audi</v>
      </c>
      <c r="S226" s="1">
        <f>_xlfn.NUMBERVALUE(tbl_data[[#This Row],[Price_USD]],".",",")</f>
        <v>113026.45</v>
      </c>
    </row>
    <row r="227" spans="1:19" x14ac:dyDescent="0.3">
      <c r="A227">
        <v>226</v>
      </c>
      <c r="B227" t="s">
        <v>39</v>
      </c>
      <c r="C227">
        <v>2012</v>
      </c>
      <c r="D227">
        <v>158812</v>
      </c>
      <c r="E227" t="s">
        <v>31</v>
      </c>
      <c r="F227" t="s">
        <v>14</v>
      </c>
      <c r="G227" t="s">
        <v>26</v>
      </c>
      <c r="H227">
        <v>1440</v>
      </c>
      <c r="I227" t="s">
        <v>697</v>
      </c>
      <c r="J227" t="s">
        <v>698</v>
      </c>
      <c r="K227">
        <v>6</v>
      </c>
      <c r="L227" t="s">
        <v>699</v>
      </c>
      <c r="M227" s="1" t="str">
        <f>TEXT(DATE(tbl_data[[#This Row],[Model_Year]],1,1),"yyyy")</f>
        <v>2012</v>
      </c>
      <c r="N227" s="1" t="str">
        <f>IF(tbl_data[[#This Row],[Kilometers_Driven]]&lt;50000,"&lt;50k",
IF(tbl_data[[#This Row],[Kilometers_Driven]]&lt;100000,"50k-100k",
IF(tbl_data[[#This Row],[Kilometers_Driven]]&lt;150000,"100k-150k","150k+")))</f>
        <v>150k+</v>
      </c>
      <c r="O227" s="1" t="str">
        <f>IF(tbl_data[[#This Row],[Price_USD]]&gt;=87089,"High",
IF(tbl_data[[#This Row],[Price_USD]]&gt;=56807,"Mid","Low"))</f>
        <v>High</v>
      </c>
      <c r="P227" s="1" t="str">
        <f>IF(tbl_data[[#This Row],[Transmission]]="Automatic","Auto","Manual")</f>
        <v>Manual</v>
      </c>
      <c r="Q227" s="1" t="str">
        <f>IFERROR(IF(VALUE(tbl_data[[#This Row],[Engine_CC]])=0,"",VALUE(tbl_data[[#This Row],[Price_USD]])/VALUE(tbl_data[[#This Row],[Engine_CC]])),"")</f>
        <v/>
      </c>
      <c r="R227" s="1" t="str">
        <f>TRIM(tbl_data[[#This Row],[Brand]])</f>
        <v>Volkswagen</v>
      </c>
      <c r="S227" s="1">
        <f>_xlfn.NUMBERVALUE(tbl_data[[#This Row],[Price_USD]],".",",")</f>
        <v>33497.97</v>
      </c>
    </row>
    <row r="228" spans="1:19" x14ac:dyDescent="0.3">
      <c r="A228">
        <v>227</v>
      </c>
      <c r="B228" t="s">
        <v>43</v>
      </c>
      <c r="C228">
        <v>2021</v>
      </c>
      <c r="D228">
        <v>64353</v>
      </c>
      <c r="E228" t="s">
        <v>13</v>
      </c>
      <c r="F228" t="s">
        <v>21</v>
      </c>
      <c r="G228" t="s">
        <v>15</v>
      </c>
      <c r="H228">
        <v>4878</v>
      </c>
      <c r="I228" t="s">
        <v>700</v>
      </c>
      <c r="J228" t="s">
        <v>701</v>
      </c>
      <c r="K228">
        <v>7</v>
      </c>
      <c r="L228" t="s">
        <v>702</v>
      </c>
      <c r="M228" s="1" t="str">
        <f>TEXT(DATE(tbl_data[[#This Row],[Model_Year]],1,1),"yyyy")</f>
        <v>2021</v>
      </c>
      <c r="N228" s="1" t="str">
        <f>IF(tbl_data[[#This Row],[Kilometers_Driven]]&lt;50000,"&lt;50k",
IF(tbl_data[[#This Row],[Kilometers_Driven]]&lt;100000,"50k-100k",
IF(tbl_data[[#This Row],[Kilometers_Driven]]&lt;150000,"100k-150k","150k+")))</f>
        <v>50k-100k</v>
      </c>
      <c r="O228" s="1" t="str">
        <f>IF(tbl_data[[#This Row],[Price_USD]]&gt;=87089,"High",
IF(tbl_data[[#This Row],[Price_USD]]&gt;=56807,"Mid","Low"))</f>
        <v>High</v>
      </c>
      <c r="P228" s="1" t="str">
        <f>IF(tbl_data[[#This Row],[Transmission]]="Automatic","Auto","Manual")</f>
        <v>Auto</v>
      </c>
      <c r="Q228" s="1" t="str">
        <f>IFERROR(IF(VALUE(tbl_data[[#This Row],[Engine_CC]])=0,"",VALUE(tbl_data[[#This Row],[Price_USD]])/VALUE(tbl_data[[#This Row],[Engine_CC]])),"")</f>
        <v/>
      </c>
      <c r="R228" s="1" t="str">
        <f>TRIM(tbl_data[[#This Row],[Brand]])</f>
        <v>Ford</v>
      </c>
      <c r="S228" s="1">
        <f>_xlfn.NUMBERVALUE(tbl_data[[#This Row],[Price_USD]],".",",")</f>
        <v>102841.54</v>
      </c>
    </row>
    <row r="229" spans="1:19" x14ac:dyDescent="0.3">
      <c r="A229">
        <v>228</v>
      </c>
      <c r="B229" t="s">
        <v>12</v>
      </c>
      <c r="C229">
        <v>2005</v>
      </c>
      <c r="D229">
        <v>118132</v>
      </c>
      <c r="E229" t="s">
        <v>31</v>
      </c>
      <c r="F229" t="s">
        <v>21</v>
      </c>
      <c r="G229" t="s">
        <v>26</v>
      </c>
      <c r="H229">
        <v>2167</v>
      </c>
      <c r="I229" t="s">
        <v>703</v>
      </c>
      <c r="J229" t="s">
        <v>704</v>
      </c>
      <c r="K229">
        <v>6</v>
      </c>
      <c r="L229" t="s">
        <v>705</v>
      </c>
      <c r="M229" s="1" t="str">
        <f>TEXT(DATE(tbl_data[[#This Row],[Model_Year]],1,1),"yyyy")</f>
        <v>2005</v>
      </c>
      <c r="N229" s="1" t="str">
        <f>IF(tbl_data[[#This Row],[Kilometers_Driven]]&lt;50000,"&lt;50k",
IF(tbl_data[[#This Row],[Kilometers_Driven]]&lt;100000,"50k-100k",
IF(tbl_data[[#This Row],[Kilometers_Driven]]&lt;150000,"100k-150k","150k+")))</f>
        <v>100k-150k</v>
      </c>
      <c r="O229" s="1" t="str">
        <f>IF(tbl_data[[#This Row],[Price_USD]]&gt;=87089,"High",
IF(tbl_data[[#This Row],[Price_USD]]&gt;=56807,"Mid","Low"))</f>
        <v>High</v>
      </c>
      <c r="P229" s="1" t="str">
        <f>IF(tbl_data[[#This Row],[Transmission]]="Automatic","Auto","Manual")</f>
        <v>Auto</v>
      </c>
      <c r="Q229" s="1" t="str">
        <f>IFERROR(IF(VALUE(tbl_data[[#This Row],[Engine_CC]])=0,"",VALUE(tbl_data[[#This Row],[Price_USD]])/VALUE(tbl_data[[#This Row],[Engine_CC]])),"")</f>
        <v/>
      </c>
      <c r="R229" s="1" t="str">
        <f>TRIM(tbl_data[[#This Row],[Brand]])</f>
        <v>Audi</v>
      </c>
      <c r="S229" s="1">
        <f>_xlfn.NUMBERVALUE(tbl_data[[#This Row],[Price_USD]],".",",")</f>
        <v>104028.5</v>
      </c>
    </row>
    <row r="230" spans="1:19" x14ac:dyDescent="0.3">
      <c r="A230">
        <v>229</v>
      </c>
      <c r="B230" t="s">
        <v>39</v>
      </c>
      <c r="C230">
        <v>2015</v>
      </c>
      <c r="D230">
        <v>192604</v>
      </c>
      <c r="E230" t="s">
        <v>44</v>
      </c>
      <c r="F230" t="s">
        <v>14</v>
      </c>
      <c r="G230" t="s">
        <v>26</v>
      </c>
      <c r="H230">
        <v>4842</v>
      </c>
      <c r="I230" t="s">
        <v>706</v>
      </c>
      <c r="J230" t="s">
        <v>707</v>
      </c>
      <c r="K230">
        <v>4</v>
      </c>
      <c r="L230" t="s">
        <v>708</v>
      </c>
      <c r="M230" s="1" t="str">
        <f>TEXT(DATE(tbl_data[[#This Row],[Model_Year]],1,1),"yyyy")</f>
        <v>2015</v>
      </c>
      <c r="N230" s="1" t="str">
        <f>IF(tbl_data[[#This Row],[Kilometers_Driven]]&lt;50000,"&lt;50k",
IF(tbl_data[[#This Row],[Kilometers_Driven]]&lt;100000,"50k-100k",
IF(tbl_data[[#This Row],[Kilometers_Driven]]&lt;150000,"100k-150k","150k+")))</f>
        <v>150k+</v>
      </c>
      <c r="O230" s="1" t="str">
        <f>IF(tbl_data[[#This Row],[Price_USD]]&gt;=87089,"High",
IF(tbl_data[[#This Row],[Price_USD]]&gt;=56807,"Mid","Low"))</f>
        <v>High</v>
      </c>
      <c r="P230" s="1" t="str">
        <f>IF(tbl_data[[#This Row],[Transmission]]="Automatic","Auto","Manual")</f>
        <v>Manual</v>
      </c>
      <c r="Q230" s="1" t="str">
        <f>IFERROR(IF(VALUE(tbl_data[[#This Row],[Engine_CC]])=0,"",VALUE(tbl_data[[#This Row],[Price_USD]])/VALUE(tbl_data[[#This Row],[Engine_CC]])),"")</f>
        <v/>
      </c>
      <c r="R230" s="1" t="str">
        <f>TRIM(tbl_data[[#This Row],[Brand]])</f>
        <v>Volkswagen</v>
      </c>
      <c r="S230" s="1">
        <f>_xlfn.NUMBERVALUE(tbl_data[[#This Row],[Price_USD]],".",",")</f>
        <v>93385.14</v>
      </c>
    </row>
    <row r="231" spans="1:19" x14ac:dyDescent="0.3">
      <c r="A231">
        <v>230</v>
      </c>
      <c r="B231" t="s">
        <v>102</v>
      </c>
      <c r="C231">
        <v>2012</v>
      </c>
      <c r="D231">
        <v>21052</v>
      </c>
      <c r="E231" t="s">
        <v>44</v>
      </c>
      <c r="F231" t="s">
        <v>14</v>
      </c>
      <c r="G231" t="s">
        <v>26</v>
      </c>
      <c r="H231">
        <v>3375</v>
      </c>
      <c r="I231" t="s">
        <v>709</v>
      </c>
      <c r="J231" t="s">
        <v>710</v>
      </c>
      <c r="K231">
        <v>6</v>
      </c>
      <c r="L231" t="s">
        <v>711</v>
      </c>
      <c r="M231" s="1" t="str">
        <f>TEXT(DATE(tbl_data[[#This Row],[Model_Year]],1,1),"yyyy")</f>
        <v>2012</v>
      </c>
      <c r="N231" s="1" t="str">
        <f>IF(tbl_data[[#This Row],[Kilometers_Driven]]&lt;50000,"&lt;50k",
IF(tbl_data[[#This Row],[Kilometers_Driven]]&lt;100000,"50k-100k",
IF(tbl_data[[#This Row],[Kilometers_Driven]]&lt;150000,"100k-150k","150k+")))</f>
        <v>&lt;50k</v>
      </c>
      <c r="O231" s="1" t="str">
        <f>IF(tbl_data[[#This Row],[Price_USD]]&gt;=87089,"High",
IF(tbl_data[[#This Row],[Price_USD]]&gt;=56807,"Mid","Low"))</f>
        <v>High</v>
      </c>
      <c r="P231" s="1" t="str">
        <f>IF(tbl_data[[#This Row],[Transmission]]="Automatic","Auto","Manual")</f>
        <v>Manual</v>
      </c>
      <c r="Q231" s="1" t="str">
        <f>IFERROR(IF(VALUE(tbl_data[[#This Row],[Engine_CC]])=0,"",VALUE(tbl_data[[#This Row],[Price_USD]])/VALUE(tbl_data[[#This Row],[Engine_CC]])),"")</f>
        <v/>
      </c>
      <c r="R231" s="1" t="str">
        <f>TRIM(tbl_data[[#This Row],[Brand]])</f>
        <v>Nissan</v>
      </c>
      <c r="S231" s="1">
        <f>_xlfn.NUMBERVALUE(tbl_data[[#This Row],[Price_USD]],".",",")</f>
        <v>22753.53</v>
      </c>
    </row>
    <row r="232" spans="1:19" x14ac:dyDescent="0.3">
      <c r="A232">
        <v>231</v>
      </c>
      <c r="B232" t="s">
        <v>19</v>
      </c>
      <c r="C232">
        <v>2014</v>
      </c>
      <c r="D232">
        <v>105689</v>
      </c>
      <c r="E232" t="s">
        <v>31</v>
      </c>
      <c r="F232" t="s">
        <v>14</v>
      </c>
      <c r="G232" t="s">
        <v>26</v>
      </c>
      <c r="H232">
        <v>4403</v>
      </c>
      <c r="I232" t="s">
        <v>712</v>
      </c>
      <c r="J232" t="s">
        <v>713</v>
      </c>
      <c r="K232">
        <v>4</v>
      </c>
      <c r="L232" t="s">
        <v>714</v>
      </c>
      <c r="M232" s="1" t="str">
        <f>TEXT(DATE(tbl_data[[#This Row],[Model_Year]],1,1),"yyyy")</f>
        <v>2014</v>
      </c>
      <c r="N232" s="1" t="str">
        <f>IF(tbl_data[[#This Row],[Kilometers_Driven]]&lt;50000,"&lt;50k",
IF(tbl_data[[#This Row],[Kilometers_Driven]]&lt;100000,"50k-100k",
IF(tbl_data[[#This Row],[Kilometers_Driven]]&lt;150000,"100k-150k","150k+")))</f>
        <v>100k-150k</v>
      </c>
      <c r="O232" s="1" t="str">
        <f>IF(tbl_data[[#This Row],[Price_USD]]&gt;=87089,"High",
IF(tbl_data[[#This Row],[Price_USD]]&gt;=56807,"Mid","Low"))</f>
        <v>High</v>
      </c>
      <c r="P232" s="1" t="str">
        <f>IF(tbl_data[[#This Row],[Transmission]]="Automatic","Auto","Manual")</f>
        <v>Manual</v>
      </c>
      <c r="Q232" s="1" t="str">
        <f>IFERROR(IF(VALUE(tbl_data[[#This Row],[Engine_CC]])=0,"",VALUE(tbl_data[[#This Row],[Price_USD]])/VALUE(tbl_data[[#This Row],[Engine_CC]])),"")</f>
        <v/>
      </c>
      <c r="R232" s="1" t="str">
        <f>TRIM(tbl_data[[#This Row],[Brand]])</f>
        <v>BMW</v>
      </c>
      <c r="S232" s="1">
        <f>_xlfn.NUMBERVALUE(tbl_data[[#This Row],[Price_USD]],".",",")</f>
        <v>99150.77</v>
      </c>
    </row>
    <row r="233" spans="1:19" x14ac:dyDescent="0.3">
      <c r="A233">
        <v>232</v>
      </c>
      <c r="B233" t="s">
        <v>92</v>
      </c>
      <c r="C233">
        <v>2011</v>
      </c>
      <c r="D233">
        <v>183148</v>
      </c>
      <c r="E233" t="s">
        <v>44</v>
      </c>
      <c r="F233" t="s">
        <v>21</v>
      </c>
      <c r="G233" t="s">
        <v>15</v>
      </c>
      <c r="H233">
        <v>2381</v>
      </c>
      <c r="I233" t="s">
        <v>715</v>
      </c>
      <c r="J233" t="s">
        <v>716</v>
      </c>
      <c r="K233">
        <v>2</v>
      </c>
      <c r="L233" t="s">
        <v>717</v>
      </c>
      <c r="M233" s="1" t="str">
        <f>TEXT(DATE(tbl_data[[#This Row],[Model_Year]],1,1),"yyyy")</f>
        <v>2011</v>
      </c>
      <c r="N233" s="1" t="str">
        <f>IF(tbl_data[[#This Row],[Kilometers_Driven]]&lt;50000,"&lt;50k",
IF(tbl_data[[#This Row],[Kilometers_Driven]]&lt;100000,"50k-100k",
IF(tbl_data[[#This Row],[Kilometers_Driven]]&lt;150000,"100k-150k","150k+")))</f>
        <v>150k+</v>
      </c>
      <c r="O233" s="1" t="str">
        <f>IF(tbl_data[[#This Row],[Price_USD]]&gt;=87089,"High",
IF(tbl_data[[#This Row],[Price_USD]]&gt;=56807,"Mid","Low"))</f>
        <v>High</v>
      </c>
      <c r="P233" s="1" t="str">
        <f>IF(tbl_data[[#This Row],[Transmission]]="Automatic","Auto","Manual")</f>
        <v>Auto</v>
      </c>
      <c r="Q233" s="1" t="str">
        <f>IFERROR(IF(VALUE(tbl_data[[#This Row],[Engine_CC]])=0,"",VALUE(tbl_data[[#This Row],[Price_USD]])/VALUE(tbl_data[[#This Row],[Engine_CC]])),"")</f>
        <v/>
      </c>
      <c r="R233" s="1" t="str">
        <f>TRIM(tbl_data[[#This Row],[Brand]])</f>
        <v>Toyota</v>
      </c>
      <c r="S233" s="1">
        <f>_xlfn.NUMBERVALUE(tbl_data[[#This Row],[Price_USD]],".",",")</f>
        <v>93002.32</v>
      </c>
    </row>
    <row r="234" spans="1:19" x14ac:dyDescent="0.3">
      <c r="A234">
        <v>233</v>
      </c>
      <c r="B234" t="s">
        <v>76</v>
      </c>
      <c r="C234">
        <v>2007</v>
      </c>
      <c r="D234">
        <v>189492</v>
      </c>
      <c r="E234" t="s">
        <v>20</v>
      </c>
      <c r="F234" t="s">
        <v>14</v>
      </c>
      <c r="G234" t="s">
        <v>15</v>
      </c>
      <c r="H234">
        <v>2786</v>
      </c>
      <c r="I234" t="s">
        <v>718</v>
      </c>
      <c r="J234" t="s">
        <v>719</v>
      </c>
      <c r="K234">
        <v>4</v>
      </c>
      <c r="L234" t="s">
        <v>720</v>
      </c>
      <c r="M234" s="1" t="str">
        <f>TEXT(DATE(tbl_data[[#This Row],[Model_Year]],1,1),"yyyy")</f>
        <v>2007</v>
      </c>
      <c r="N234" s="1" t="str">
        <f>IF(tbl_data[[#This Row],[Kilometers_Driven]]&lt;50000,"&lt;50k",
IF(tbl_data[[#This Row],[Kilometers_Driven]]&lt;100000,"50k-100k",
IF(tbl_data[[#This Row],[Kilometers_Driven]]&lt;150000,"100k-150k","150k+")))</f>
        <v>150k+</v>
      </c>
      <c r="O234" s="1" t="str">
        <f>IF(tbl_data[[#This Row],[Price_USD]]&gt;=87089,"High",
IF(tbl_data[[#This Row],[Price_USD]]&gt;=56807,"Mid","Low"))</f>
        <v>High</v>
      </c>
      <c r="P234" s="1" t="str">
        <f>IF(tbl_data[[#This Row],[Transmission]]="Automatic","Auto","Manual")</f>
        <v>Manual</v>
      </c>
      <c r="Q234" s="1" t="str">
        <f>IFERROR(IF(VALUE(tbl_data[[#This Row],[Engine_CC]])=0,"",VALUE(tbl_data[[#This Row],[Price_USD]])/VALUE(tbl_data[[#This Row],[Engine_CC]])),"")</f>
        <v/>
      </c>
      <c r="R234" s="1" t="str">
        <f>TRIM(tbl_data[[#This Row],[Brand]])</f>
        <v>Honda</v>
      </c>
      <c r="S234" s="1">
        <f>_xlfn.NUMBERVALUE(tbl_data[[#This Row],[Price_USD]],".",",")</f>
        <v>72816.59</v>
      </c>
    </row>
    <row r="235" spans="1:19" x14ac:dyDescent="0.3">
      <c r="A235">
        <v>234</v>
      </c>
      <c r="B235" t="s">
        <v>92</v>
      </c>
      <c r="C235">
        <v>2007</v>
      </c>
      <c r="D235">
        <v>136743</v>
      </c>
      <c r="E235" t="s">
        <v>31</v>
      </c>
      <c r="F235" t="s">
        <v>14</v>
      </c>
      <c r="G235" t="s">
        <v>15</v>
      </c>
      <c r="H235">
        <v>3040</v>
      </c>
      <c r="I235" t="s">
        <v>721</v>
      </c>
      <c r="J235" t="s">
        <v>722</v>
      </c>
      <c r="K235">
        <v>4</v>
      </c>
      <c r="L235" t="s">
        <v>723</v>
      </c>
      <c r="M235" s="1" t="str">
        <f>TEXT(DATE(tbl_data[[#This Row],[Model_Year]],1,1),"yyyy")</f>
        <v>2007</v>
      </c>
      <c r="N235" s="1" t="str">
        <f>IF(tbl_data[[#This Row],[Kilometers_Driven]]&lt;50000,"&lt;50k",
IF(tbl_data[[#This Row],[Kilometers_Driven]]&lt;100000,"50k-100k",
IF(tbl_data[[#This Row],[Kilometers_Driven]]&lt;150000,"100k-150k","150k+")))</f>
        <v>100k-150k</v>
      </c>
      <c r="O235" s="1" t="str">
        <f>IF(tbl_data[[#This Row],[Price_USD]]&gt;=87089,"High",
IF(tbl_data[[#This Row],[Price_USD]]&gt;=56807,"Mid","Low"))</f>
        <v>High</v>
      </c>
      <c r="P235" s="1" t="str">
        <f>IF(tbl_data[[#This Row],[Transmission]]="Automatic","Auto","Manual")</f>
        <v>Manual</v>
      </c>
      <c r="Q235" s="1" t="str">
        <f>IFERROR(IF(VALUE(tbl_data[[#This Row],[Engine_CC]])=0,"",VALUE(tbl_data[[#This Row],[Price_USD]])/VALUE(tbl_data[[#This Row],[Engine_CC]])),"")</f>
        <v/>
      </c>
      <c r="R235" s="1" t="str">
        <f>TRIM(tbl_data[[#This Row],[Brand]])</f>
        <v>Toyota</v>
      </c>
      <c r="S235" s="1">
        <f>_xlfn.NUMBERVALUE(tbl_data[[#This Row],[Price_USD]],".",",")</f>
        <v>42452.639999999999</v>
      </c>
    </row>
    <row r="236" spans="1:19" x14ac:dyDescent="0.3">
      <c r="A236">
        <v>235</v>
      </c>
      <c r="B236" t="s">
        <v>30</v>
      </c>
      <c r="C236">
        <v>2022</v>
      </c>
      <c r="D236">
        <v>5163</v>
      </c>
      <c r="E236" t="s">
        <v>13</v>
      </c>
      <c r="F236" t="s">
        <v>14</v>
      </c>
      <c r="G236" t="s">
        <v>26</v>
      </c>
      <c r="H236">
        <v>4766</v>
      </c>
      <c r="I236" t="s">
        <v>724</v>
      </c>
      <c r="J236" t="s">
        <v>725</v>
      </c>
      <c r="K236">
        <v>7</v>
      </c>
      <c r="L236" t="s">
        <v>726</v>
      </c>
      <c r="M236" s="1" t="str">
        <f>TEXT(DATE(tbl_data[[#This Row],[Model_Year]],1,1),"yyyy")</f>
        <v>2022</v>
      </c>
      <c r="N236" s="1" t="str">
        <f>IF(tbl_data[[#This Row],[Kilometers_Driven]]&lt;50000,"&lt;50k",
IF(tbl_data[[#This Row],[Kilometers_Driven]]&lt;100000,"50k-100k",
IF(tbl_data[[#This Row],[Kilometers_Driven]]&lt;150000,"100k-150k","150k+")))</f>
        <v>&lt;50k</v>
      </c>
      <c r="O236" s="1" t="str">
        <f>IF(tbl_data[[#This Row],[Price_USD]]&gt;=87089,"High",
IF(tbl_data[[#This Row],[Price_USD]]&gt;=56807,"Mid","Low"))</f>
        <v>High</v>
      </c>
      <c r="P236" s="1" t="str">
        <f>IF(tbl_data[[#This Row],[Transmission]]="Automatic","Auto","Manual")</f>
        <v>Manual</v>
      </c>
      <c r="Q236" s="1" t="str">
        <f>IFERROR(IF(VALUE(tbl_data[[#This Row],[Engine_CC]])=0,"",VALUE(tbl_data[[#This Row],[Price_USD]])/VALUE(tbl_data[[#This Row],[Engine_CC]])),"")</f>
        <v/>
      </c>
      <c r="R236" s="1" t="str">
        <f>TRIM(tbl_data[[#This Row],[Brand]])</f>
        <v>Mercedes</v>
      </c>
      <c r="S236" s="1">
        <f>_xlfn.NUMBERVALUE(tbl_data[[#This Row],[Price_USD]],".",",")</f>
        <v>33713.51</v>
      </c>
    </row>
    <row r="237" spans="1:19" x14ac:dyDescent="0.3">
      <c r="A237">
        <v>236</v>
      </c>
      <c r="B237" t="s">
        <v>30</v>
      </c>
      <c r="C237">
        <v>2009</v>
      </c>
      <c r="D237">
        <v>46424</v>
      </c>
      <c r="E237" t="s">
        <v>20</v>
      </c>
      <c r="F237" t="s">
        <v>14</v>
      </c>
      <c r="G237" t="s">
        <v>26</v>
      </c>
      <c r="H237">
        <v>2905</v>
      </c>
      <c r="I237" t="s">
        <v>727</v>
      </c>
      <c r="J237" t="s">
        <v>728</v>
      </c>
      <c r="K237">
        <v>6</v>
      </c>
      <c r="L237" t="s">
        <v>729</v>
      </c>
      <c r="M237" s="1" t="str">
        <f>TEXT(DATE(tbl_data[[#This Row],[Model_Year]],1,1),"yyyy")</f>
        <v>2009</v>
      </c>
      <c r="N237" s="1" t="str">
        <f>IF(tbl_data[[#This Row],[Kilometers_Driven]]&lt;50000,"&lt;50k",
IF(tbl_data[[#This Row],[Kilometers_Driven]]&lt;100000,"50k-100k",
IF(tbl_data[[#This Row],[Kilometers_Driven]]&lt;150000,"100k-150k","150k+")))</f>
        <v>&lt;50k</v>
      </c>
      <c r="O237" s="1" t="str">
        <f>IF(tbl_data[[#This Row],[Price_USD]]&gt;=87089,"High",
IF(tbl_data[[#This Row],[Price_USD]]&gt;=56807,"Mid","Low"))</f>
        <v>High</v>
      </c>
      <c r="P237" s="1" t="str">
        <f>IF(tbl_data[[#This Row],[Transmission]]="Automatic","Auto","Manual")</f>
        <v>Manual</v>
      </c>
      <c r="Q237" s="1" t="str">
        <f>IFERROR(IF(VALUE(tbl_data[[#This Row],[Engine_CC]])=0,"",VALUE(tbl_data[[#This Row],[Price_USD]])/VALUE(tbl_data[[#This Row],[Engine_CC]])),"")</f>
        <v/>
      </c>
      <c r="R237" s="1" t="str">
        <f>TRIM(tbl_data[[#This Row],[Brand]])</f>
        <v>Mercedes</v>
      </c>
      <c r="S237" s="1">
        <f>_xlfn.NUMBERVALUE(tbl_data[[#This Row],[Price_USD]],".",",")</f>
        <v>17261.04</v>
      </c>
    </row>
    <row r="238" spans="1:19" x14ac:dyDescent="0.3">
      <c r="A238">
        <v>237</v>
      </c>
      <c r="B238" t="s">
        <v>12</v>
      </c>
      <c r="C238">
        <v>2016</v>
      </c>
      <c r="D238">
        <v>189816</v>
      </c>
      <c r="E238" t="s">
        <v>31</v>
      </c>
      <c r="F238" t="s">
        <v>21</v>
      </c>
      <c r="G238" t="s">
        <v>26</v>
      </c>
      <c r="H238">
        <v>928</v>
      </c>
      <c r="I238" t="s">
        <v>730</v>
      </c>
      <c r="J238" t="s">
        <v>731</v>
      </c>
      <c r="K238">
        <v>7</v>
      </c>
      <c r="L238" t="s">
        <v>732</v>
      </c>
      <c r="M238" s="1" t="str">
        <f>TEXT(DATE(tbl_data[[#This Row],[Model_Year]],1,1),"yyyy")</f>
        <v>2016</v>
      </c>
      <c r="N238" s="1" t="str">
        <f>IF(tbl_data[[#This Row],[Kilometers_Driven]]&lt;50000,"&lt;50k",
IF(tbl_data[[#This Row],[Kilometers_Driven]]&lt;100000,"50k-100k",
IF(tbl_data[[#This Row],[Kilometers_Driven]]&lt;150000,"100k-150k","150k+")))</f>
        <v>150k+</v>
      </c>
      <c r="O238" s="1" t="str">
        <f>IF(tbl_data[[#This Row],[Price_USD]]&gt;=87089,"High",
IF(tbl_data[[#This Row],[Price_USD]]&gt;=56807,"Mid","Low"))</f>
        <v>High</v>
      </c>
      <c r="P238" s="1" t="str">
        <f>IF(tbl_data[[#This Row],[Transmission]]="Automatic","Auto","Manual")</f>
        <v>Auto</v>
      </c>
      <c r="Q238" s="1" t="str">
        <f>IFERROR(IF(VALUE(tbl_data[[#This Row],[Engine_CC]])=0,"",VALUE(tbl_data[[#This Row],[Price_USD]])/VALUE(tbl_data[[#This Row],[Engine_CC]])),"")</f>
        <v/>
      </c>
      <c r="R238" s="1" t="str">
        <f>TRIM(tbl_data[[#This Row],[Brand]])</f>
        <v>Audi</v>
      </c>
      <c r="S238" s="1">
        <f>_xlfn.NUMBERVALUE(tbl_data[[#This Row],[Price_USD]],".",",")</f>
        <v>62641.58</v>
      </c>
    </row>
    <row r="239" spans="1:19" x14ac:dyDescent="0.3">
      <c r="A239">
        <v>238</v>
      </c>
      <c r="B239" t="s">
        <v>102</v>
      </c>
      <c r="C239">
        <v>2016</v>
      </c>
      <c r="D239">
        <v>146706</v>
      </c>
      <c r="E239" t="s">
        <v>13</v>
      </c>
      <c r="F239" t="s">
        <v>21</v>
      </c>
      <c r="G239" t="s">
        <v>15</v>
      </c>
      <c r="H239">
        <v>4796</v>
      </c>
      <c r="I239" t="s">
        <v>733</v>
      </c>
      <c r="J239" t="s">
        <v>734</v>
      </c>
      <c r="K239">
        <v>5</v>
      </c>
      <c r="L239" t="s">
        <v>735</v>
      </c>
      <c r="M239" s="1" t="str">
        <f>TEXT(DATE(tbl_data[[#This Row],[Model_Year]],1,1),"yyyy")</f>
        <v>2016</v>
      </c>
      <c r="N239" s="1" t="str">
        <f>IF(tbl_data[[#This Row],[Kilometers_Driven]]&lt;50000,"&lt;50k",
IF(tbl_data[[#This Row],[Kilometers_Driven]]&lt;100000,"50k-100k",
IF(tbl_data[[#This Row],[Kilometers_Driven]]&lt;150000,"100k-150k","150k+")))</f>
        <v>100k-150k</v>
      </c>
      <c r="O239" s="1" t="str">
        <f>IF(tbl_data[[#This Row],[Price_USD]]&gt;=87089,"High",
IF(tbl_data[[#This Row],[Price_USD]]&gt;=56807,"Mid","Low"))</f>
        <v>High</v>
      </c>
      <c r="P239" s="1" t="str">
        <f>IF(tbl_data[[#This Row],[Transmission]]="Automatic","Auto","Manual")</f>
        <v>Auto</v>
      </c>
      <c r="Q239" s="1" t="str">
        <f>IFERROR(IF(VALUE(tbl_data[[#This Row],[Engine_CC]])=0,"",VALUE(tbl_data[[#This Row],[Price_USD]])/VALUE(tbl_data[[#This Row],[Engine_CC]])),"")</f>
        <v/>
      </c>
      <c r="R239" s="1" t="str">
        <f>TRIM(tbl_data[[#This Row],[Brand]])</f>
        <v>Nissan</v>
      </c>
      <c r="S239" s="1">
        <f>_xlfn.NUMBERVALUE(tbl_data[[#This Row],[Price_USD]],".",",")</f>
        <v>71475.520000000004</v>
      </c>
    </row>
    <row r="240" spans="1:19" x14ac:dyDescent="0.3">
      <c r="A240">
        <v>239</v>
      </c>
      <c r="B240" t="s">
        <v>102</v>
      </c>
      <c r="C240">
        <v>2023</v>
      </c>
      <c r="D240">
        <v>140870</v>
      </c>
      <c r="E240" t="s">
        <v>44</v>
      </c>
      <c r="F240" t="s">
        <v>14</v>
      </c>
      <c r="G240" t="s">
        <v>26</v>
      </c>
      <c r="H240">
        <v>1651</v>
      </c>
      <c r="I240" t="s">
        <v>736</v>
      </c>
      <c r="J240" t="s">
        <v>737</v>
      </c>
      <c r="K240">
        <v>4</v>
      </c>
      <c r="L240" t="s">
        <v>738</v>
      </c>
      <c r="M240" s="1" t="str">
        <f>TEXT(DATE(tbl_data[[#This Row],[Model_Year]],1,1),"yyyy")</f>
        <v>2023</v>
      </c>
      <c r="N240" s="1" t="str">
        <f>IF(tbl_data[[#This Row],[Kilometers_Driven]]&lt;50000,"&lt;50k",
IF(tbl_data[[#This Row],[Kilometers_Driven]]&lt;100000,"50k-100k",
IF(tbl_data[[#This Row],[Kilometers_Driven]]&lt;150000,"100k-150k","150k+")))</f>
        <v>100k-150k</v>
      </c>
      <c r="O240" s="1" t="str">
        <f>IF(tbl_data[[#This Row],[Price_USD]]&gt;=87089,"High",
IF(tbl_data[[#This Row],[Price_USD]]&gt;=56807,"Mid","Low"))</f>
        <v>High</v>
      </c>
      <c r="P240" s="1" t="str">
        <f>IF(tbl_data[[#This Row],[Transmission]]="Automatic","Auto","Manual")</f>
        <v>Manual</v>
      </c>
      <c r="Q240" s="1" t="str">
        <f>IFERROR(IF(VALUE(tbl_data[[#This Row],[Engine_CC]])=0,"",VALUE(tbl_data[[#This Row],[Price_USD]])/VALUE(tbl_data[[#This Row],[Engine_CC]])),"")</f>
        <v/>
      </c>
      <c r="R240" s="1" t="str">
        <f>TRIM(tbl_data[[#This Row],[Brand]])</f>
        <v>Nissan</v>
      </c>
      <c r="S240" s="1">
        <f>_xlfn.NUMBERVALUE(tbl_data[[#This Row],[Price_USD]],".",",")</f>
        <v>45042.66</v>
      </c>
    </row>
    <row r="241" spans="1:19" x14ac:dyDescent="0.3">
      <c r="A241">
        <v>240</v>
      </c>
      <c r="B241" t="s">
        <v>43</v>
      </c>
      <c r="C241">
        <v>2010</v>
      </c>
      <c r="D241">
        <v>27420</v>
      </c>
      <c r="E241" t="s">
        <v>13</v>
      </c>
      <c r="F241" t="s">
        <v>14</v>
      </c>
      <c r="G241" t="s">
        <v>32</v>
      </c>
      <c r="H241">
        <v>4903</v>
      </c>
      <c r="I241" t="s">
        <v>739</v>
      </c>
      <c r="J241" t="s">
        <v>740</v>
      </c>
      <c r="K241">
        <v>5</v>
      </c>
      <c r="L241" t="s">
        <v>741</v>
      </c>
      <c r="M241" s="1" t="str">
        <f>TEXT(DATE(tbl_data[[#This Row],[Model_Year]],1,1),"yyyy")</f>
        <v>2010</v>
      </c>
      <c r="N241" s="1" t="str">
        <f>IF(tbl_data[[#This Row],[Kilometers_Driven]]&lt;50000,"&lt;50k",
IF(tbl_data[[#This Row],[Kilometers_Driven]]&lt;100000,"50k-100k",
IF(tbl_data[[#This Row],[Kilometers_Driven]]&lt;150000,"100k-150k","150k+")))</f>
        <v>&lt;50k</v>
      </c>
      <c r="O241" s="1" t="str">
        <f>IF(tbl_data[[#This Row],[Price_USD]]&gt;=87089,"High",
IF(tbl_data[[#This Row],[Price_USD]]&gt;=56807,"Mid","Low"))</f>
        <v>High</v>
      </c>
      <c r="P241" s="1" t="str">
        <f>IF(tbl_data[[#This Row],[Transmission]]="Automatic","Auto","Manual")</f>
        <v>Manual</v>
      </c>
      <c r="Q241" s="1" t="str">
        <f>IFERROR(IF(VALUE(tbl_data[[#This Row],[Engine_CC]])=0,"",VALUE(tbl_data[[#This Row],[Price_USD]])/VALUE(tbl_data[[#This Row],[Engine_CC]])),"")</f>
        <v/>
      </c>
      <c r="R241" s="1" t="str">
        <f>TRIM(tbl_data[[#This Row],[Brand]])</f>
        <v>Ford</v>
      </c>
      <c r="S241" s="1">
        <f>_xlfn.NUMBERVALUE(tbl_data[[#This Row],[Price_USD]],".",",")</f>
        <v>58617.01</v>
      </c>
    </row>
    <row r="242" spans="1:19" x14ac:dyDescent="0.3">
      <c r="A242">
        <v>241</v>
      </c>
      <c r="B242" t="s">
        <v>43</v>
      </c>
      <c r="C242">
        <v>2006</v>
      </c>
      <c r="D242">
        <v>125575</v>
      </c>
      <c r="E242" t="s">
        <v>20</v>
      </c>
      <c r="F242" t="s">
        <v>21</v>
      </c>
      <c r="G242" t="s">
        <v>26</v>
      </c>
      <c r="H242">
        <v>2876</v>
      </c>
      <c r="I242" t="s">
        <v>742</v>
      </c>
      <c r="J242" t="s">
        <v>743</v>
      </c>
      <c r="K242">
        <v>7</v>
      </c>
      <c r="L242" t="s">
        <v>744</v>
      </c>
      <c r="M242" s="1" t="str">
        <f>TEXT(DATE(tbl_data[[#This Row],[Model_Year]],1,1),"yyyy")</f>
        <v>2006</v>
      </c>
      <c r="N242" s="1" t="str">
        <f>IF(tbl_data[[#This Row],[Kilometers_Driven]]&lt;50000,"&lt;50k",
IF(tbl_data[[#This Row],[Kilometers_Driven]]&lt;100000,"50k-100k",
IF(tbl_data[[#This Row],[Kilometers_Driven]]&lt;150000,"100k-150k","150k+")))</f>
        <v>100k-150k</v>
      </c>
      <c r="O242" s="1" t="str">
        <f>IF(tbl_data[[#This Row],[Price_USD]]&gt;=87089,"High",
IF(tbl_data[[#This Row],[Price_USD]]&gt;=56807,"Mid","Low"))</f>
        <v>High</v>
      </c>
      <c r="P242" s="1" t="str">
        <f>IF(tbl_data[[#This Row],[Transmission]]="Automatic","Auto","Manual")</f>
        <v>Auto</v>
      </c>
      <c r="Q242" s="1" t="str">
        <f>IFERROR(IF(VALUE(tbl_data[[#This Row],[Engine_CC]])=0,"",VALUE(tbl_data[[#This Row],[Price_USD]])/VALUE(tbl_data[[#This Row],[Engine_CC]])),"")</f>
        <v/>
      </c>
      <c r="R242" s="1" t="str">
        <f>TRIM(tbl_data[[#This Row],[Brand]])</f>
        <v>Ford</v>
      </c>
      <c r="S242" s="1">
        <f>_xlfn.NUMBERVALUE(tbl_data[[#This Row],[Price_USD]],".",",")</f>
        <v>45531.19</v>
      </c>
    </row>
    <row r="243" spans="1:19" x14ac:dyDescent="0.3">
      <c r="A243">
        <v>242</v>
      </c>
      <c r="B243" t="s">
        <v>43</v>
      </c>
      <c r="C243">
        <v>2016</v>
      </c>
      <c r="D243">
        <v>34300</v>
      </c>
      <c r="E243" t="s">
        <v>44</v>
      </c>
      <c r="F243" t="s">
        <v>21</v>
      </c>
      <c r="G243" t="s">
        <v>32</v>
      </c>
      <c r="H243">
        <v>3794</v>
      </c>
      <c r="I243" t="s">
        <v>745</v>
      </c>
      <c r="J243" t="s">
        <v>746</v>
      </c>
      <c r="K243">
        <v>6</v>
      </c>
      <c r="L243" t="s">
        <v>747</v>
      </c>
      <c r="M243" s="1" t="str">
        <f>TEXT(DATE(tbl_data[[#This Row],[Model_Year]],1,1),"yyyy")</f>
        <v>2016</v>
      </c>
      <c r="N243" s="1" t="str">
        <f>IF(tbl_data[[#This Row],[Kilometers_Driven]]&lt;50000,"&lt;50k",
IF(tbl_data[[#This Row],[Kilometers_Driven]]&lt;100000,"50k-100k",
IF(tbl_data[[#This Row],[Kilometers_Driven]]&lt;150000,"100k-150k","150k+")))</f>
        <v>&lt;50k</v>
      </c>
      <c r="O243" s="1" t="str">
        <f>IF(tbl_data[[#This Row],[Price_USD]]&gt;=87089,"High",
IF(tbl_data[[#This Row],[Price_USD]]&gt;=56807,"Mid","Low"))</f>
        <v>High</v>
      </c>
      <c r="P243" s="1" t="str">
        <f>IF(tbl_data[[#This Row],[Transmission]]="Automatic","Auto","Manual")</f>
        <v>Auto</v>
      </c>
      <c r="Q243" s="1" t="str">
        <f>IFERROR(IF(VALUE(tbl_data[[#This Row],[Engine_CC]])=0,"",VALUE(tbl_data[[#This Row],[Price_USD]])/VALUE(tbl_data[[#This Row],[Engine_CC]])),"")</f>
        <v/>
      </c>
      <c r="R243" s="1" t="str">
        <f>TRIM(tbl_data[[#This Row],[Brand]])</f>
        <v>Ford</v>
      </c>
      <c r="S243" s="1">
        <f>_xlfn.NUMBERVALUE(tbl_data[[#This Row],[Price_USD]],".",",")</f>
        <v>77997.710000000006</v>
      </c>
    </row>
    <row r="244" spans="1:19" x14ac:dyDescent="0.3">
      <c r="A244">
        <v>243</v>
      </c>
      <c r="B244" t="s">
        <v>19</v>
      </c>
      <c r="C244">
        <v>2023</v>
      </c>
      <c r="D244">
        <v>94881</v>
      </c>
      <c r="E244" t="s">
        <v>31</v>
      </c>
      <c r="F244" t="s">
        <v>14</v>
      </c>
      <c r="G244" t="s">
        <v>26</v>
      </c>
      <c r="H244">
        <v>4544</v>
      </c>
      <c r="I244" t="s">
        <v>748</v>
      </c>
      <c r="J244" t="s">
        <v>749</v>
      </c>
      <c r="K244">
        <v>7</v>
      </c>
      <c r="L244" t="s">
        <v>750</v>
      </c>
      <c r="M244" s="1" t="str">
        <f>TEXT(DATE(tbl_data[[#This Row],[Model_Year]],1,1),"yyyy")</f>
        <v>2023</v>
      </c>
      <c r="N244" s="1" t="str">
        <f>IF(tbl_data[[#This Row],[Kilometers_Driven]]&lt;50000,"&lt;50k",
IF(tbl_data[[#This Row],[Kilometers_Driven]]&lt;100000,"50k-100k",
IF(tbl_data[[#This Row],[Kilometers_Driven]]&lt;150000,"100k-150k","150k+")))</f>
        <v>50k-100k</v>
      </c>
      <c r="O244" s="1" t="str">
        <f>IF(tbl_data[[#This Row],[Price_USD]]&gt;=87089,"High",
IF(tbl_data[[#This Row],[Price_USD]]&gt;=56807,"Mid","Low"))</f>
        <v>High</v>
      </c>
      <c r="P244" s="1" t="str">
        <f>IF(tbl_data[[#This Row],[Transmission]]="Automatic","Auto","Manual")</f>
        <v>Manual</v>
      </c>
      <c r="Q244" s="1" t="str">
        <f>IFERROR(IF(VALUE(tbl_data[[#This Row],[Engine_CC]])=0,"",VALUE(tbl_data[[#This Row],[Price_USD]])/VALUE(tbl_data[[#This Row],[Engine_CC]])),"")</f>
        <v/>
      </c>
      <c r="R244" s="1" t="str">
        <f>TRIM(tbl_data[[#This Row],[Brand]])</f>
        <v>BMW</v>
      </c>
      <c r="S244" s="1">
        <f>_xlfn.NUMBERVALUE(tbl_data[[#This Row],[Price_USD]],".",",")</f>
        <v>108447.33</v>
      </c>
    </row>
    <row r="245" spans="1:19" x14ac:dyDescent="0.3">
      <c r="A245">
        <v>244</v>
      </c>
      <c r="B245" t="s">
        <v>25</v>
      </c>
      <c r="C245">
        <v>2009</v>
      </c>
      <c r="D245">
        <v>15749</v>
      </c>
      <c r="E245" t="s">
        <v>44</v>
      </c>
      <c r="F245" t="s">
        <v>21</v>
      </c>
      <c r="G245" t="s">
        <v>15</v>
      </c>
      <c r="H245">
        <v>3556</v>
      </c>
      <c r="I245" t="s">
        <v>751</v>
      </c>
      <c r="J245" t="s">
        <v>752</v>
      </c>
      <c r="K245">
        <v>6</v>
      </c>
      <c r="L245" t="s">
        <v>753</v>
      </c>
      <c r="M245" s="1" t="str">
        <f>TEXT(DATE(tbl_data[[#This Row],[Model_Year]],1,1),"yyyy")</f>
        <v>2009</v>
      </c>
      <c r="N245" s="1" t="str">
        <f>IF(tbl_data[[#This Row],[Kilometers_Driven]]&lt;50000,"&lt;50k",
IF(tbl_data[[#This Row],[Kilometers_Driven]]&lt;100000,"50k-100k",
IF(tbl_data[[#This Row],[Kilometers_Driven]]&lt;150000,"100k-150k","150k+")))</f>
        <v>&lt;50k</v>
      </c>
      <c r="O245" s="1" t="str">
        <f>IF(tbl_data[[#This Row],[Price_USD]]&gt;=87089,"High",
IF(tbl_data[[#This Row],[Price_USD]]&gt;=56807,"Mid","Low"))</f>
        <v>High</v>
      </c>
      <c r="P245" s="1" t="str">
        <f>IF(tbl_data[[#This Row],[Transmission]]="Automatic","Auto","Manual")</f>
        <v>Auto</v>
      </c>
      <c r="Q245" s="1" t="str">
        <f>IFERROR(IF(VALUE(tbl_data[[#This Row],[Engine_CC]])=0,"",VALUE(tbl_data[[#This Row],[Price_USD]])/VALUE(tbl_data[[#This Row],[Engine_CC]])),"")</f>
        <v/>
      </c>
      <c r="R245" s="1" t="str">
        <f>TRIM(tbl_data[[#This Row],[Brand]])</f>
        <v>Kia</v>
      </c>
      <c r="S245" s="1">
        <f>_xlfn.NUMBERVALUE(tbl_data[[#This Row],[Price_USD]],".",",")</f>
        <v>22178.67</v>
      </c>
    </row>
    <row r="246" spans="1:19" x14ac:dyDescent="0.3">
      <c r="A246">
        <v>245</v>
      </c>
      <c r="B246" t="s">
        <v>69</v>
      </c>
      <c r="C246">
        <v>2016</v>
      </c>
      <c r="D246">
        <v>109131</v>
      </c>
      <c r="E246" t="s">
        <v>31</v>
      </c>
      <c r="F246" t="s">
        <v>21</v>
      </c>
      <c r="G246" t="s">
        <v>26</v>
      </c>
      <c r="H246">
        <v>2444</v>
      </c>
      <c r="I246" t="s">
        <v>754</v>
      </c>
      <c r="J246" t="s">
        <v>755</v>
      </c>
      <c r="K246">
        <v>6</v>
      </c>
      <c r="L246" t="s">
        <v>756</v>
      </c>
      <c r="M246" s="1" t="str">
        <f>TEXT(DATE(tbl_data[[#This Row],[Model_Year]],1,1),"yyyy")</f>
        <v>2016</v>
      </c>
      <c r="N246" s="1" t="str">
        <f>IF(tbl_data[[#This Row],[Kilometers_Driven]]&lt;50000,"&lt;50k",
IF(tbl_data[[#This Row],[Kilometers_Driven]]&lt;100000,"50k-100k",
IF(tbl_data[[#This Row],[Kilometers_Driven]]&lt;150000,"100k-150k","150k+")))</f>
        <v>100k-150k</v>
      </c>
      <c r="O246" s="1" t="str">
        <f>IF(tbl_data[[#This Row],[Price_USD]]&gt;=87089,"High",
IF(tbl_data[[#This Row],[Price_USD]]&gt;=56807,"Mid","Low"))</f>
        <v>High</v>
      </c>
      <c r="P246" s="1" t="str">
        <f>IF(tbl_data[[#This Row],[Transmission]]="Automatic","Auto","Manual")</f>
        <v>Auto</v>
      </c>
      <c r="Q246" s="1" t="str">
        <f>IFERROR(IF(VALUE(tbl_data[[#This Row],[Engine_CC]])=0,"",VALUE(tbl_data[[#This Row],[Price_USD]])/VALUE(tbl_data[[#This Row],[Engine_CC]])),"")</f>
        <v/>
      </c>
      <c r="R246" s="1" t="str">
        <f>TRIM(tbl_data[[#This Row],[Brand]])</f>
        <v>Hyundai</v>
      </c>
      <c r="S246" s="1">
        <f>_xlfn.NUMBERVALUE(tbl_data[[#This Row],[Price_USD]],".",",")</f>
        <v>47624.83</v>
      </c>
    </row>
    <row r="247" spans="1:19" x14ac:dyDescent="0.3">
      <c r="A247">
        <v>246</v>
      </c>
      <c r="B247" t="s">
        <v>25</v>
      </c>
      <c r="C247">
        <v>2021</v>
      </c>
      <c r="D247">
        <v>161193</v>
      </c>
      <c r="E247" t="s">
        <v>31</v>
      </c>
      <c r="F247" t="s">
        <v>14</v>
      </c>
      <c r="G247" t="s">
        <v>32</v>
      </c>
      <c r="H247">
        <v>3944</v>
      </c>
      <c r="I247" t="s">
        <v>757</v>
      </c>
      <c r="J247" t="s">
        <v>758</v>
      </c>
      <c r="K247">
        <v>2</v>
      </c>
      <c r="L247" t="s">
        <v>759</v>
      </c>
      <c r="M247" s="1" t="str">
        <f>TEXT(DATE(tbl_data[[#This Row],[Model_Year]],1,1),"yyyy")</f>
        <v>2021</v>
      </c>
      <c r="N247" s="1" t="str">
        <f>IF(tbl_data[[#This Row],[Kilometers_Driven]]&lt;50000,"&lt;50k",
IF(tbl_data[[#This Row],[Kilometers_Driven]]&lt;100000,"50k-100k",
IF(tbl_data[[#This Row],[Kilometers_Driven]]&lt;150000,"100k-150k","150k+")))</f>
        <v>150k+</v>
      </c>
      <c r="O247" s="1" t="str">
        <f>IF(tbl_data[[#This Row],[Price_USD]]&gt;=87089,"High",
IF(tbl_data[[#This Row],[Price_USD]]&gt;=56807,"Mid","Low"))</f>
        <v>High</v>
      </c>
      <c r="P247" s="1" t="str">
        <f>IF(tbl_data[[#This Row],[Transmission]]="Automatic","Auto","Manual")</f>
        <v>Manual</v>
      </c>
      <c r="Q247" s="1" t="str">
        <f>IFERROR(IF(VALUE(tbl_data[[#This Row],[Engine_CC]])=0,"",VALUE(tbl_data[[#This Row],[Price_USD]])/VALUE(tbl_data[[#This Row],[Engine_CC]])),"")</f>
        <v/>
      </c>
      <c r="R247" s="1" t="str">
        <f>TRIM(tbl_data[[#This Row],[Brand]])</f>
        <v>Kia</v>
      </c>
      <c r="S247" s="1">
        <f>_xlfn.NUMBERVALUE(tbl_data[[#This Row],[Price_USD]],".",",")</f>
        <v>19481.63</v>
      </c>
    </row>
    <row r="248" spans="1:19" x14ac:dyDescent="0.3">
      <c r="A248">
        <v>247</v>
      </c>
      <c r="B248" t="s">
        <v>92</v>
      </c>
      <c r="C248">
        <v>2021</v>
      </c>
      <c r="D248">
        <v>133563</v>
      </c>
      <c r="E248" t="s">
        <v>13</v>
      </c>
      <c r="F248" t="s">
        <v>21</v>
      </c>
      <c r="G248" t="s">
        <v>32</v>
      </c>
      <c r="H248">
        <v>1042</v>
      </c>
      <c r="I248" t="s">
        <v>760</v>
      </c>
      <c r="J248" t="s">
        <v>761</v>
      </c>
      <c r="K248">
        <v>4</v>
      </c>
      <c r="L248" t="s">
        <v>762</v>
      </c>
      <c r="M248" s="1" t="str">
        <f>TEXT(DATE(tbl_data[[#This Row],[Model_Year]],1,1),"yyyy")</f>
        <v>2021</v>
      </c>
      <c r="N248" s="1" t="str">
        <f>IF(tbl_data[[#This Row],[Kilometers_Driven]]&lt;50000,"&lt;50k",
IF(tbl_data[[#This Row],[Kilometers_Driven]]&lt;100000,"50k-100k",
IF(tbl_data[[#This Row],[Kilometers_Driven]]&lt;150000,"100k-150k","150k+")))</f>
        <v>100k-150k</v>
      </c>
      <c r="O248" s="1" t="str">
        <f>IF(tbl_data[[#This Row],[Price_USD]]&gt;=87089,"High",
IF(tbl_data[[#This Row],[Price_USD]]&gt;=56807,"Mid","Low"))</f>
        <v>High</v>
      </c>
      <c r="P248" s="1" t="str">
        <f>IF(tbl_data[[#This Row],[Transmission]]="Automatic","Auto","Manual")</f>
        <v>Auto</v>
      </c>
      <c r="Q248" s="1" t="str">
        <f>IFERROR(IF(VALUE(tbl_data[[#This Row],[Engine_CC]])=0,"",VALUE(tbl_data[[#This Row],[Price_USD]])/VALUE(tbl_data[[#This Row],[Engine_CC]])),"")</f>
        <v/>
      </c>
      <c r="R248" s="1" t="str">
        <f>TRIM(tbl_data[[#This Row],[Brand]])</f>
        <v>Toyota</v>
      </c>
      <c r="S248" s="1">
        <f>_xlfn.NUMBERVALUE(tbl_data[[#This Row],[Price_USD]],".",",")</f>
        <v>76118.42</v>
      </c>
    </row>
    <row r="249" spans="1:19" x14ac:dyDescent="0.3">
      <c r="A249">
        <v>248</v>
      </c>
      <c r="B249" t="s">
        <v>25</v>
      </c>
      <c r="C249">
        <v>2014</v>
      </c>
      <c r="D249">
        <v>42487</v>
      </c>
      <c r="E249" t="s">
        <v>13</v>
      </c>
      <c r="F249" t="s">
        <v>21</v>
      </c>
      <c r="G249" t="s">
        <v>26</v>
      </c>
      <c r="H249">
        <v>4885</v>
      </c>
      <c r="I249" t="s">
        <v>763</v>
      </c>
      <c r="J249" t="s">
        <v>764</v>
      </c>
      <c r="K249">
        <v>7</v>
      </c>
      <c r="L249" t="s">
        <v>765</v>
      </c>
      <c r="M249" s="1" t="str">
        <f>TEXT(DATE(tbl_data[[#This Row],[Model_Year]],1,1),"yyyy")</f>
        <v>2014</v>
      </c>
      <c r="N249" s="1" t="str">
        <f>IF(tbl_data[[#This Row],[Kilometers_Driven]]&lt;50000,"&lt;50k",
IF(tbl_data[[#This Row],[Kilometers_Driven]]&lt;100000,"50k-100k",
IF(tbl_data[[#This Row],[Kilometers_Driven]]&lt;150000,"100k-150k","150k+")))</f>
        <v>&lt;50k</v>
      </c>
      <c r="O249" s="1" t="str">
        <f>IF(tbl_data[[#This Row],[Price_USD]]&gt;=87089,"High",
IF(tbl_data[[#This Row],[Price_USD]]&gt;=56807,"Mid","Low"))</f>
        <v>High</v>
      </c>
      <c r="P249" s="1" t="str">
        <f>IF(tbl_data[[#This Row],[Transmission]]="Automatic","Auto","Manual")</f>
        <v>Auto</v>
      </c>
      <c r="Q249" s="1" t="str">
        <f>IFERROR(IF(VALUE(tbl_data[[#This Row],[Engine_CC]])=0,"",VALUE(tbl_data[[#This Row],[Price_USD]])/VALUE(tbl_data[[#This Row],[Engine_CC]])),"")</f>
        <v/>
      </c>
      <c r="R249" s="1" t="str">
        <f>TRIM(tbl_data[[#This Row],[Brand]])</f>
        <v>Kia</v>
      </c>
      <c r="S249" s="1">
        <f>_xlfn.NUMBERVALUE(tbl_data[[#This Row],[Price_USD]],".",",")</f>
        <v>88277.85</v>
      </c>
    </row>
    <row r="250" spans="1:19" x14ac:dyDescent="0.3">
      <c r="A250">
        <v>249</v>
      </c>
      <c r="B250" t="s">
        <v>19</v>
      </c>
      <c r="C250">
        <v>2021</v>
      </c>
      <c r="D250">
        <v>169433</v>
      </c>
      <c r="E250" t="s">
        <v>13</v>
      </c>
      <c r="F250" t="s">
        <v>14</v>
      </c>
      <c r="G250" t="s">
        <v>32</v>
      </c>
      <c r="H250">
        <v>970</v>
      </c>
      <c r="I250" t="s">
        <v>766</v>
      </c>
      <c r="J250" t="s">
        <v>767</v>
      </c>
      <c r="K250">
        <v>6</v>
      </c>
      <c r="L250" t="s">
        <v>768</v>
      </c>
      <c r="M250" s="1" t="str">
        <f>TEXT(DATE(tbl_data[[#This Row],[Model_Year]],1,1),"yyyy")</f>
        <v>2021</v>
      </c>
      <c r="N250" s="1" t="str">
        <f>IF(tbl_data[[#This Row],[Kilometers_Driven]]&lt;50000,"&lt;50k",
IF(tbl_data[[#This Row],[Kilometers_Driven]]&lt;100000,"50k-100k",
IF(tbl_data[[#This Row],[Kilometers_Driven]]&lt;150000,"100k-150k","150k+")))</f>
        <v>150k+</v>
      </c>
      <c r="O250" s="1" t="str">
        <f>IF(tbl_data[[#This Row],[Price_USD]]&gt;=87089,"High",
IF(tbl_data[[#This Row],[Price_USD]]&gt;=56807,"Mid","Low"))</f>
        <v>High</v>
      </c>
      <c r="P250" s="1" t="str">
        <f>IF(tbl_data[[#This Row],[Transmission]]="Automatic","Auto","Manual")</f>
        <v>Manual</v>
      </c>
      <c r="Q250" s="1" t="str">
        <f>IFERROR(IF(VALUE(tbl_data[[#This Row],[Engine_CC]])=0,"",VALUE(tbl_data[[#This Row],[Price_USD]])/VALUE(tbl_data[[#This Row],[Engine_CC]])),"")</f>
        <v/>
      </c>
      <c r="R250" s="1" t="str">
        <f>TRIM(tbl_data[[#This Row],[Brand]])</f>
        <v>BMW</v>
      </c>
      <c r="S250" s="1">
        <f>_xlfn.NUMBERVALUE(tbl_data[[#This Row],[Price_USD]],".",",")</f>
        <v>112033.79</v>
      </c>
    </row>
    <row r="251" spans="1:19" x14ac:dyDescent="0.3">
      <c r="A251">
        <v>250</v>
      </c>
      <c r="B251" t="s">
        <v>92</v>
      </c>
      <c r="C251">
        <v>2019</v>
      </c>
      <c r="D251">
        <v>26223</v>
      </c>
      <c r="E251" t="s">
        <v>20</v>
      </c>
      <c r="F251" t="s">
        <v>14</v>
      </c>
      <c r="G251" t="s">
        <v>32</v>
      </c>
      <c r="H251">
        <v>1452</v>
      </c>
      <c r="I251" t="s">
        <v>769</v>
      </c>
      <c r="J251" t="s">
        <v>770</v>
      </c>
      <c r="K251">
        <v>7</v>
      </c>
      <c r="L251" t="s">
        <v>771</v>
      </c>
      <c r="M251" s="1" t="str">
        <f>TEXT(DATE(tbl_data[[#This Row],[Model_Year]],1,1),"yyyy")</f>
        <v>2019</v>
      </c>
      <c r="N251" s="1" t="str">
        <f>IF(tbl_data[[#This Row],[Kilometers_Driven]]&lt;50000,"&lt;50k",
IF(tbl_data[[#This Row],[Kilometers_Driven]]&lt;100000,"50k-100k",
IF(tbl_data[[#This Row],[Kilometers_Driven]]&lt;150000,"100k-150k","150k+")))</f>
        <v>&lt;50k</v>
      </c>
      <c r="O251" s="1" t="str">
        <f>IF(tbl_data[[#This Row],[Price_USD]]&gt;=87089,"High",
IF(tbl_data[[#This Row],[Price_USD]]&gt;=56807,"Mid","Low"))</f>
        <v>High</v>
      </c>
      <c r="P251" s="1" t="str">
        <f>IF(tbl_data[[#This Row],[Transmission]]="Automatic","Auto","Manual")</f>
        <v>Manual</v>
      </c>
      <c r="Q251" s="1" t="str">
        <f>IFERROR(IF(VALUE(tbl_data[[#This Row],[Engine_CC]])=0,"",VALUE(tbl_data[[#This Row],[Price_USD]])/VALUE(tbl_data[[#This Row],[Engine_CC]])),"")</f>
        <v/>
      </c>
      <c r="R251" s="1" t="str">
        <f>TRIM(tbl_data[[#This Row],[Brand]])</f>
        <v>Toyota</v>
      </c>
      <c r="S251" s="1">
        <f>_xlfn.NUMBERVALUE(tbl_data[[#This Row],[Price_USD]],".",",")</f>
        <v>35628.019999999997</v>
      </c>
    </row>
    <row r="252" spans="1:19" x14ac:dyDescent="0.3">
      <c r="A252">
        <v>251</v>
      </c>
      <c r="B252" t="s">
        <v>25</v>
      </c>
      <c r="C252">
        <v>2016</v>
      </c>
      <c r="D252">
        <v>77930</v>
      </c>
      <c r="E252" t="s">
        <v>20</v>
      </c>
      <c r="F252" t="s">
        <v>21</v>
      </c>
      <c r="G252" t="s">
        <v>15</v>
      </c>
      <c r="H252">
        <v>4312</v>
      </c>
      <c r="I252" t="s">
        <v>772</v>
      </c>
      <c r="J252" t="s">
        <v>773</v>
      </c>
      <c r="K252">
        <v>7</v>
      </c>
      <c r="L252" t="s">
        <v>774</v>
      </c>
      <c r="M252" s="1" t="str">
        <f>TEXT(DATE(tbl_data[[#This Row],[Model_Year]],1,1),"yyyy")</f>
        <v>2016</v>
      </c>
      <c r="N252" s="1" t="str">
        <f>IF(tbl_data[[#This Row],[Kilometers_Driven]]&lt;50000,"&lt;50k",
IF(tbl_data[[#This Row],[Kilometers_Driven]]&lt;100000,"50k-100k",
IF(tbl_data[[#This Row],[Kilometers_Driven]]&lt;150000,"100k-150k","150k+")))</f>
        <v>50k-100k</v>
      </c>
      <c r="O252" s="1" t="str">
        <f>IF(tbl_data[[#This Row],[Price_USD]]&gt;=87089,"High",
IF(tbl_data[[#This Row],[Price_USD]]&gt;=56807,"Mid","Low"))</f>
        <v>High</v>
      </c>
      <c r="P252" s="1" t="str">
        <f>IF(tbl_data[[#This Row],[Transmission]]="Automatic","Auto","Manual")</f>
        <v>Auto</v>
      </c>
      <c r="Q252" s="1" t="str">
        <f>IFERROR(IF(VALUE(tbl_data[[#This Row],[Engine_CC]])=0,"",VALUE(tbl_data[[#This Row],[Price_USD]])/VALUE(tbl_data[[#This Row],[Engine_CC]])),"")</f>
        <v/>
      </c>
      <c r="R252" s="1" t="str">
        <f>TRIM(tbl_data[[#This Row],[Brand]])</f>
        <v>Kia</v>
      </c>
      <c r="S252" s="1">
        <f>_xlfn.NUMBERVALUE(tbl_data[[#This Row],[Price_USD]],".",",")</f>
        <v>114174.71</v>
      </c>
    </row>
    <row r="253" spans="1:19" x14ac:dyDescent="0.3">
      <c r="A253">
        <v>252</v>
      </c>
      <c r="B253" t="s">
        <v>19</v>
      </c>
      <c r="C253">
        <v>2020</v>
      </c>
      <c r="D253">
        <v>150128</v>
      </c>
      <c r="E253" t="s">
        <v>13</v>
      </c>
      <c r="F253" t="s">
        <v>14</v>
      </c>
      <c r="G253" t="s">
        <v>26</v>
      </c>
      <c r="H253">
        <v>2299</v>
      </c>
      <c r="I253" t="s">
        <v>775</v>
      </c>
      <c r="J253" t="s">
        <v>776</v>
      </c>
      <c r="K253">
        <v>6</v>
      </c>
      <c r="L253" t="s">
        <v>777</v>
      </c>
      <c r="M253" s="1" t="str">
        <f>TEXT(DATE(tbl_data[[#This Row],[Model_Year]],1,1),"yyyy")</f>
        <v>2020</v>
      </c>
      <c r="N253" s="1" t="str">
        <f>IF(tbl_data[[#This Row],[Kilometers_Driven]]&lt;50000,"&lt;50k",
IF(tbl_data[[#This Row],[Kilometers_Driven]]&lt;100000,"50k-100k",
IF(tbl_data[[#This Row],[Kilometers_Driven]]&lt;150000,"100k-150k","150k+")))</f>
        <v>150k+</v>
      </c>
      <c r="O253" s="1" t="str">
        <f>IF(tbl_data[[#This Row],[Price_USD]]&gt;=87089,"High",
IF(tbl_data[[#This Row],[Price_USD]]&gt;=56807,"Mid","Low"))</f>
        <v>High</v>
      </c>
      <c r="P253" s="1" t="str">
        <f>IF(tbl_data[[#This Row],[Transmission]]="Automatic","Auto","Manual")</f>
        <v>Manual</v>
      </c>
      <c r="Q253" s="1" t="str">
        <f>IFERROR(IF(VALUE(tbl_data[[#This Row],[Engine_CC]])=0,"",VALUE(tbl_data[[#This Row],[Price_USD]])/VALUE(tbl_data[[#This Row],[Engine_CC]])),"")</f>
        <v/>
      </c>
      <c r="R253" s="1" t="str">
        <f>TRIM(tbl_data[[#This Row],[Brand]])</f>
        <v>BMW</v>
      </c>
      <c r="S253" s="1">
        <f>_xlfn.NUMBERVALUE(tbl_data[[#This Row],[Price_USD]],".",",")</f>
        <v>10401.73</v>
      </c>
    </row>
    <row r="254" spans="1:19" x14ac:dyDescent="0.3">
      <c r="A254">
        <v>253</v>
      </c>
      <c r="B254" t="s">
        <v>69</v>
      </c>
      <c r="C254">
        <v>2023</v>
      </c>
      <c r="D254">
        <v>33380</v>
      </c>
      <c r="E254" t="s">
        <v>20</v>
      </c>
      <c r="F254" t="s">
        <v>21</v>
      </c>
      <c r="G254" t="s">
        <v>26</v>
      </c>
      <c r="H254">
        <v>2899</v>
      </c>
      <c r="I254" t="s">
        <v>778</v>
      </c>
      <c r="J254" t="s">
        <v>779</v>
      </c>
      <c r="K254">
        <v>5</v>
      </c>
      <c r="L254" t="s">
        <v>780</v>
      </c>
      <c r="M254" s="1" t="str">
        <f>TEXT(DATE(tbl_data[[#This Row],[Model_Year]],1,1),"yyyy")</f>
        <v>2023</v>
      </c>
      <c r="N254" s="1" t="str">
        <f>IF(tbl_data[[#This Row],[Kilometers_Driven]]&lt;50000,"&lt;50k",
IF(tbl_data[[#This Row],[Kilometers_Driven]]&lt;100000,"50k-100k",
IF(tbl_data[[#This Row],[Kilometers_Driven]]&lt;150000,"100k-150k","150k+")))</f>
        <v>&lt;50k</v>
      </c>
      <c r="O254" s="1" t="str">
        <f>IF(tbl_data[[#This Row],[Price_USD]]&gt;=87089,"High",
IF(tbl_data[[#This Row],[Price_USD]]&gt;=56807,"Mid","Low"))</f>
        <v>High</v>
      </c>
      <c r="P254" s="1" t="str">
        <f>IF(tbl_data[[#This Row],[Transmission]]="Automatic","Auto","Manual")</f>
        <v>Auto</v>
      </c>
      <c r="Q254" s="1" t="str">
        <f>IFERROR(IF(VALUE(tbl_data[[#This Row],[Engine_CC]])=0,"",VALUE(tbl_data[[#This Row],[Price_USD]])/VALUE(tbl_data[[#This Row],[Engine_CC]])),"")</f>
        <v/>
      </c>
      <c r="R254" s="1" t="str">
        <f>TRIM(tbl_data[[#This Row],[Brand]])</f>
        <v>Hyundai</v>
      </c>
      <c r="S254" s="1">
        <f>_xlfn.NUMBERVALUE(tbl_data[[#This Row],[Price_USD]],".",",")</f>
        <v>73552.62</v>
      </c>
    </row>
    <row r="255" spans="1:19" x14ac:dyDescent="0.3">
      <c r="A255">
        <v>254</v>
      </c>
      <c r="B255" t="s">
        <v>25</v>
      </c>
      <c r="C255">
        <v>2012</v>
      </c>
      <c r="D255">
        <v>31035</v>
      </c>
      <c r="E255" t="s">
        <v>44</v>
      </c>
      <c r="F255" t="s">
        <v>14</v>
      </c>
      <c r="G255" t="s">
        <v>26</v>
      </c>
      <c r="H255">
        <v>2958</v>
      </c>
      <c r="I255" t="s">
        <v>781</v>
      </c>
      <c r="J255" t="s">
        <v>782</v>
      </c>
      <c r="K255">
        <v>4</v>
      </c>
      <c r="L255" t="s">
        <v>783</v>
      </c>
      <c r="M255" s="1" t="str">
        <f>TEXT(DATE(tbl_data[[#This Row],[Model_Year]],1,1),"yyyy")</f>
        <v>2012</v>
      </c>
      <c r="N255" s="1" t="str">
        <f>IF(tbl_data[[#This Row],[Kilometers_Driven]]&lt;50000,"&lt;50k",
IF(tbl_data[[#This Row],[Kilometers_Driven]]&lt;100000,"50k-100k",
IF(tbl_data[[#This Row],[Kilometers_Driven]]&lt;150000,"100k-150k","150k+")))</f>
        <v>&lt;50k</v>
      </c>
      <c r="O255" s="1" t="str">
        <f>IF(tbl_data[[#This Row],[Price_USD]]&gt;=87089,"High",
IF(tbl_data[[#This Row],[Price_USD]]&gt;=56807,"Mid","Low"))</f>
        <v>High</v>
      </c>
      <c r="P255" s="1" t="str">
        <f>IF(tbl_data[[#This Row],[Transmission]]="Automatic","Auto","Manual")</f>
        <v>Manual</v>
      </c>
      <c r="Q255" s="1" t="str">
        <f>IFERROR(IF(VALUE(tbl_data[[#This Row],[Engine_CC]])=0,"",VALUE(tbl_data[[#This Row],[Price_USD]])/VALUE(tbl_data[[#This Row],[Engine_CC]])),"")</f>
        <v/>
      </c>
      <c r="R255" s="1" t="str">
        <f>TRIM(tbl_data[[#This Row],[Brand]])</f>
        <v>Kia</v>
      </c>
      <c r="S255" s="1">
        <f>_xlfn.NUMBERVALUE(tbl_data[[#This Row],[Price_USD]],".",",")</f>
        <v>9684.5300000000007</v>
      </c>
    </row>
    <row r="256" spans="1:19" x14ac:dyDescent="0.3">
      <c r="A256">
        <v>255</v>
      </c>
      <c r="B256" t="s">
        <v>19</v>
      </c>
      <c r="C256">
        <v>2021</v>
      </c>
      <c r="D256">
        <v>35620</v>
      </c>
      <c r="E256" t="s">
        <v>44</v>
      </c>
      <c r="F256" t="s">
        <v>21</v>
      </c>
      <c r="G256" t="s">
        <v>32</v>
      </c>
      <c r="H256">
        <v>2772</v>
      </c>
      <c r="I256" t="s">
        <v>784</v>
      </c>
      <c r="J256" t="s">
        <v>785</v>
      </c>
      <c r="K256">
        <v>4</v>
      </c>
      <c r="L256" t="s">
        <v>786</v>
      </c>
      <c r="M256" s="1" t="str">
        <f>TEXT(DATE(tbl_data[[#This Row],[Model_Year]],1,1),"yyyy")</f>
        <v>2021</v>
      </c>
      <c r="N256" s="1" t="str">
        <f>IF(tbl_data[[#This Row],[Kilometers_Driven]]&lt;50000,"&lt;50k",
IF(tbl_data[[#This Row],[Kilometers_Driven]]&lt;100000,"50k-100k",
IF(tbl_data[[#This Row],[Kilometers_Driven]]&lt;150000,"100k-150k","150k+")))</f>
        <v>&lt;50k</v>
      </c>
      <c r="O256" s="1" t="str">
        <f>IF(tbl_data[[#This Row],[Price_USD]]&gt;=87089,"High",
IF(tbl_data[[#This Row],[Price_USD]]&gt;=56807,"Mid","Low"))</f>
        <v>High</v>
      </c>
      <c r="P256" s="1" t="str">
        <f>IF(tbl_data[[#This Row],[Transmission]]="Automatic","Auto","Manual")</f>
        <v>Auto</v>
      </c>
      <c r="Q256" s="1" t="str">
        <f>IFERROR(IF(VALUE(tbl_data[[#This Row],[Engine_CC]])=0,"",VALUE(tbl_data[[#This Row],[Price_USD]])/VALUE(tbl_data[[#This Row],[Engine_CC]])),"")</f>
        <v/>
      </c>
      <c r="R256" s="1" t="str">
        <f>TRIM(tbl_data[[#This Row],[Brand]])</f>
        <v>BMW</v>
      </c>
      <c r="S256" s="1">
        <f>_xlfn.NUMBERVALUE(tbl_data[[#This Row],[Price_USD]],".",",")</f>
        <v>107571.58</v>
      </c>
    </row>
    <row r="257" spans="1:19" x14ac:dyDescent="0.3">
      <c r="A257">
        <v>256</v>
      </c>
      <c r="B257" t="s">
        <v>43</v>
      </c>
      <c r="C257">
        <v>2009</v>
      </c>
      <c r="D257">
        <v>155949</v>
      </c>
      <c r="E257" t="s">
        <v>20</v>
      </c>
      <c r="F257" t="s">
        <v>14</v>
      </c>
      <c r="G257" t="s">
        <v>26</v>
      </c>
      <c r="H257">
        <v>4725</v>
      </c>
      <c r="I257" t="s">
        <v>787</v>
      </c>
      <c r="J257" t="s">
        <v>788</v>
      </c>
      <c r="K257">
        <v>2</v>
      </c>
      <c r="L257" t="s">
        <v>789</v>
      </c>
      <c r="M257" s="1" t="str">
        <f>TEXT(DATE(tbl_data[[#This Row],[Model_Year]],1,1),"yyyy")</f>
        <v>2009</v>
      </c>
      <c r="N257" s="1" t="str">
        <f>IF(tbl_data[[#This Row],[Kilometers_Driven]]&lt;50000,"&lt;50k",
IF(tbl_data[[#This Row],[Kilometers_Driven]]&lt;100000,"50k-100k",
IF(tbl_data[[#This Row],[Kilometers_Driven]]&lt;150000,"100k-150k","150k+")))</f>
        <v>150k+</v>
      </c>
      <c r="O257" s="1" t="str">
        <f>IF(tbl_data[[#This Row],[Price_USD]]&gt;=87089,"High",
IF(tbl_data[[#This Row],[Price_USD]]&gt;=56807,"Mid","Low"))</f>
        <v>High</v>
      </c>
      <c r="P257" s="1" t="str">
        <f>IF(tbl_data[[#This Row],[Transmission]]="Automatic","Auto","Manual")</f>
        <v>Manual</v>
      </c>
      <c r="Q257" s="1" t="str">
        <f>IFERROR(IF(VALUE(tbl_data[[#This Row],[Engine_CC]])=0,"",VALUE(tbl_data[[#This Row],[Price_USD]])/VALUE(tbl_data[[#This Row],[Engine_CC]])),"")</f>
        <v/>
      </c>
      <c r="R257" s="1" t="str">
        <f>TRIM(tbl_data[[#This Row],[Brand]])</f>
        <v>Ford</v>
      </c>
      <c r="S257" s="1">
        <f>_xlfn.NUMBERVALUE(tbl_data[[#This Row],[Price_USD]],".",",")</f>
        <v>64987.66</v>
      </c>
    </row>
    <row r="258" spans="1:19" x14ac:dyDescent="0.3">
      <c r="A258">
        <v>257</v>
      </c>
      <c r="B258" t="s">
        <v>102</v>
      </c>
      <c r="C258">
        <v>2020</v>
      </c>
      <c r="D258">
        <v>191388</v>
      </c>
      <c r="E258" t="s">
        <v>20</v>
      </c>
      <c r="F258" t="s">
        <v>21</v>
      </c>
      <c r="G258" t="s">
        <v>26</v>
      </c>
      <c r="H258">
        <v>3058</v>
      </c>
      <c r="I258" t="s">
        <v>790</v>
      </c>
      <c r="J258" t="s">
        <v>791</v>
      </c>
      <c r="K258">
        <v>2</v>
      </c>
      <c r="L258" t="s">
        <v>792</v>
      </c>
      <c r="M258" s="1" t="str">
        <f>TEXT(DATE(tbl_data[[#This Row],[Model_Year]],1,1),"yyyy")</f>
        <v>2020</v>
      </c>
      <c r="N258" s="1" t="str">
        <f>IF(tbl_data[[#This Row],[Kilometers_Driven]]&lt;50000,"&lt;50k",
IF(tbl_data[[#This Row],[Kilometers_Driven]]&lt;100000,"50k-100k",
IF(tbl_data[[#This Row],[Kilometers_Driven]]&lt;150000,"100k-150k","150k+")))</f>
        <v>150k+</v>
      </c>
      <c r="O258" s="1" t="str">
        <f>IF(tbl_data[[#This Row],[Price_USD]]&gt;=87089,"High",
IF(tbl_data[[#This Row],[Price_USD]]&gt;=56807,"Mid","Low"))</f>
        <v>High</v>
      </c>
      <c r="P258" s="1" t="str">
        <f>IF(tbl_data[[#This Row],[Transmission]]="Automatic","Auto","Manual")</f>
        <v>Auto</v>
      </c>
      <c r="Q258" s="1" t="str">
        <f>IFERROR(IF(VALUE(tbl_data[[#This Row],[Engine_CC]])=0,"",VALUE(tbl_data[[#This Row],[Price_USD]])/VALUE(tbl_data[[#This Row],[Engine_CC]])),"")</f>
        <v/>
      </c>
      <c r="R258" s="1" t="str">
        <f>TRIM(tbl_data[[#This Row],[Brand]])</f>
        <v>Nissan</v>
      </c>
      <c r="S258" s="1">
        <f>_xlfn.NUMBERVALUE(tbl_data[[#This Row],[Price_USD]],".",",")</f>
        <v>81313.759999999995</v>
      </c>
    </row>
    <row r="259" spans="1:19" x14ac:dyDescent="0.3">
      <c r="A259">
        <v>258</v>
      </c>
      <c r="B259" t="s">
        <v>43</v>
      </c>
      <c r="C259">
        <v>2010</v>
      </c>
      <c r="D259">
        <v>122360</v>
      </c>
      <c r="E259" t="s">
        <v>44</v>
      </c>
      <c r="F259" t="s">
        <v>21</v>
      </c>
      <c r="G259" t="s">
        <v>15</v>
      </c>
      <c r="H259">
        <v>4839</v>
      </c>
      <c r="I259" t="s">
        <v>793</v>
      </c>
      <c r="J259" t="s">
        <v>794</v>
      </c>
      <c r="K259">
        <v>2</v>
      </c>
      <c r="L259" t="s">
        <v>795</v>
      </c>
      <c r="M259" s="1" t="str">
        <f>TEXT(DATE(tbl_data[[#This Row],[Model_Year]],1,1),"yyyy")</f>
        <v>2010</v>
      </c>
      <c r="N259" s="1" t="str">
        <f>IF(tbl_data[[#This Row],[Kilometers_Driven]]&lt;50000,"&lt;50k",
IF(tbl_data[[#This Row],[Kilometers_Driven]]&lt;100000,"50k-100k",
IF(tbl_data[[#This Row],[Kilometers_Driven]]&lt;150000,"100k-150k","150k+")))</f>
        <v>100k-150k</v>
      </c>
      <c r="O259" s="1" t="str">
        <f>IF(tbl_data[[#This Row],[Price_USD]]&gt;=87089,"High",
IF(tbl_data[[#This Row],[Price_USD]]&gt;=56807,"Mid","Low"))</f>
        <v>High</v>
      </c>
      <c r="P259" s="1" t="str">
        <f>IF(tbl_data[[#This Row],[Transmission]]="Automatic","Auto","Manual")</f>
        <v>Auto</v>
      </c>
      <c r="Q259" s="1" t="str">
        <f>IFERROR(IF(VALUE(tbl_data[[#This Row],[Engine_CC]])=0,"",VALUE(tbl_data[[#This Row],[Price_USD]])/VALUE(tbl_data[[#This Row],[Engine_CC]])),"")</f>
        <v/>
      </c>
      <c r="R259" s="1" t="str">
        <f>TRIM(tbl_data[[#This Row],[Brand]])</f>
        <v>Ford</v>
      </c>
      <c r="S259" s="1">
        <f>_xlfn.NUMBERVALUE(tbl_data[[#This Row],[Price_USD]],".",",")</f>
        <v>100294.15</v>
      </c>
    </row>
    <row r="260" spans="1:19" x14ac:dyDescent="0.3">
      <c r="A260">
        <v>259</v>
      </c>
      <c r="B260" t="s">
        <v>102</v>
      </c>
      <c r="C260">
        <v>2012</v>
      </c>
      <c r="D260">
        <v>58352</v>
      </c>
      <c r="E260" t="s">
        <v>31</v>
      </c>
      <c r="F260" t="s">
        <v>21</v>
      </c>
      <c r="G260" t="s">
        <v>15</v>
      </c>
      <c r="H260">
        <v>2835</v>
      </c>
      <c r="I260" t="s">
        <v>796</v>
      </c>
      <c r="J260" t="s">
        <v>797</v>
      </c>
      <c r="K260">
        <v>4</v>
      </c>
      <c r="L260" t="s">
        <v>798</v>
      </c>
      <c r="M260" s="1" t="str">
        <f>TEXT(DATE(tbl_data[[#This Row],[Model_Year]],1,1),"yyyy")</f>
        <v>2012</v>
      </c>
      <c r="N260" s="1" t="str">
        <f>IF(tbl_data[[#This Row],[Kilometers_Driven]]&lt;50000,"&lt;50k",
IF(tbl_data[[#This Row],[Kilometers_Driven]]&lt;100000,"50k-100k",
IF(tbl_data[[#This Row],[Kilometers_Driven]]&lt;150000,"100k-150k","150k+")))</f>
        <v>50k-100k</v>
      </c>
      <c r="O260" s="1" t="str">
        <f>IF(tbl_data[[#This Row],[Price_USD]]&gt;=87089,"High",
IF(tbl_data[[#This Row],[Price_USD]]&gt;=56807,"Mid","Low"))</f>
        <v>High</v>
      </c>
      <c r="P260" s="1" t="str">
        <f>IF(tbl_data[[#This Row],[Transmission]]="Automatic","Auto","Manual")</f>
        <v>Auto</v>
      </c>
      <c r="Q260" s="1" t="str">
        <f>IFERROR(IF(VALUE(tbl_data[[#This Row],[Engine_CC]])=0,"",VALUE(tbl_data[[#This Row],[Price_USD]])/VALUE(tbl_data[[#This Row],[Engine_CC]])),"")</f>
        <v/>
      </c>
      <c r="R260" s="1" t="str">
        <f>TRIM(tbl_data[[#This Row],[Brand]])</f>
        <v>Nissan</v>
      </c>
      <c r="S260" s="1">
        <f>_xlfn.NUMBERVALUE(tbl_data[[#This Row],[Price_USD]],".",",")</f>
        <v>20586.34</v>
      </c>
    </row>
    <row r="261" spans="1:19" x14ac:dyDescent="0.3">
      <c r="A261">
        <v>260</v>
      </c>
      <c r="B261" t="s">
        <v>76</v>
      </c>
      <c r="C261">
        <v>2022</v>
      </c>
      <c r="D261">
        <v>166983</v>
      </c>
      <c r="E261" t="s">
        <v>44</v>
      </c>
      <c r="F261" t="s">
        <v>14</v>
      </c>
      <c r="G261" t="s">
        <v>15</v>
      </c>
      <c r="H261">
        <v>4071</v>
      </c>
      <c r="I261" t="s">
        <v>799</v>
      </c>
      <c r="J261" t="s">
        <v>800</v>
      </c>
      <c r="K261">
        <v>5</v>
      </c>
      <c r="L261" t="s">
        <v>801</v>
      </c>
      <c r="M261" s="1" t="str">
        <f>TEXT(DATE(tbl_data[[#This Row],[Model_Year]],1,1),"yyyy")</f>
        <v>2022</v>
      </c>
      <c r="N261" s="1" t="str">
        <f>IF(tbl_data[[#This Row],[Kilometers_Driven]]&lt;50000,"&lt;50k",
IF(tbl_data[[#This Row],[Kilometers_Driven]]&lt;100000,"50k-100k",
IF(tbl_data[[#This Row],[Kilometers_Driven]]&lt;150000,"100k-150k","150k+")))</f>
        <v>150k+</v>
      </c>
      <c r="O261" s="1" t="str">
        <f>IF(tbl_data[[#This Row],[Price_USD]]&gt;=87089,"High",
IF(tbl_data[[#This Row],[Price_USD]]&gt;=56807,"Mid","Low"))</f>
        <v>High</v>
      </c>
      <c r="P261" s="1" t="str">
        <f>IF(tbl_data[[#This Row],[Transmission]]="Automatic","Auto","Manual")</f>
        <v>Manual</v>
      </c>
      <c r="Q261" s="1" t="str">
        <f>IFERROR(IF(VALUE(tbl_data[[#This Row],[Engine_CC]])=0,"",VALUE(tbl_data[[#This Row],[Price_USD]])/VALUE(tbl_data[[#This Row],[Engine_CC]])),"")</f>
        <v/>
      </c>
      <c r="R261" s="1" t="str">
        <f>TRIM(tbl_data[[#This Row],[Brand]])</f>
        <v>Honda</v>
      </c>
      <c r="S261" s="1">
        <f>_xlfn.NUMBERVALUE(tbl_data[[#This Row],[Price_USD]],".",",")</f>
        <v>7515.21</v>
      </c>
    </row>
    <row r="262" spans="1:19" x14ac:dyDescent="0.3">
      <c r="A262">
        <v>261</v>
      </c>
      <c r="B262" t="s">
        <v>76</v>
      </c>
      <c r="C262">
        <v>2016</v>
      </c>
      <c r="D262">
        <v>168856</v>
      </c>
      <c r="E262" t="s">
        <v>44</v>
      </c>
      <c r="F262" t="s">
        <v>14</v>
      </c>
      <c r="G262" t="s">
        <v>32</v>
      </c>
      <c r="H262">
        <v>1657</v>
      </c>
      <c r="I262" t="s">
        <v>802</v>
      </c>
      <c r="J262" t="s">
        <v>803</v>
      </c>
      <c r="K262">
        <v>4</v>
      </c>
      <c r="L262" t="s">
        <v>804</v>
      </c>
      <c r="M262" s="1" t="str">
        <f>TEXT(DATE(tbl_data[[#This Row],[Model_Year]],1,1),"yyyy")</f>
        <v>2016</v>
      </c>
      <c r="N262" s="1" t="str">
        <f>IF(tbl_data[[#This Row],[Kilometers_Driven]]&lt;50000,"&lt;50k",
IF(tbl_data[[#This Row],[Kilometers_Driven]]&lt;100000,"50k-100k",
IF(tbl_data[[#This Row],[Kilometers_Driven]]&lt;150000,"100k-150k","150k+")))</f>
        <v>150k+</v>
      </c>
      <c r="O262" s="1" t="str">
        <f>IF(tbl_data[[#This Row],[Price_USD]]&gt;=87089,"High",
IF(tbl_data[[#This Row],[Price_USD]]&gt;=56807,"Mid","Low"))</f>
        <v>High</v>
      </c>
      <c r="P262" s="1" t="str">
        <f>IF(tbl_data[[#This Row],[Transmission]]="Automatic","Auto","Manual")</f>
        <v>Manual</v>
      </c>
      <c r="Q262" s="1" t="str">
        <f>IFERROR(IF(VALUE(tbl_data[[#This Row],[Engine_CC]])=0,"",VALUE(tbl_data[[#This Row],[Price_USD]])/VALUE(tbl_data[[#This Row],[Engine_CC]])),"")</f>
        <v/>
      </c>
      <c r="R262" s="1" t="str">
        <f>TRIM(tbl_data[[#This Row],[Brand]])</f>
        <v>Honda</v>
      </c>
      <c r="S262" s="1">
        <f>_xlfn.NUMBERVALUE(tbl_data[[#This Row],[Price_USD]],".",",")</f>
        <v>105829.09</v>
      </c>
    </row>
    <row r="263" spans="1:19" x14ac:dyDescent="0.3">
      <c r="A263">
        <v>262</v>
      </c>
      <c r="B263" t="s">
        <v>76</v>
      </c>
      <c r="C263">
        <v>2019</v>
      </c>
      <c r="D263">
        <v>8191</v>
      </c>
      <c r="E263" t="s">
        <v>20</v>
      </c>
      <c r="F263" t="s">
        <v>21</v>
      </c>
      <c r="G263" t="s">
        <v>26</v>
      </c>
      <c r="H263">
        <v>4623</v>
      </c>
      <c r="I263" t="s">
        <v>805</v>
      </c>
      <c r="J263" t="s">
        <v>806</v>
      </c>
      <c r="K263">
        <v>4</v>
      </c>
      <c r="L263" t="s">
        <v>807</v>
      </c>
      <c r="M263" s="1" t="str">
        <f>TEXT(DATE(tbl_data[[#This Row],[Model_Year]],1,1),"yyyy")</f>
        <v>2019</v>
      </c>
      <c r="N263" s="1" t="str">
        <f>IF(tbl_data[[#This Row],[Kilometers_Driven]]&lt;50000,"&lt;50k",
IF(tbl_data[[#This Row],[Kilometers_Driven]]&lt;100000,"50k-100k",
IF(tbl_data[[#This Row],[Kilometers_Driven]]&lt;150000,"100k-150k","150k+")))</f>
        <v>&lt;50k</v>
      </c>
      <c r="O263" s="1" t="str">
        <f>IF(tbl_data[[#This Row],[Price_USD]]&gt;=87089,"High",
IF(tbl_data[[#This Row],[Price_USD]]&gt;=56807,"Mid","Low"))</f>
        <v>High</v>
      </c>
      <c r="P263" s="1" t="str">
        <f>IF(tbl_data[[#This Row],[Transmission]]="Automatic","Auto","Manual")</f>
        <v>Auto</v>
      </c>
      <c r="Q263" s="1" t="str">
        <f>IFERROR(IF(VALUE(tbl_data[[#This Row],[Engine_CC]])=0,"",VALUE(tbl_data[[#This Row],[Price_USD]])/VALUE(tbl_data[[#This Row],[Engine_CC]])),"")</f>
        <v/>
      </c>
      <c r="R263" s="1" t="str">
        <f>TRIM(tbl_data[[#This Row],[Brand]])</f>
        <v>Honda</v>
      </c>
      <c r="S263" s="1">
        <f>_xlfn.NUMBERVALUE(tbl_data[[#This Row],[Price_USD]],".",",")</f>
        <v>39847.19</v>
      </c>
    </row>
    <row r="264" spans="1:19" x14ac:dyDescent="0.3">
      <c r="A264">
        <v>263</v>
      </c>
      <c r="B264" t="s">
        <v>69</v>
      </c>
      <c r="C264">
        <v>2013</v>
      </c>
      <c r="D264">
        <v>169232</v>
      </c>
      <c r="E264" t="s">
        <v>44</v>
      </c>
      <c r="F264" t="s">
        <v>21</v>
      </c>
      <c r="G264" t="s">
        <v>15</v>
      </c>
      <c r="H264">
        <v>1849</v>
      </c>
      <c r="I264" t="s">
        <v>808</v>
      </c>
      <c r="J264" t="s">
        <v>809</v>
      </c>
      <c r="K264">
        <v>4</v>
      </c>
      <c r="L264" t="s">
        <v>810</v>
      </c>
      <c r="M264" s="1" t="str">
        <f>TEXT(DATE(tbl_data[[#This Row],[Model_Year]],1,1),"yyyy")</f>
        <v>2013</v>
      </c>
      <c r="N264" s="1" t="str">
        <f>IF(tbl_data[[#This Row],[Kilometers_Driven]]&lt;50000,"&lt;50k",
IF(tbl_data[[#This Row],[Kilometers_Driven]]&lt;100000,"50k-100k",
IF(tbl_data[[#This Row],[Kilometers_Driven]]&lt;150000,"100k-150k","150k+")))</f>
        <v>150k+</v>
      </c>
      <c r="O264" s="1" t="str">
        <f>IF(tbl_data[[#This Row],[Price_USD]]&gt;=87089,"High",
IF(tbl_data[[#This Row],[Price_USD]]&gt;=56807,"Mid","Low"))</f>
        <v>High</v>
      </c>
      <c r="P264" s="1" t="str">
        <f>IF(tbl_data[[#This Row],[Transmission]]="Automatic","Auto","Manual")</f>
        <v>Auto</v>
      </c>
      <c r="Q264" s="1" t="str">
        <f>IFERROR(IF(VALUE(tbl_data[[#This Row],[Engine_CC]])=0,"",VALUE(tbl_data[[#This Row],[Price_USD]])/VALUE(tbl_data[[#This Row],[Engine_CC]])),"")</f>
        <v/>
      </c>
      <c r="R264" s="1" t="str">
        <f>TRIM(tbl_data[[#This Row],[Brand]])</f>
        <v>Hyundai</v>
      </c>
      <c r="S264" s="1">
        <f>_xlfn.NUMBERVALUE(tbl_data[[#This Row],[Price_USD]],".",",")</f>
        <v>18090.53</v>
      </c>
    </row>
    <row r="265" spans="1:19" x14ac:dyDescent="0.3">
      <c r="A265">
        <v>264</v>
      </c>
      <c r="B265" t="s">
        <v>43</v>
      </c>
      <c r="C265">
        <v>2017</v>
      </c>
      <c r="D265">
        <v>95536</v>
      </c>
      <c r="E265" t="s">
        <v>20</v>
      </c>
      <c r="F265" t="s">
        <v>14</v>
      </c>
      <c r="G265" t="s">
        <v>15</v>
      </c>
      <c r="H265">
        <v>4790</v>
      </c>
      <c r="I265" t="s">
        <v>811</v>
      </c>
      <c r="J265" t="s">
        <v>812</v>
      </c>
      <c r="K265">
        <v>4</v>
      </c>
      <c r="L265" t="s">
        <v>813</v>
      </c>
      <c r="M265" s="1" t="str">
        <f>TEXT(DATE(tbl_data[[#This Row],[Model_Year]],1,1),"yyyy")</f>
        <v>2017</v>
      </c>
      <c r="N265" s="1" t="str">
        <f>IF(tbl_data[[#This Row],[Kilometers_Driven]]&lt;50000,"&lt;50k",
IF(tbl_data[[#This Row],[Kilometers_Driven]]&lt;100000,"50k-100k",
IF(tbl_data[[#This Row],[Kilometers_Driven]]&lt;150000,"100k-150k","150k+")))</f>
        <v>50k-100k</v>
      </c>
      <c r="O265" s="1" t="str">
        <f>IF(tbl_data[[#This Row],[Price_USD]]&gt;=87089,"High",
IF(tbl_data[[#This Row],[Price_USD]]&gt;=56807,"Mid","Low"))</f>
        <v>High</v>
      </c>
      <c r="P265" s="1" t="str">
        <f>IF(tbl_data[[#This Row],[Transmission]]="Automatic","Auto","Manual")</f>
        <v>Manual</v>
      </c>
      <c r="Q265" s="1" t="str">
        <f>IFERROR(IF(VALUE(tbl_data[[#This Row],[Engine_CC]])=0,"",VALUE(tbl_data[[#This Row],[Price_USD]])/VALUE(tbl_data[[#This Row],[Engine_CC]])),"")</f>
        <v/>
      </c>
      <c r="R265" s="1" t="str">
        <f>TRIM(tbl_data[[#This Row],[Brand]])</f>
        <v>Ford</v>
      </c>
      <c r="S265" s="1">
        <f>_xlfn.NUMBERVALUE(tbl_data[[#This Row],[Price_USD]],".",",")</f>
        <v>57809.96</v>
      </c>
    </row>
    <row r="266" spans="1:19" x14ac:dyDescent="0.3">
      <c r="A266">
        <v>265</v>
      </c>
      <c r="B266" t="s">
        <v>102</v>
      </c>
      <c r="C266">
        <v>2019</v>
      </c>
      <c r="D266">
        <v>109576</v>
      </c>
      <c r="E266" t="s">
        <v>20</v>
      </c>
      <c r="F266" t="s">
        <v>14</v>
      </c>
      <c r="G266" t="s">
        <v>15</v>
      </c>
      <c r="H266">
        <v>1098</v>
      </c>
      <c r="I266" t="s">
        <v>814</v>
      </c>
      <c r="J266" t="s">
        <v>401</v>
      </c>
      <c r="K266">
        <v>5</v>
      </c>
      <c r="L266" t="s">
        <v>815</v>
      </c>
      <c r="M266" s="1" t="str">
        <f>TEXT(DATE(tbl_data[[#This Row],[Model_Year]],1,1),"yyyy")</f>
        <v>2019</v>
      </c>
      <c r="N266" s="1" t="str">
        <f>IF(tbl_data[[#This Row],[Kilometers_Driven]]&lt;50000,"&lt;50k",
IF(tbl_data[[#This Row],[Kilometers_Driven]]&lt;100000,"50k-100k",
IF(tbl_data[[#This Row],[Kilometers_Driven]]&lt;150000,"100k-150k","150k+")))</f>
        <v>100k-150k</v>
      </c>
      <c r="O266" s="1" t="str">
        <f>IF(tbl_data[[#This Row],[Price_USD]]&gt;=87089,"High",
IF(tbl_data[[#This Row],[Price_USD]]&gt;=56807,"Mid","Low"))</f>
        <v>High</v>
      </c>
      <c r="P266" s="1" t="str">
        <f>IF(tbl_data[[#This Row],[Transmission]]="Automatic","Auto","Manual")</f>
        <v>Manual</v>
      </c>
      <c r="Q266" s="1" t="str">
        <f>IFERROR(IF(VALUE(tbl_data[[#This Row],[Engine_CC]])=0,"",VALUE(tbl_data[[#This Row],[Price_USD]])/VALUE(tbl_data[[#This Row],[Engine_CC]])),"")</f>
        <v/>
      </c>
      <c r="R266" s="1" t="str">
        <f>TRIM(tbl_data[[#This Row],[Brand]])</f>
        <v>Nissan</v>
      </c>
      <c r="S266" s="1">
        <f>_xlfn.NUMBERVALUE(tbl_data[[#This Row],[Price_USD]],".",",")</f>
        <v>73001.81</v>
      </c>
    </row>
    <row r="267" spans="1:19" x14ac:dyDescent="0.3">
      <c r="A267">
        <v>266</v>
      </c>
      <c r="B267" t="s">
        <v>19</v>
      </c>
      <c r="C267">
        <v>2014</v>
      </c>
      <c r="D267">
        <v>185795</v>
      </c>
      <c r="E267" t="s">
        <v>13</v>
      </c>
      <c r="F267" t="s">
        <v>14</v>
      </c>
      <c r="G267" t="s">
        <v>26</v>
      </c>
      <c r="H267">
        <v>1723</v>
      </c>
      <c r="I267" t="s">
        <v>816</v>
      </c>
      <c r="J267" t="s">
        <v>817</v>
      </c>
      <c r="K267">
        <v>2</v>
      </c>
      <c r="L267" t="s">
        <v>818</v>
      </c>
      <c r="M267" s="1" t="str">
        <f>TEXT(DATE(tbl_data[[#This Row],[Model_Year]],1,1),"yyyy")</f>
        <v>2014</v>
      </c>
      <c r="N267" s="1" t="str">
        <f>IF(tbl_data[[#This Row],[Kilometers_Driven]]&lt;50000,"&lt;50k",
IF(tbl_data[[#This Row],[Kilometers_Driven]]&lt;100000,"50k-100k",
IF(tbl_data[[#This Row],[Kilometers_Driven]]&lt;150000,"100k-150k","150k+")))</f>
        <v>150k+</v>
      </c>
      <c r="O267" s="1" t="str">
        <f>IF(tbl_data[[#This Row],[Price_USD]]&gt;=87089,"High",
IF(tbl_data[[#This Row],[Price_USD]]&gt;=56807,"Mid","Low"))</f>
        <v>High</v>
      </c>
      <c r="P267" s="1" t="str">
        <f>IF(tbl_data[[#This Row],[Transmission]]="Automatic","Auto","Manual")</f>
        <v>Manual</v>
      </c>
      <c r="Q267" s="1" t="str">
        <f>IFERROR(IF(VALUE(tbl_data[[#This Row],[Engine_CC]])=0,"",VALUE(tbl_data[[#This Row],[Price_USD]])/VALUE(tbl_data[[#This Row],[Engine_CC]])),"")</f>
        <v/>
      </c>
      <c r="R267" s="1" t="str">
        <f>TRIM(tbl_data[[#This Row],[Brand]])</f>
        <v>BMW</v>
      </c>
      <c r="S267" s="1">
        <f>_xlfn.NUMBERVALUE(tbl_data[[#This Row],[Price_USD]],".",",")</f>
        <v>6623.56</v>
      </c>
    </row>
    <row r="268" spans="1:19" x14ac:dyDescent="0.3">
      <c r="A268">
        <v>267</v>
      </c>
      <c r="B268" t="s">
        <v>92</v>
      </c>
      <c r="C268">
        <v>2020</v>
      </c>
      <c r="D268">
        <v>8631</v>
      </c>
      <c r="E268" t="s">
        <v>44</v>
      </c>
      <c r="F268" t="s">
        <v>14</v>
      </c>
      <c r="G268" t="s">
        <v>26</v>
      </c>
      <c r="H268">
        <v>3599</v>
      </c>
      <c r="I268" t="s">
        <v>819</v>
      </c>
      <c r="J268" t="s">
        <v>820</v>
      </c>
      <c r="K268">
        <v>7</v>
      </c>
      <c r="L268" t="s">
        <v>821</v>
      </c>
      <c r="M268" s="1" t="str">
        <f>TEXT(DATE(tbl_data[[#This Row],[Model_Year]],1,1),"yyyy")</f>
        <v>2020</v>
      </c>
      <c r="N268" s="1" t="str">
        <f>IF(tbl_data[[#This Row],[Kilometers_Driven]]&lt;50000,"&lt;50k",
IF(tbl_data[[#This Row],[Kilometers_Driven]]&lt;100000,"50k-100k",
IF(tbl_data[[#This Row],[Kilometers_Driven]]&lt;150000,"100k-150k","150k+")))</f>
        <v>&lt;50k</v>
      </c>
      <c r="O268" s="1" t="str">
        <f>IF(tbl_data[[#This Row],[Price_USD]]&gt;=87089,"High",
IF(tbl_data[[#This Row],[Price_USD]]&gt;=56807,"Mid","Low"))</f>
        <v>High</v>
      </c>
      <c r="P268" s="1" t="str">
        <f>IF(tbl_data[[#This Row],[Transmission]]="Automatic","Auto","Manual")</f>
        <v>Manual</v>
      </c>
      <c r="Q268" s="1" t="str">
        <f>IFERROR(IF(VALUE(tbl_data[[#This Row],[Engine_CC]])=0,"",VALUE(tbl_data[[#This Row],[Price_USD]])/VALUE(tbl_data[[#This Row],[Engine_CC]])),"")</f>
        <v/>
      </c>
      <c r="R268" s="1" t="str">
        <f>TRIM(tbl_data[[#This Row],[Brand]])</f>
        <v>Toyota</v>
      </c>
      <c r="S268" s="1">
        <f>_xlfn.NUMBERVALUE(tbl_data[[#This Row],[Price_USD]],".",",")</f>
        <v>35162.79</v>
      </c>
    </row>
    <row r="269" spans="1:19" x14ac:dyDescent="0.3">
      <c r="A269">
        <v>268</v>
      </c>
      <c r="B269" t="s">
        <v>19</v>
      </c>
      <c r="C269">
        <v>2011</v>
      </c>
      <c r="D269">
        <v>142244</v>
      </c>
      <c r="E269" t="s">
        <v>31</v>
      </c>
      <c r="F269" t="s">
        <v>14</v>
      </c>
      <c r="G269" t="s">
        <v>26</v>
      </c>
      <c r="H269">
        <v>4862</v>
      </c>
      <c r="I269" t="s">
        <v>822</v>
      </c>
      <c r="J269" t="s">
        <v>823</v>
      </c>
      <c r="K269">
        <v>2</v>
      </c>
      <c r="L269" t="s">
        <v>824</v>
      </c>
      <c r="M269" s="1" t="str">
        <f>TEXT(DATE(tbl_data[[#This Row],[Model_Year]],1,1),"yyyy")</f>
        <v>2011</v>
      </c>
      <c r="N269" s="1" t="str">
        <f>IF(tbl_data[[#This Row],[Kilometers_Driven]]&lt;50000,"&lt;50k",
IF(tbl_data[[#This Row],[Kilometers_Driven]]&lt;100000,"50k-100k",
IF(tbl_data[[#This Row],[Kilometers_Driven]]&lt;150000,"100k-150k","150k+")))</f>
        <v>100k-150k</v>
      </c>
      <c r="O269" s="1" t="str">
        <f>IF(tbl_data[[#This Row],[Price_USD]]&gt;=87089,"High",
IF(tbl_data[[#This Row],[Price_USD]]&gt;=56807,"Mid","Low"))</f>
        <v>High</v>
      </c>
      <c r="P269" s="1" t="str">
        <f>IF(tbl_data[[#This Row],[Transmission]]="Automatic","Auto","Manual")</f>
        <v>Manual</v>
      </c>
      <c r="Q269" s="1" t="str">
        <f>IFERROR(IF(VALUE(tbl_data[[#This Row],[Engine_CC]])=0,"",VALUE(tbl_data[[#This Row],[Price_USD]])/VALUE(tbl_data[[#This Row],[Engine_CC]])),"")</f>
        <v/>
      </c>
      <c r="R269" s="1" t="str">
        <f>TRIM(tbl_data[[#This Row],[Brand]])</f>
        <v>BMW</v>
      </c>
      <c r="S269" s="1">
        <f>_xlfn.NUMBERVALUE(tbl_data[[#This Row],[Price_USD]],".",",")</f>
        <v>6837.59</v>
      </c>
    </row>
    <row r="270" spans="1:19" x14ac:dyDescent="0.3">
      <c r="A270">
        <v>269</v>
      </c>
      <c r="B270" t="s">
        <v>92</v>
      </c>
      <c r="C270">
        <v>2021</v>
      </c>
      <c r="D270">
        <v>47080</v>
      </c>
      <c r="E270" t="s">
        <v>13</v>
      </c>
      <c r="F270" t="s">
        <v>14</v>
      </c>
      <c r="G270" t="s">
        <v>32</v>
      </c>
      <c r="H270">
        <v>4845</v>
      </c>
      <c r="I270" t="s">
        <v>825</v>
      </c>
      <c r="J270" t="s">
        <v>826</v>
      </c>
      <c r="K270">
        <v>2</v>
      </c>
      <c r="L270" t="s">
        <v>827</v>
      </c>
      <c r="M270" s="1" t="str">
        <f>TEXT(DATE(tbl_data[[#This Row],[Model_Year]],1,1),"yyyy")</f>
        <v>2021</v>
      </c>
      <c r="N270" s="1" t="str">
        <f>IF(tbl_data[[#This Row],[Kilometers_Driven]]&lt;50000,"&lt;50k",
IF(tbl_data[[#This Row],[Kilometers_Driven]]&lt;100000,"50k-100k",
IF(tbl_data[[#This Row],[Kilometers_Driven]]&lt;150000,"100k-150k","150k+")))</f>
        <v>&lt;50k</v>
      </c>
      <c r="O270" s="1" t="str">
        <f>IF(tbl_data[[#This Row],[Price_USD]]&gt;=87089,"High",
IF(tbl_data[[#This Row],[Price_USD]]&gt;=56807,"Mid","Low"))</f>
        <v>High</v>
      </c>
      <c r="P270" s="1" t="str">
        <f>IF(tbl_data[[#This Row],[Transmission]]="Automatic","Auto","Manual")</f>
        <v>Manual</v>
      </c>
      <c r="Q270" s="1" t="str">
        <f>IFERROR(IF(VALUE(tbl_data[[#This Row],[Engine_CC]])=0,"",VALUE(tbl_data[[#This Row],[Price_USD]])/VALUE(tbl_data[[#This Row],[Engine_CC]])),"")</f>
        <v/>
      </c>
      <c r="R270" s="1" t="str">
        <f>TRIM(tbl_data[[#This Row],[Brand]])</f>
        <v>Toyota</v>
      </c>
      <c r="S270" s="1">
        <f>_xlfn.NUMBERVALUE(tbl_data[[#This Row],[Price_USD]],".",",")</f>
        <v>52179.24</v>
      </c>
    </row>
    <row r="271" spans="1:19" x14ac:dyDescent="0.3">
      <c r="A271">
        <v>270</v>
      </c>
      <c r="B271" t="s">
        <v>30</v>
      </c>
      <c r="C271">
        <v>2011</v>
      </c>
      <c r="D271">
        <v>95353</v>
      </c>
      <c r="E271" t="s">
        <v>20</v>
      </c>
      <c r="F271" t="s">
        <v>21</v>
      </c>
      <c r="G271" t="s">
        <v>32</v>
      </c>
      <c r="H271">
        <v>2602</v>
      </c>
      <c r="I271" t="s">
        <v>828</v>
      </c>
      <c r="J271" t="s">
        <v>829</v>
      </c>
      <c r="K271">
        <v>7</v>
      </c>
      <c r="L271" t="s">
        <v>830</v>
      </c>
      <c r="M271" s="1" t="str">
        <f>TEXT(DATE(tbl_data[[#This Row],[Model_Year]],1,1),"yyyy")</f>
        <v>2011</v>
      </c>
      <c r="N271" s="1" t="str">
        <f>IF(tbl_data[[#This Row],[Kilometers_Driven]]&lt;50000,"&lt;50k",
IF(tbl_data[[#This Row],[Kilometers_Driven]]&lt;100000,"50k-100k",
IF(tbl_data[[#This Row],[Kilometers_Driven]]&lt;150000,"100k-150k","150k+")))</f>
        <v>50k-100k</v>
      </c>
      <c r="O271" s="1" t="str">
        <f>IF(tbl_data[[#This Row],[Price_USD]]&gt;=87089,"High",
IF(tbl_data[[#This Row],[Price_USD]]&gt;=56807,"Mid","Low"))</f>
        <v>High</v>
      </c>
      <c r="P271" s="1" t="str">
        <f>IF(tbl_data[[#This Row],[Transmission]]="Automatic","Auto","Manual")</f>
        <v>Auto</v>
      </c>
      <c r="Q271" s="1" t="str">
        <f>IFERROR(IF(VALUE(tbl_data[[#This Row],[Engine_CC]])=0,"",VALUE(tbl_data[[#This Row],[Price_USD]])/VALUE(tbl_data[[#This Row],[Engine_CC]])),"")</f>
        <v/>
      </c>
      <c r="R271" s="1" t="str">
        <f>TRIM(tbl_data[[#This Row],[Brand]])</f>
        <v>Mercedes</v>
      </c>
      <c r="S271" s="1">
        <f>_xlfn.NUMBERVALUE(tbl_data[[#This Row],[Price_USD]],".",",")</f>
        <v>107726.7</v>
      </c>
    </row>
    <row r="272" spans="1:19" x14ac:dyDescent="0.3">
      <c r="A272">
        <v>271</v>
      </c>
      <c r="B272" t="s">
        <v>19</v>
      </c>
      <c r="C272">
        <v>2018</v>
      </c>
      <c r="D272">
        <v>156353</v>
      </c>
      <c r="E272" t="s">
        <v>20</v>
      </c>
      <c r="F272" t="s">
        <v>14</v>
      </c>
      <c r="G272" t="s">
        <v>15</v>
      </c>
      <c r="H272">
        <v>3513</v>
      </c>
      <c r="I272" t="s">
        <v>831</v>
      </c>
      <c r="J272" t="s">
        <v>832</v>
      </c>
      <c r="K272">
        <v>4</v>
      </c>
      <c r="L272" t="s">
        <v>833</v>
      </c>
      <c r="M272" s="1" t="str">
        <f>TEXT(DATE(tbl_data[[#This Row],[Model_Year]],1,1),"yyyy")</f>
        <v>2018</v>
      </c>
      <c r="N272" s="1" t="str">
        <f>IF(tbl_data[[#This Row],[Kilometers_Driven]]&lt;50000,"&lt;50k",
IF(tbl_data[[#This Row],[Kilometers_Driven]]&lt;100000,"50k-100k",
IF(tbl_data[[#This Row],[Kilometers_Driven]]&lt;150000,"100k-150k","150k+")))</f>
        <v>150k+</v>
      </c>
      <c r="O272" s="1" t="str">
        <f>IF(tbl_data[[#This Row],[Price_USD]]&gt;=87089,"High",
IF(tbl_data[[#This Row],[Price_USD]]&gt;=56807,"Mid","Low"))</f>
        <v>High</v>
      </c>
      <c r="P272" s="1" t="str">
        <f>IF(tbl_data[[#This Row],[Transmission]]="Automatic","Auto","Manual")</f>
        <v>Manual</v>
      </c>
      <c r="Q272" s="1" t="str">
        <f>IFERROR(IF(VALUE(tbl_data[[#This Row],[Engine_CC]])=0,"",VALUE(tbl_data[[#This Row],[Price_USD]])/VALUE(tbl_data[[#This Row],[Engine_CC]])),"")</f>
        <v/>
      </c>
      <c r="R272" s="1" t="str">
        <f>TRIM(tbl_data[[#This Row],[Brand]])</f>
        <v>BMW</v>
      </c>
      <c r="S272" s="1">
        <f>_xlfn.NUMBERVALUE(tbl_data[[#This Row],[Price_USD]],".",",")</f>
        <v>117970.33</v>
      </c>
    </row>
    <row r="273" spans="1:19" x14ac:dyDescent="0.3">
      <c r="A273">
        <v>272</v>
      </c>
      <c r="B273" t="s">
        <v>25</v>
      </c>
      <c r="C273">
        <v>2019</v>
      </c>
      <c r="D273">
        <v>33671</v>
      </c>
      <c r="E273" t="s">
        <v>31</v>
      </c>
      <c r="F273" t="s">
        <v>21</v>
      </c>
      <c r="G273" t="s">
        <v>26</v>
      </c>
      <c r="H273">
        <v>3653</v>
      </c>
      <c r="I273" t="s">
        <v>834</v>
      </c>
      <c r="J273" t="s">
        <v>835</v>
      </c>
      <c r="K273">
        <v>5</v>
      </c>
      <c r="L273" t="s">
        <v>836</v>
      </c>
      <c r="M273" s="1" t="str">
        <f>TEXT(DATE(tbl_data[[#This Row],[Model_Year]],1,1),"yyyy")</f>
        <v>2019</v>
      </c>
      <c r="N273" s="1" t="str">
        <f>IF(tbl_data[[#This Row],[Kilometers_Driven]]&lt;50000,"&lt;50k",
IF(tbl_data[[#This Row],[Kilometers_Driven]]&lt;100000,"50k-100k",
IF(tbl_data[[#This Row],[Kilometers_Driven]]&lt;150000,"100k-150k","150k+")))</f>
        <v>&lt;50k</v>
      </c>
      <c r="O273" s="1" t="str">
        <f>IF(tbl_data[[#This Row],[Price_USD]]&gt;=87089,"High",
IF(tbl_data[[#This Row],[Price_USD]]&gt;=56807,"Mid","Low"))</f>
        <v>High</v>
      </c>
      <c r="P273" s="1" t="str">
        <f>IF(tbl_data[[#This Row],[Transmission]]="Automatic","Auto","Manual")</f>
        <v>Auto</v>
      </c>
      <c r="Q273" s="1" t="str">
        <f>IFERROR(IF(VALUE(tbl_data[[#This Row],[Engine_CC]])=0,"",VALUE(tbl_data[[#This Row],[Price_USD]])/VALUE(tbl_data[[#This Row],[Engine_CC]])),"")</f>
        <v/>
      </c>
      <c r="R273" s="1" t="str">
        <f>TRIM(tbl_data[[#This Row],[Brand]])</f>
        <v>Kia</v>
      </c>
      <c r="S273" s="1">
        <f>_xlfn.NUMBERVALUE(tbl_data[[#This Row],[Price_USD]],".",",")</f>
        <v>77534.559999999998</v>
      </c>
    </row>
    <row r="274" spans="1:19" x14ac:dyDescent="0.3">
      <c r="A274">
        <v>273</v>
      </c>
      <c r="B274" t="s">
        <v>25</v>
      </c>
      <c r="C274">
        <v>2011</v>
      </c>
      <c r="D274">
        <v>127811</v>
      </c>
      <c r="E274" t="s">
        <v>20</v>
      </c>
      <c r="F274" t="s">
        <v>14</v>
      </c>
      <c r="G274" t="s">
        <v>15</v>
      </c>
      <c r="H274">
        <v>3457</v>
      </c>
      <c r="I274" t="s">
        <v>837</v>
      </c>
      <c r="J274" t="s">
        <v>838</v>
      </c>
      <c r="K274">
        <v>5</v>
      </c>
      <c r="L274" t="s">
        <v>839</v>
      </c>
      <c r="M274" s="1" t="str">
        <f>TEXT(DATE(tbl_data[[#This Row],[Model_Year]],1,1),"yyyy")</f>
        <v>2011</v>
      </c>
      <c r="N274" s="1" t="str">
        <f>IF(tbl_data[[#This Row],[Kilometers_Driven]]&lt;50000,"&lt;50k",
IF(tbl_data[[#This Row],[Kilometers_Driven]]&lt;100000,"50k-100k",
IF(tbl_data[[#This Row],[Kilometers_Driven]]&lt;150000,"100k-150k","150k+")))</f>
        <v>100k-150k</v>
      </c>
      <c r="O274" s="1" t="str">
        <f>IF(tbl_data[[#This Row],[Price_USD]]&gt;=87089,"High",
IF(tbl_data[[#This Row],[Price_USD]]&gt;=56807,"Mid","Low"))</f>
        <v>High</v>
      </c>
      <c r="P274" s="1" t="str">
        <f>IF(tbl_data[[#This Row],[Transmission]]="Automatic","Auto","Manual")</f>
        <v>Manual</v>
      </c>
      <c r="Q274" s="1" t="str">
        <f>IFERROR(IF(VALUE(tbl_data[[#This Row],[Engine_CC]])=0,"",VALUE(tbl_data[[#This Row],[Price_USD]])/VALUE(tbl_data[[#This Row],[Engine_CC]])),"")</f>
        <v/>
      </c>
      <c r="R274" s="1" t="str">
        <f>TRIM(tbl_data[[#This Row],[Brand]])</f>
        <v>Kia</v>
      </c>
      <c r="S274" s="1">
        <f>_xlfn.NUMBERVALUE(tbl_data[[#This Row],[Price_USD]],".",",")</f>
        <v>21911.61</v>
      </c>
    </row>
    <row r="275" spans="1:19" x14ac:dyDescent="0.3">
      <c r="A275">
        <v>274</v>
      </c>
      <c r="B275" t="s">
        <v>12</v>
      </c>
      <c r="C275">
        <v>2013</v>
      </c>
      <c r="D275">
        <v>187503</v>
      </c>
      <c r="E275" t="s">
        <v>44</v>
      </c>
      <c r="F275" t="s">
        <v>14</v>
      </c>
      <c r="G275" t="s">
        <v>26</v>
      </c>
      <c r="H275">
        <v>4146</v>
      </c>
      <c r="I275" t="s">
        <v>840</v>
      </c>
      <c r="J275" t="s">
        <v>841</v>
      </c>
      <c r="K275">
        <v>2</v>
      </c>
      <c r="L275" t="s">
        <v>842</v>
      </c>
      <c r="M275" s="1" t="str">
        <f>TEXT(DATE(tbl_data[[#This Row],[Model_Year]],1,1),"yyyy")</f>
        <v>2013</v>
      </c>
      <c r="N275" s="1" t="str">
        <f>IF(tbl_data[[#This Row],[Kilometers_Driven]]&lt;50000,"&lt;50k",
IF(tbl_data[[#This Row],[Kilometers_Driven]]&lt;100000,"50k-100k",
IF(tbl_data[[#This Row],[Kilometers_Driven]]&lt;150000,"100k-150k","150k+")))</f>
        <v>150k+</v>
      </c>
      <c r="O275" s="1" t="str">
        <f>IF(tbl_data[[#This Row],[Price_USD]]&gt;=87089,"High",
IF(tbl_data[[#This Row],[Price_USD]]&gt;=56807,"Mid","Low"))</f>
        <v>High</v>
      </c>
      <c r="P275" s="1" t="str">
        <f>IF(tbl_data[[#This Row],[Transmission]]="Automatic","Auto","Manual")</f>
        <v>Manual</v>
      </c>
      <c r="Q275" s="1" t="str">
        <f>IFERROR(IF(VALUE(tbl_data[[#This Row],[Engine_CC]])=0,"",VALUE(tbl_data[[#This Row],[Price_USD]])/VALUE(tbl_data[[#This Row],[Engine_CC]])),"")</f>
        <v/>
      </c>
      <c r="R275" s="1" t="str">
        <f>TRIM(tbl_data[[#This Row],[Brand]])</f>
        <v>Audi</v>
      </c>
      <c r="S275" s="1">
        <f>_xlfn.NUMBERVALUE(tbl_data[[#This Row],[Price_USD]],".",",")</f>
        <v>108984.38</v>
      </c>
    </row>
    <row r="276" spans="1:19" x14ac:dyDescent="0.3">
      <c r="A276">
        <v>275</v>
      </c>
      <c r="B276" t="s">
        <v>43</v>
      </c>
      <c r="C276">
        <v>2023</v>
      </c>
      <c r="D276">
        <v>132734</v>
      </c>
      <c r="E276" t="s">
        <v>13</v>
      </c>
      <c r="F276" t="s">
        <v>21</v>
      </c>
      <c r="G276" t="s">
        <v>26</v>
      </c>
      <c r="H276">
        <v>2271</v>
      </c>
      <c r="I276" t="s">
        <v>843</v>
      </c>
      <c r="J276" t="s">
        <v>844</v>
      </c>
      <c r="K276">
        <v>7</v>
      </c>
      <c r="L276" t="s">
        <v>845</v>
      </c>
      <c r="M276" s="1" t="str">
        <f>TEXT(DATE(tbl_data[[#This Row],[Model_Year]],1,1),"yyyy")</f>
        <v>2023</v>
      </c>
      <c r="N276" s="1" t="str">
        <f>IF(tbl_data[[#This Row],[Kilometers_Driven]]&lt;50000,"&lt;50k",
IF(tbl_data[[#This Row],[Kilometers_Driven]]&lt;100000,"50k-100k",
IF(tbl_data[[#This Row],[Kilometers_Driven]]&lt;150000,"100k-150k","150k+")))</f>
        <v>100k-150k</v>
      </c>
      <c r="O276" s="1" t="str">
        <f>IF(tbl_data[[#This Row],[Price_USD]]&gt;=87089,"High",
IF(tbl_data[[#This Row],[Price_USD]]&gt;=56807,"Mid","Low"))</f>
        <v>High</v>
      </c>
      <c r="P276" s="1" t="str">
        <f>IF(tbl_data[[#This Row],[Transmission]]="Automatic","Auto","Manual")</f>
        <v>Auto</v>
      </c>
      <c r="Q276" s="1" t="str">
        <f>IFERROR(IF(VALUE(tbl_data[[#This Row],[Engine_CC]])=0,"",VALUE(tbl_data[[#This Row],[Price_USD]])/VALUE(tbl_data[[#This Row],[Engine_CC]])),"")</f>
        <v/>
      </c>
      <c r="R276" s="1" t="str">
        <f>TRIM(tbl_data[[#This Row],[Brand]])</f>
        <v>Ford</v>
      </c>
      <c r="S276" s="1">
        <f>_xlfn.NUMBERVALUE(tbl_data[[#This Row],[Price_USD]],".",",")</f>
        <v>63401</v>
      </c>
    </row>
    <row r="277" spans="1:19" x14ac:dyDescent="0.3">
      <c r="A277">
        <v>276</v>
      </c>
      <c r="B277" t="s">
        <v>92</v>
      </c>
      <c r="C277">
        <v>2020</v>
      </c>
      <c r="D277">
        <v>164674</v>
      </c>
      <c r="E277" t="s">
        <v>20</v>
      </c>
      <c r="F277" t="s">
        <v>21</v>
      </c>
      <c r="G277" t="s">
        <v>26</v>
      </c>
      <c r="H277">
        <v>3749</v>
      </c>
      <c r="I277" t="s">
        <v>613</v>
      </c>
      <c r="J277" t="s">
        <v>846</v>
      </c>
      <c r="K277">
        <v>6</v>
      </c>
      <c r="L277" t="s">
        <v>847</v>
      </c>
      <c r="M277" s="1" t="str">
        <f>TEXT(DATE(tbl_data[[#This Row],[Model_Year]],1,1),"yyyy")</f>
        <v>2020</v>
      </c>
      <c r="N277" s="1" t="str">
        <f>IF(tbl_data[[#This Row],[Kilometers_Driven]]&lt;50000,"&lt;50k",
IF(tbl_data[[#This Row],[Kilometers_Driven]]&lt;100000,"50k-100k",
IF(tbl_data[[#This Row],[Kilometers_Driven]]&lt;150000,"100k-150k","150k+")))</f>
        <v>150k+</v>
      </c>
      <c r="O277" s="1" t="str">
        <f>IF(tbl_data[[#This Row],[Price_USD]]&gt;=87089,"High",
IF(tbl_data[[#This Row],[Price_USD]]&gt;=56807,"Mid","Low"))</f>
        <v>High</v>
      </c>
      <c r="P277" s="1" t="str">
        <f>IF(tbl_data[[#This Row],[Transmission]]="Automatic","Auto","Manual")</f>
        <v>Auto</v>
      </c>
      <c r="Q277" s="1" t="str">
        <f>IFERROR(IF(VALUE(tbl_data[[#This Row],[Engine_CC]])=0,"",VALUE(tbl_data[[#This Row],[Price_USD]])/VALUE(tbl_data[[#This Row],[Engine_CC]])),"")</f>
        <v/>
      </c>
      <c r="R277" s="1" t="str">
        <f>TRIM(tbl_data[[#This Row],[Brand]])</f>
        <v>Toyota</v>
      </c>
      <c r="S277" s="1">
        <f>_xlfn.NUMBERVALUE(tbl_data[[#This Row],[Price_USD]],".",",")</f>
        <v>20988.67</v>
      </c>
    </row>
    <row r="278" spans="1:19" x14ac:dyDescent="0.3">
      <c r="A278">
        <v>277</v>
      </c>
      <c r="B278" t="s">
        <v>92</v>
      </c>
      <c r="C278">
        <v>2012</v>
      </c>
      <c r="D278">
        <v>56399</v>
      </c>
      <c r="E278" t="s">
        <v>20</v>
      </c>
      <c r="F278" t="s">
        <v>14</v>
      </c>
      <c r="G278" t="s">
        <v>32</v>
      </c>
      <c r="H278">
        <v>1741</v>
      </c>
      <c r="I278" t="s">
        <v>848</v>
      </c>
      <c r="J278" t="s">
        <v>849</v>
      </c>
      <c r="K278">
        <v>4</v>
      </c>
      <c r="L278" t="s">
        <v>850</v>
      </c>
      <c r="M278" s="1" t="str">
        <f>TEXT(DATE(tbl_data[[#This Row],[Model_Year]],1,1),"yyyy")</f>
        <v>2012</v>
      </c>
      <c r="N278" s="1" t="str">
        <f>IF(tbl_data[[#This Row],[Kilometers_Driven]]&lt;50000,"&lt;50k",
IF(tbl_data[[#This Row],[Kilometers_Driven]]&lt;100000,"50k-100k",
IF(tbl_data[[#This Row],[Kilometers_Driven]]&lt;150000,"100k-150k","150k+")))</f>
        <v>50k-100k</v>
      </c>
      <c r="O278" s="1" t="str">
        <f>IF(tbl_data[[#This Row],[Price_USD]]&gt;=87089,"High",
IF(tbl_data[[#This Row],[Price_USD]]&gt;=56807,"Mid","Low"))</f>
        <v>High</v>
      </c>
      <c r="P278" s="1" t="str">
        <f>IF(tbl_data[[#This Row],[Transmission]]="Automatic","Auto","Manual")</f>
        <v>Manual</v>
      </c>
      <c r="Q278" s="1" t="str">
        <f>IFERROR(IF(VALUE(tbl_data[[#This Row],[Engine_CC]])=0,"",VALUE(tbl_data[[#This Row],[Price_USD]])/VALUE(tbl_data[[#This Row],[Engine_CC]])),"")</f>
        <v/>
      </c>
      <c r="R278" s="1" t="str">
        <f>TRIM(tbl_data[[#This Row],[Brand]])</f>
        <v>Toyota</v>
      </c>
      <c r="S278" s="1">
        <f>_xlfn.NUMBERVALUE(tbl_data[[#This Row],[Price_USD]],".",",")</f>
        <v>110842.02</v>
      </c>
    </row>
    <row r="279" spans="1:19" x14ac:dyDescent="0.3">
      <c r="A279">
        <v>278</v>
      </c>
      <c r="B279" t="s">
        <v>43</v>
      </c>
      <c r="C279">
        <v>2022</v>
      </c>
      <c r="D279">
        <v>159544</v>
      </c>
      <c r="E279" t="s">
        <v>31</v>
      </c>
      <c r="F279" t="s">
        <v>21</v>
      </c>
      <c r="G279" t="s">
        <v>32</v>
      </c>
      <c r="H279">
        <v>2707</v>
      </c>
      <c r="I279" t="s">
        <v>851</v>
      </c>
      <c r="J279" t="s">
        <v>852</v>
      </c>
      <c r="K279">
        <v>2</v>
      </c>
      <c r="L279" t="s">
        <v>853</v>
      </c>
      <c r="M279" s="1" t="str">
        <f>TEXT(DATE(tbl_data[[#This Row],[Model_Year]],1,1),"yyyy")</f>
        <v>2022</v>
      </c>
      <c r="N279" s="1" t="str">
        <f>IF(tbl_data[[#This Row],[Kilometers_Driven]]&lt;50000,"&lt;50k",
IF(tbl_data[[#This Row],[Kilometers_Driven]]&lt;100000,"50k-100k",
IF(tbl_data[[#This Row],[Kilometers_Driven]]&lt;150000,"100k-150k","150k+")))</f>
        <v>150k+</v>
      </c>
      <c r="O279" s="1" t="str">
        <f>IF(tbl_data[[#This Row],[Price_USD]]&gt;=87089,"High",
IF(tbl_data[[#This Row],[Price_USD]]&gt;=56807,"Mid","Low"))</f>
        <v>High</v>
      </c>
      <c r="P279" s="1" t="str">
        <f>IF(tbl_data[[#This Row],[Transmission]]="Automatic","Auto","Manual")</f>
        <v>Auto</v>
      </c>
      <c r="Q279" s="1" t="str">
        <f>IFERROR(IF(VALUE(tbl_data[[#This Row],[Engine_CC]])=0,"",VALUE(tbl_data[[#This Row],[Price_USD]])/VALUE(tbl_data[[#This Row],[Engine_CC]])),"")</f>
        <v/>
      </c>
      <c r="R279" s="1" t="str">
        <f>TRIM(tbl_data[[#This Row],[Brand]])</f>
        <v>Ford</v>
      </c>
      <c r="S279" s="1">
        <f>_xlfn.NUMBERVALUE(tbl_data[[#This Row],[Price_USD]],".",",")</f>
        <v>91623.88</v>
      </c>
    </row>
    <row r="280" spans="1:19" x14ac:dyDescent="0.3">
      <c r="A280">
        <v>279</v>
      </c>
      <c r="B280" t="s">
        <v>69</v>
      </c>
      <c r="C280">
        <v>2022</v>
      </c>
      <c r="D280">
        <v>185302</v>
      </c>
      <c r="E280" t="s">
        <v>44</v>
      </c>
      <c r="F280" t="s">
        <v>21</v>
      </c>
      <c r="G280" t="s">
        <v>26</v>
      </c>
      <c r="H280">
        <v>2043</v>
      </c>
      <c r="I280" t="s">
        <v>854</v>
      </c>
      <c r="J280" t="s">
        <v>855</v>
      </c>
      <c r="K280">
        <v>5</v>
      </c>
      <c r="L280" t="s">
        <v>856</v>
      </c>
      <c r="M280" s="1" t="str">
        <f>TEXT(DATE(tbl_data[[#This Row],[Model_Year]],1,1),"yyyy")</f>
        <v>2022</v>
      </c>
      <c r="N280" s="1" t="str">
        <f>IF(tbl_data[[#This Row],[Kilometers_Driven]]&lt;50000,"&lt;50k",
IF(tbl_data[[#This Row],[Kilometers_Driven]]&lt;100000,"50k-100k",
IF(tbl_data[[#This Row],[Kilometers_Driven]]&lt;150000,"100k-150k","150k+")))</f>
        <v>150k+</v>
      </c>
      <c r="O280" s="1" t="str">
        <f>IF(tbl_data[[#This Row],[Price_USD]]&gt;=87089,"High",
IF(tbl_data[[#This Row],[Price_USD]]&gt;=56807,"Mid","Low"))</f>
        <v>High</v>
      </c>
      <c r="P280" s="1" t="str">
        <f>IF(tbl_data[[#This Row],[Transmission]]="Automatic","Auto","Manual")</f>
        <v>Auto</v>
      </c>
      <c r="Q280" s="1" t="str">
        <f>IFERROR(IF(VALUE(tbl_data[[#This Row],[Engine_CC]])=0,"",VALUE(tbl_data[[#This Row],[Price_USD]])/VALUE(tbl_data[[#This Row],[Engine_CC]])),"")</f>
        <v/>
      </c>
      <c r="R280" s="1" t="str">
        <f>TRIM(tbl_data[[#This Row],[Brand]])</f>
        <v>Hyundai</v>
      </c>
      <c r="S280" s="1">
        <f>_xlfn.NUMBERVALUE(tbl_data[[#This Row],[Price_USD]],".",",")</f>
        <v>88609.52</v>
      </c>
    </row>
    <row r="281" spans="1:19" x14ac:dyDescent="0.3">
      <c r="A281">
        <v>280</v>
      </c>
      <c r="B281" t="s">
        <v>12</v>
      </c>
      <c r="C281">
        <v>2024</v>
      </c>
      <c r="D281">
        <v>12099</v>
      </c>
      <c r="E281" t="s">
        <v>20</v>
      </c>
      <c r="F281" t="s">
        <v>21</v>
      </c>
      <c r="G281" t="s">
        <v>15</v>
      </c>
      <c r="H281">
        <v>2266</v>
      </c>
      <c r="I281" t="s">
        <v>857</v>
      </c>
      <c r="J281" t="s">
        <v>858</v>
      </c>
      <c r="K281">
        <v>7</v>
      </c>
      <c r="L281" t="s">
        <v>859</v>
      </c>
      <c r="M281" s="1" t="str">
        <f>TEXT(DATE(tbl_data[[#This Row],[Model_Year]],1,1),"yyyy")</f>
        <v>2024</v>
      </c>
      <c r="N281" s="1" t="str">
        <f>IF(tbl_data[[#This Row],[Kilometers_Driven]]&lt;50000,"&lt;50k",
IF(tbl_data[[#This Row],[Kilometers_Driven]]&lt;100000,"50k-100k",
IF(tbl_data[[#This Row],[Kilometers_Driven]]&lt;150000,"100k-150k","150k+")))</f>
        <v>&lt;50k</v>
      </c>
      <c r="O281" s="1" t="str">
        <f>IF(tbl_data[[#This Row],[Price_USD]]&gt;=87089,"High",
IF(tbl_data[[#This Row],[Price_USD]]&gt;=56807,"Mid","Low"))</f>
        <v>High</v>
      </c>
      <c r="P281" s="1" t="str">
        <f>IF(tbl_data[[#This Row],[Transmission]]="Automatic","Auto","Manual")</f>
        <v>Auto</v>
      </c>
      <c r="Q281" s="1" t="str">
        <f>IFERROR(IF(VALUE(tbl_data[[#This Row],[Engine_CC]])=0,"",VALUE(tbl_data[[#This Row],[Price_USD]])/VALUE(tbl_data[[#This Row],[Engine_CC]])),"")</f>
        <v/>
      </c>
      <c r="R281" s="1" t="str">
        <f>TRIM(tbl_data[[#This Row],[Brand]])</f>
        <v>Audi</v>
      </c>
      <c r="S281" s="1">
        <f>_xlfn.NUMBERVALUE(tbl_data[[#This Row],[Price_USD]],".",",")</f>
        <v>85974.14</v>
      </c>
    </row>
    <row r="282" spans="1:19" x14ac:dyDescent="0.3">
      <c r="A282">
        <v>281</v>
      </c>
      <c r="B282" t="s">
        <v>69</v>
      </c>
      <c r="C282">
        <v>2011</v>
      </c>
      <c r="D282">
        <v>161503</v>
      </c>
      <c r="E282" t="s">
        <v>31</v>
      </c>
      <c r="F282" t="s">
        <v>21</v>
      </c>
      <c r="G282" t="s">
        <v>26</v>
      </c>
      <c r="H282">
        <v>4757</v>
      </c>
      <c r="I282" t="s">
        <v>860</v>
      </c>
      <c r="J282" t="s">
        <v>528</v>
      </c>
      <c r="K282">
        <v>7</v>
      </c>
      <c r="L282" t="s">
        <v>861</v>
      </c>
      <c r="M282" s="1" t="str">
        <f>TEXT(DATE(tbl_data[[#This Row],[Model_Year]],1,1),"yyyy")</f>
        <v>2011</v>
      </c>
      <c r="N282" s="1" t="str">
        <f>IF(tbl_data[[#This Row],[Kilometers_Driven]]&lt;50000,"&lt;50k",
IF(tbl_data[[#This Row],[Kilometers_Driven]]&lt;100000,"50k-100k",
IF(tbl_data[[#This Row],[Kilometers_Driven]]&lt;150000,"100k-150k","150k+")))</f>
        <v>150k+</v>
      </c>
      <c r="O282" s="1" t="str">
        <f>IF(tbl_data[[#This Row],[Price_USD]]&gt;=87089,"High",
IF(tbl_data[[#This Row],[Price_USD]]&gt;=56807,"Mid","Low"))</f>
        <v>High</v>
      </c>
      <c r="P282" s="1" t="str">
        <f>IF(tbl_data[[#This Row],[Transmission]]="Automatic","Auto","Manual")</f>
        <v>Auto</v>
      </c>
      <c r="Q282" s="1" t="str">
        <f>IFERROR(IF(VALUE(tbl_data[[#This Row],[Engine_CC]])=0,"",VALUE(tbl_data[[#This Row],[Price_USD]])/VALUE(tbl_data[[#This Row],[Engine_CC]])),"")</f>
        <v/>
      </c>
      <c r="R282" s="1" t="str">
        <f>TRIM(tbl_data[[#This Row],[Brand]])</f>
        <v>Hyundai</v>
      </c>
      <c r="S282" s="1">
        <f>_xlfn.NUMBERVALUE(tbl_data[[#This Row],[Price_USD]],".",",")</f>
        <v>26439.759999999998</v>
      </c>
    </row>
    <row r="283" spans="1:19" x14ac:dyDescent="0.3">
      <c r="A283">
        <v>282</v>
      </c>
      <c r="B283" t="s">
        <v>69</v>
      </c>
      <c r="C283">
        <v>2007</v>
      </c>
      <c r="D283">
        <v>61492</v>
      </c>
      <c r="E283" t="s">
        <v>20</v>
      </c>
      <c r="F283" t="s">
        <v>14</v>
      </c>
      <c r="G283" t="s">
        <v>26</v>
      </c>
      <c r="H283">
        <v>2766</v>
      </c>
      <c r="I283" t="s">
        <v>862</v>
      </c>
      <c r="J283" t="s">
        <v>863</v>
      </c>
      <c r="K283">
        <v>2</v>
      </c>
      <c r="L283" t="s">
        <v>864</v>
      </c>
      <c r="M283" s="1" t="str">
        <f>TEXT(DATE(tbl_data[[#This Row],[Model_Year]],1,1),"yyyy")</f>
        <v>2007</v>
      </c>
      <c r="N283" s="1" t="str">
        <f>IF(tbl_data[[#This Row],[Kilometers_Driven]]&lt;50000,"&lt;50k",
IF(tbl_data[[#This Row],[Kilometers_Driven]]&lt;100000,"50k-100k",
IF(tbl_data[[#This Row],[Kilometers_Driven]]&lt;150000,"100k-150k","150k+")))</f>
        <v>50k-100k</v>
      </c>
      <c r="O283" s="1" t="str">
        <f>IF(tbl_data[[#This Row],[Price_USD]]&gt;=87089,"High",
IF(tbl_data[[#This Row],[Price_USD]]&gt;=56807,"Mid","Low"))</f>
        <v>High</v>
      </c>
      <c r="P283" s="1" t="str">
        <f>IF(tbl_data[[#This Row],[Transmission]]="Automatic","Auto","Manual")</f>
        <v>Manual</v>
      </c>
      <c r="Q283" s="1" t="str">
        <f>IFERROR(IF(VALUE(tbl_data[[#This Row],[Engine_CC]])=0,"",VALUE(tbl_data[[#This Row],[Price_USD]])/VALUE(tbl_data[[#This Row],[Engine_CC]])),"")</f>
        <v/>
      </c>
      <c r="R283" s="1" t="str">
        <f>TRIM(tbl_data[[#This Row],[Brand]])</f>
        <v>Hyundai</v>
      </c>
      <c r="S283" s="1">
        <f>_xlfn.NUMBERVALUE(tbl_data[[#This Row],[Price_USD]],".",",")</f>
        <v>27687.78</v>
      </c>
    </row>
    <row r="284" spans="1:19" x14ac:dyDescent="0.3">
      <c r="A284">
        <v>283</v>
      </c>
      <c r="B284" t="s">
        <v>69</v>
      </c>
      <c r="C284">
        <v>2022</v>
      </c>
      <c r="D284">
        <v>101722</v>
      </c>
      <c r="E284" t="s">
        <v>31</v>
      </c>
      <c r="F284" t="s">
        <v>21</v>
      </c>
      <c r="G284" t="s">
        <v>15</v>
      </c>
      <c r="H284">
        <v>1175</v>
      </c>
      <c r="I284" t="s">
        <v>865</v>
      </c>
      <c r="J284" t="s">
        <v>866</v>
      </c>
      <c r="K284">
        <v>6</v>
      </c>
      <c r="L284" t="s">
        <v>867</v>
      </c>
      <c r="M284" s="1" t="str">
        <f>TEXT(DATE(tbl_data[[#This Row],[Model_Year]],1,1),"yyyy")</f>
        <v>2022</v>
      </c>
      <c r="N284" s="1" t="str">
        <f>IF(tbl_data[[#This Row],[Kilometers_Driven]]&lt;50000,"&lt;50k",
IF(tbl_data[[#This Row],[Kilometers_Driven]]&lt;100000,"50k-100k",
IF(tbl_data[[#This Row],[Kilometers_Driven]]&lt;150000,"100k-150k","150k+")))</f>
        <v>100k-150k</v>
      </c>
      <c r="O284" s="1" t="str">
        <f>IF(tbl_data[[#This Row],[Price_USD]]&gt;=87089,"High",
IF(tbl_data[[#This Row],[Price_USD]]&gt;=56807,"Mid","Low"))</f>
        <v>High</v>
      </c>
      <c r="P284" s="1" t="str">
        <f>IF(tbl_data[[#This Row],[Transmission]]="Automatic","Auto","Manual")</f>
        <v>Auto</v>
      </c>
      <c r="Q284" s="1" t="str">
        <f>IFERROR(IF(VALUE(tbl_data[[#This Row],[Engine_CC]])=0,"",VALUE(tbl_data[[#This Row],[Price_USD]])/VALUE(tbl_data[[#This Row],[Engine_CC]])),"")</f>
        <v/>
      </c>
      <c r="R284" s="1" t="str">
        <f>TRIM(tbl_data[[#This Row],[Brand]])</f>
        <v>Hyundai</v>
      </c>
      <c r="S284" s="1">
        <f>_xlfn.NUMBERVALUE(tbl_data[[#This Row],[Price_USD]],".",",")</f>
        <v>83530.28</v>
      </c>
    </row>
    <row r="285" spans="1:19" x14ac:dyDescent="0.3">
      <c r="A285">
        <v>284</v>
      </c>
      <c r="B285" t="s">
        <v>43</v>
      </c>
      <c r="C285">
        <v>2014</v>
      </c>
      <c r="D285">
        <v>183756</v>
      </c>
      <c r="E285" t="s">
        <v>31</v>
      </c>
      <c r="F285" t="s">
        <v>14</v>
      </c>
      <c r="G285" t="s">
        <v>26</v>
      </c>
      <c r="H285">
        <v>1062</v>
      </c>
      <c r="I285" t="s">
        <v>868</v>
      </c>
      <c r="J285" t="s">
        <v>265</v>
      </c>
      <c r="K285">
        <v>5</v>
      </c>
      <c r="L285" t="s">
        <v>869</v>
      </c>
      <c r="M285" s="1" t="str">
        <f>TEXT(DATE(tbl_data[[#This Row],[Model_Year]],1,1),"yyyy")</f>
        <v>2014</v>
      </c>
      <c r="N285" s="1" t="str">
        <f>IF(tbl_data[[#This Row],[Kilometers_Driven]]&lt;50000,"&lt;50k",
IF(tbl_data[[#This Row],[Kilometers_Driven]]&lt;100000,"50k-100k",
IF(tbl_data[[#This Row],[Kilometers_Driven]]&lt;150000,"100k-150k","150k+")))</f>
        <v>150k+</v>
      </c>
      <c r="O285" s="1" t="str">
        <f>IF(tbl_data[[#This Row],[Price_USD]]&gt;=87089,"High",
IF(tbl_data[[#This Row],[Price_USD]]&gt;=56807,"Mid","Low"))</f>
        <v>High</v>
      </c>
      <c r="P285" s="1" t="str">
        <f>IF(tbl_data[[#This Row],[Transmission]]="Automatic","Auto","Manual")</f>
        <v>Manual</v>
      </c>
      <c r="Q285" s="1" t="str">
        <f>IFERROR(IF(VALUE(tbl_data[[#This Row],[Engine_CC]])=0,"",VALUE(tbl_data[[#This Row],[Price_USD]])/VALUE(tbl_data[[#This Row],[Engine_CC]])),"")</f>
        <v/>
      </c>
      <c r="R285" s="1" t="str">
        <f>TRIM(tbl_data[[#This Row],[Brand]])</f>
        <v>Ford</v>
      </c>
      <c r="S285" s="1">
        <f>_xlfn.NUMBERVALUE(tbl_data[[#This Row],[Price_USD]],".",",")</f>
        <v>28707.56</v>
      </c>
    </row>
    <row r="286" spans="1:19" x14ac:dyDescent="0.3">
      <c r="A286">
        <v>285</v>
      </c>
      <c r="B286" t="s">
        <v>69</v>
      </c>
      <c r="C286">
        <v>2011</v>
      </c>
      <c r="D286">
        <v>35111</v>
      </c>
      <c r="E286" t="s">
        <v>44</v>
      </c>
      <c r="F286" t="s">
        <v>14</v>
      </c>
      <c r="G286" t="s">
        <v>15</v>
      </c>
      <c r="H286">
        <v>4188</v>
      </c>
      <c r="I286" t="s">
        <v>870</v>
      </c>
      <c r="J286" t="s">
        <v>871</v>
      </c>
      <c r="K286">
        <v>2</v>
      </c>
      <c r="L286" t="s">
        <v>872</v>
      </c>
      <c r="M286" s="1" t="str">
        <f>TEXT(DATE(tbl_data[[#This Row],[Model_Year]],1,1),"yyyy")</f>
        <v>2011</v>
      </c>
      <c r="N286" s="1" t="str">
        <f>IF(tbl_data[[#This Row],[Kilometers_Driven]]&lt;50000,"&lt;50k",
IF(tbl_data[[#This Row],[Kilometers_Driven]]&lt;100000,"50k-100k",
IF(tbl_data[[#This Row],[Kilometers_Driven]]&lt;150000,"100k-150k","150k+")))</f>
        <v>&lt;50k</v>
      </c>
      <c r="O286" s="1" t="str">
        <f>IF(tbl_data[[#This Row],[Price_USD]]&gt;=87089,"High",
IF(tbl_data[[#This Row],[Price_USD]]&gt;=56807,"Mid","Low"))</f>
        <v>High</v>
      </c>
      <c r="P286" s="1" t="str">
        <f>IF(tbl_data[[#This Row],[Transmission]]="Automatic","Auto","Manual")</f>
        <v>Manual</v>
      </c>
      <c r="Q286" s="1" t="str">
        <f>IFERROR(IF(VALUE(tbl_data[[#This Row],[Engine_CC]])=0,"",VALUE(tbl_data[[#This Row],[Price_USD]])/VALUE(tbl_data[[#This Row],[Engine_CC]])),"")</f>
        <v/>
      </c>
      <c r="R286" s="1" t="str">
        <f>TRIM(tbl_data[[#This Row],[Brand]])</f>
        <v>Hyundai</v>
      </c>
      <c r="S286" s="1">
        <f>_xlfn.NUMBERVALUE(tbl_data[[#This Row],[Price_USD]],".",",")</f>
        <v>54324.59</v>
      </c>
    </row>
    <row r="287" spans="1:19" x14ac:dyDescent="0.3">
      <c r="A287">
        <v>286</v>
      </c>
      <c r="B287" t="s">
        <v>25</v>
      </c>
      <c r="C287">
        <v>2021</v>
      </c>
      <c r="D287">
        <v>68936</v>
      </c>
      <c r="E287" t="s">
        <v>20</v>
      </c>
      <c r="F287" t="s">
        <v>14</v>
      </c>
      <c r="G287" t="s">
        <v>32</v>
      </c>
      <c r="H287">
        <v>4195</v>
      </c>
      <c r="I287" t="s">
        <v>873</v>
      </c>
      <c r="J287" t="s">
        <v>874</v>
      </c>
      <c r="K287">
        <v>6</v>
      </c>
      <c r="L287" t="s">
        <v>875</v>
      </c>
      <c r="M287" s="1" t="str">
        <f>TEXT(DATE(tbl_data[[#This Row],[Model_Year]],1,1),"yyyy")</f>
        <v>2021</v>
      </c>
      <c r="N287" s="1" t="str">
        <f>IF(tbl_data[[#This Row],[Kilometers_Driven]]&lt;50000,"&lt;50k",
IF(tbl_data[[#This Row],[Kilometers_Driven]]&lt;100000,"50k-100k",
IF(tbl_data[[#This Row],[Kilometers_Driven]]&lt;150000,"100k-150k","150k+")))</f>
        <v>50k-100k</v>
      </c>
      <c r="O287" s="1" t="str">
        <f>IF(tbl_data[[#This Row],[Price_USD]]&gt;=87089,"High",
IF(tbl_data[[#This Row],[Price_USD]]&gt;=56807,"Mid","Low"))</f>
        <v>High</v>
      </c>
      <c r="P287" s="1" t="str">
        <f>IF(tbl_data[[#This Row],[Transmission]]="Automatic","Auto","Manual")</f>
        <v>Manual</v>
      </c>
      <c r="Q287" s="1" t="str">
        <f>IFERROR(IF(VALUE(tbl_data[[#This Row],[Engine_CC]])=0,"",VALUE(tbl_data[[#This Row],[Price_USD]])/VALUE(tbl_data[[#This Row],[Engine_CC]])),"")</f>
        <v/>
      </c>
      <c r="R287" s="1" t="str">
        <f>TRIM(tbl_data[[#This Row],[Brand]])</f>
        <v>Kia</v>
      </c>
      <c r="S287" s="1">
        <f>_xlfn.NUMBERVALUE(tbl_data[[#This Row],[Price_USD]],".",",")</f>
        <v>94494.21</v>
      </c>
    </row>
    <row r="288" spans="1:19" x14ac:dyDescent="0.3">
      <c r="A288">
        <v>287</v>
      </c>
      <c r="B288" t="s">
        <v>76</v>
      </c>
      <c r="C288">
        <v>2018</v>
      </c>
      <c r="D288">
        <v>158686</v>
      </c>
      <c r="E288" t="s">
        <v>44</v>
      </c>
      <c r="F288" t="s">
        <v>14</v>
      </c>
      <c r="G288" t="s">
        <v>32</v>
      </c>
      <c r="H288">
        <v>2744</v>
      </c>
      <c r="I288" t="s">
        <v>876</v>
      </c>
      <c r="J288" t="s">
        <v>877</v>
      </c>
      <c r="K288">
        <v>7</v>
      </c>
      <c r="L288" t="s">
        <v>878</v>
      </c>
      <c r="M288" s="1" t="str">
        <f>TEXT(DATE(tbl_data[[#This Row],[Model_Year]],1,1),"yyyy")</f>
        <v>2018</v>
      </c>
      <c r="N288" s="1" t="str">
        <f>IF(tbl_data[[#This Row],[Kilometers_Driven]]&lt;50000,"&lt;50k",
IF(tbl_data[[#This Row],[Kilometers_Driven]]&lt;100000,"50k-100k",
IF(tbl_data[[#This Row],[Kilometers_Driven]]&lt;150000,"100k-150k","150k+")))</f>
        <v>150k+</v>
      </c>
      <c r="O288" s="1" t="str">
        <f>IF(tbl_data[[#This Row],[Price_USD]]&gt;=87089,"High",
IF(tbl_data[[#This Row],[Price_USD]]&gt;=56807,"Mid","Low"))</f>
        <v>High</v>
      </c>
      <c r="P288" s="1" t="str">
        <f>IF(tbl_data[[#This Row],[Transmission]]="Automatic","Auto","Manual")</f>
        <v>Manual</v>
      </c>
      <c r="Q288" s="1" t="str">
        <f>IFERROR(IF(VALUE(tbl_data[[#This Row],[Engine_CC]])=0,"",VALUE(tbl_data[[#This Row],[Price_USD]])/VALUE(tbl_data[[#This Row],[Engine_CC]])),"")</f>
        <v/>
      </c>
      <c r="R288" s="1" t="str">
        <f>TRIM(tbl_data[[#This Row],[Brand]])</f>
        <v>Honda</v>
      </c>
      <c r="S288" s="1">
        <f>_xlfn.NUMBERVALUE(tbl_data[[#This Row],[Price_USD]],".",",")</f>
        <v>94722.44</v>
      </c>
    </row>
    <row r="289" spans="1:19" x14ac:dyDescent="0.3">
      <c r="A289">
        <v>288</v>
      </c>
      <c r="B289" t="s">
        <v>30</v>
      </c>
      <c r="C289">
        <v>2007</v>
      </c>
      <c r="D289">
        <v>178063</v>
      </c>
      <c r="E289" t="s">
        <v>31</v>
      </c>
      <c r="F289" t="s">
        <v>21</v>
      </c>
      <c r="G289" t="s">
        <v>15</v>
      </c>
      <c r="H289">
        <v>2693</v>
      </c>
      <c r="I289" t="s">
        <v>879</v>
      </c>
      <c r="J289" t="s">
        <v>880</v>
      </c>
      <c r="K289">
        <v>4</v>
      </c>
      <c r="L289" t="s">
        <v>881</v>
      </c>
      <c r="M289" s="1" t="str">
        <f>TEXT(DATE(tbl_data[[#This Row],[Model_Year]],1,1),"yyyy")</f>
        <v>2007</v>
      </c>
      <c r="N289" s="1" t="str">
        <f>IF(tbl_data[[#This Row],[Kilometers_Driven]]&lt;50000,"&lt;50k",
IF(tbl_data[[#This Row],[Kilometers_Driven]]&lt;100000,"50k-100k",
IF(tbl_data[[#This Row],[Kilometers_Driven]]&lt;150000,"100k-150k","150k+")))</f>
        <v>150k+</v>
      </c>
      <c r="O289" s="1" t="str">
        <f>IF(tbl_data[[#This Row],[Price_USD]]&gt;=87089,"High",
IF(tbl_data[[#This Row],[Price_USD]]&gt;=56807,"Mid","Low"))</f>
        <v>High</v>
      </c>
      <c r="P289" s="1" t="str">
        <f>IF(tbl_data[[#This Row],[Transmission]]="Automatic","Auto","Manual")</f>
        <v>Auto</v>
      </c>
      <c r="Q289" s="1" t="str">
        <f>IFERROR(IF(VALUE(tbl_data[[#This Row],[Engine_CC]])=0,"",VALUE(tbl_data[[#This Row],[Price_USD]])/VALUE(tbl_data[[#This Row],[Engine_CC]])),"")</f>
        <v/>
      </c>
      <c r="R289" s="1" t="str">
        <f>TRIM(tbl_data[[#This Row],[Brand]])</f>
        <v>Mercedes</v>
      </c>
      <c r="S289" s="1">
        <f>_xlfn.NUMBERVALUE(tbl_data[[#This Row],[Price_USD]],".",",")</f>
        <v>56031.63</v>
      </c>
    </row>
    <row r="290" spans="1:19" x14ac:dyDescent="0.3">
      <c r="A290">
        <v>289</v>
      </c>
      <c r="B290" t="s">
        <v>92</v>
      </c>
      <c r="C290">
        <v>2016</v>
      </c>
      <c r="D290">
        <v>65920</v>
      </c>
      <c r="E290" t="s">
        <v>13</v>
      </c>
      <c r="F290" t="s">
        <v>21</v>
      </c>
      <c r="G290" t="s">
        <v>32</v>
      </c>
      <c r="H290">
        <v>4434</v>
      </c>
      <c r="I290" t="s">
        <v>882</v>
      </c>
      <c r="J290" t="s">
        <v>883</v>
      </c>
      <c r="K290">
        <v>5</v>
      </c>
      <c r="L290" t="s">
        <v>884</v>
      </c>
      <c r="M290" s="1" t="str">
        <f>TEXT(DATE(tbl_data[[#This Row],[Model_Year]],1,1),"yyyy")</f>
        <v>2016</v>
      </c>
      <c r="N290" s="1" t="str">
        <f>IF(tbl_data[[#This Row],[Kilometers_Driven]]&lt;50000,"&lt;50k",
IF(tbl_data[[#This Row],[Kilometers_Driven]]&lt;100000,"50k-100k",
IF(tbl_data[[#This Row],[Kilometers_Driven]]&lt;150000,"100k-150k","150k+")))</f>
        <v>50k-100k</v>
      </c>
      <c r="O290" s="1" t="str">
        <f>IF(tbl_data[[#This Row],[Price_USD]]&gt;=87089,"High",
IF(tbl_data[[#This Row],[Price_USD]]&gt;=56807,"Mid","Low"))</f>
        <v>High</v>
      </c>
      <c r="P290" s="1" t="str">
        <f>IF(tbl_data[[#This Row],[Transmission]]="Automatic","Auto","Manual")</f>
        <v>Auto</v>
      </c>
      <c r="Q290" s="1" t="str">
        <f>IFERROR(IF(VALUE(tbl_data[[#This Row],[Engine_CC]])=0,"",VALUE(tbl_data[[#This Row],[Price_USD]])/VALUE(tbl_data[[#This Row],[Engine_CC]])),"")</f>
        <v/>
      </c>
      <c r="R290" s="1" t="str">
        <f>TRIM(tbl_data[[#This Row],[Brand]])</f>
        <v>Toyota</v>
      </c>
      <c r="S290" s="1">
        <f>_xlfn.NUMBERVALUE(tbl_data[[#This Row],[Price_USD]],".",",")</f>
        <v>95686.22</v>
      </c>
    </row>
    <row r="291" spans="1:19" x14ac:dyDescent="0.3">
      <c r="A291">
        <v>290</v>
      </c>
      <c r="B291" t="s">
        <v>92</v>
      </c>
      <c r="C291">
        <v>2017</v>
      </c>
      <c r="D291">
        <v>68530</v>
      </c>
      <c r="E291" t="s">
        <v>20</v>
      </c>
      <c r="F291" t="s">
        <v>14</v>
      </c>
      <c r="G291" t="s">
        <v>32</v>
      </c>
      <c r="H291">
        <v>2452</v>
      </c>
      <c r="I291" t="s">
        <v>885</v>
      </c>
      <c r="J291" t="s">
        <v>886</v>
      </c>
      <c r="K291">
        <v>5</v>
      </c>
      <c r="L291" t="s">
        <v>887</v>
      </c>
      <c r="M291" s="1" t="str">
        <f>TEXT(DATE(tbl_data[[#This Row],[Model_Year]],1,1),"yyyy")</f>
        <v>2017</v>
      </c>
      <c r="N291" s="1" t="str">
        <f>IF(tbl_data[[#This Row],[Kilometers_Driven]]&lt;50000,"&lt;50k",
IF(tbl_data[[#This Row],[Kilometers_Driven]]&lt;100000,"50k-100k",
IF(tbl_data[[#This Row],[Kilometers_Driven]]&lt;150000,"100k-150k","150k+")))</f>
        <v>50k-100k</v>
      </c>
      <c r="O291" s="1" t="str">
        <f>IF(tbl_data[[#This Row],[Price_USD]]&gt;=87089,"High",
IF(tbl_data[[#This Row],[Price_USD]]&gt;=56807,"Mid","Low"))</f>
        <v>High</v>
      </c>
      <c r="P291" s="1" t="str">
        <f>IF(tbl_data[[#This Row],[Transmission]]="Automatic","Auto","Manual")</f>
        <v>Manual</v>
      </c>
      <c r="Q291" s="1" t="str">
        <f>IFERROR(IF(VALUE(tbl_data[[#This Row],[Engine_CC]])=0,"",VALUE(tbl_data[[#This Row],[Price_USD]])/VALUE(tbl_data[[#This Row],[Engine_CC]])),"")</f>
        <v/>
      </c>
      <c r="R291" s="1" t="str">
        <f>TRIM(tbl_data[[#This Row],[Brand]])</f>
        <v>Toyota</v>
      </c>
      <c r="S291" s="1">
        <f>_xlfn.NUMBERVALUE(tbl_data[[#This Row],[Price_USD]],".",",")</f>
        <v>101118.75</v>
      </c>
    </row>
    <row r="292" spans="1:19" x14ac:dyDescent="0.3">
      <c r="A292">
        <v>291</v>
      </c>
      <c r="B292" t="s">
        <v>30</v>
      </c>
      <c r="C292">
        <v>2006</v>
      </c>
      <c r="D292">
        <v>172296</v>
      </c>
      <c r="E292" t="s">
        <v>13</v>
      </c>
      <c r="F292" t="s">
        <v>14</v>
      </c>
      <c r="G292" t="s">
        <v>15</v>
      </c>
      <c r="H292">
        <v>4941</v>
      </c>
      <c r="I292" t="s">
        <v>888</v>
      </c>
      <c r="J292" t="s">
        <v>525</v>
      </c>
      <c r="K292">
        <v>6</v>
      </c>
      <c r="L292" t="s">
        <v>889</v>
      </c>
      <c r="M292" s="1" t="str">
        <f>TEXT(DATE(tbl_data[[#This Row],[Model_Year]],1,1),"yyyy")</f>
        <v>2006</v>
      </c>
      <c r="N292" s="1" t="str">
        <f>IF(tbl_data[[#This Row],[Kilometers_Driven]]&lt;50000,"&lt;50k",
IF(tbl_data[[#This Row],[Kilometers_Driven]]&lt;100000,"50k-100k",
IF(tbl_data[[#This Row],[Kilometers_Driven]]&lt;150000,"100k-150k","150k+")))</f>
        <v>150k+</v>
      </c>
      <c r="O292" s="1" t="str">
        <f>IF(tbl_data[[#This Row],[Price_USD]]&gt;=87089,"High",
IF(tbl_data[[#This Row],[Price_USD]]&gt;=56807,"Mid","Low"))</f>
        <v>High</v>
      </c>
      <c r="P292" s="1" t="str">
        <f>IF(tbl_data[[#This Row],[Transmission]]="Automatic","Auto","Manual")</f>
        <v>Manual</v>
      </c>
      <c r="Q292" s="1" t="str">
        <f>IFERROR(IF(VALUE(tbl_data[[#This Row],[Engine_CC]])=0,"",VALUE(tbl_data[[#This Row],[Price_USD]])/VALUE(tbl_data[[#This Row],[Engine_CC]])),"")</f>
        <v/>
      </c>
      <c r="R292" s="1" t="str">
        <f>TRIM(tbl_data[[#This Row],[Brand]])</f>
        <v>Mercedes</v>
      </c>
      <c r="S292" s="1">
        <f>_xlfn.NUMBERVALUE(tbl_data[[#This Row],[Price_USD]],".",",")</f>
        <v>79608.759999999995</v>
      </c>
    </row>
    <row r="293" spans="1:19" x14ac:dyDescent="0.3">
      <c r="A293">
        <v>292</v>
      </c>
      <c r="B293" t="s">
        <v>43</v>
      </c>
      <c r="C293">
        <v>2007</v>
      </c>
      <c r="D293">
        <v>12788</v>
      </c>
      <c r="E293" t="s">
        <v>20</v>
      </c>
      <c r="F293" t="s">
        <v>14</v>
      </c>
      <c r="G293" t="s">
        <v>32</v>
      </c>
      <c r="H293">
        <v>4692</v>
      </c>
      <c r="I293" t="s">
        <v>890</v>
      </c>
      <c r="J293" t="s">
        <v>891</v>
      </c>
      <c r="K293">
        <v>2</v>
      </c>
      <c r="L293" t="s">
        <v>892</v>
      </c>
      <c r="M293" s="1" t="str">
        <f>TEXT(DATE(tbl_data[[#This Row],[Model_Year]],1,1),"yyyy")</f>
        <v>2007</v>
      </c>
      <c r="N293" s="1" t="str">
        <f>IF(tbl_data[[#This Row],[Kilometers_Driven]]&lt;50000,"&lt;50k",
IF(tbl_data[[#This Row],[Kilometers_Driven]]&lt;100000,"50k-100k",
IF(tbl_data[[#This Row],[Kilometers_Driven]]&lt;150000,"100k-150k","150k+")))</f>
        <v>&lt;50k</v>
      </c>
      <c r="O293" s="1" t="str">
        <f>IF(tbl_data[[#This Row],[Price_USD]]&gt;=87089,"High",
IF(tbl_data[[#This Row],[Price_USD]]&gt;=56807,"Mid","Low"))</f>
        <v>High</v>
      </c>
      <c r="P293" s="1" t="str">
        <f>IF(tbl_data[[#This Row],[Transmission]]="Automatic","Auto","Manual")</f>
        <v>Manual</v>
      </c>
      <c r="Q293" s="1" t="str">
        <f>IFERROR(IF(VALUE(tbl_data[[#This Row],[Engine_CC]])=0,"",VALUE(tbl_data[[#This Row],[Price_USD]])/VALUE(tbl_data[[#This Row],[Engine_CC]])),"")</f>
        <v/>
      </c>
      <c r="R293" s="1" t="str">
        <f>TRIM(tbl_data[[#This Row],[Brand]])</f>
        <v>Ford</v>
      </c>
      <c r="S293" s="1">
        <f>_xlfn.NUMBERVALUE(tbl_data[[#This Row],[Price_USD]],".",",")</f>
        <v>29725.82</v>
      </c>
    </row>
    <row r="294" spans="1:19" x14ac:dyDescent="0.3">
      <c r="A294">
        <v>293</v>
      </c>
      <c r="B294" t="s">
        <v>19</v>
      </c>
      <c r="C294">
        <v>2009</v>
      </c>
      <c r="D294">
        <v>33082</v>
      </c>
      <c r="E294" t="s">
        <v>44</v>
      </c>
      <c r="F294" t="s">
        <v>14</v>
      </c>
      <c r="G294" t="s">
        <v>26</v>
      </c>
      <c r="H294">
        <v>1399</v>
      </c>
      <c r="I294" t="s">
        <v>893</v>
      </c>
      <c r="J294" t="s">
        <v>874</v>
      </c>
      <c r="K294">
        <v>7</v>
      </c>
      <c r="L294" t="s">
        <v>894</v>
      </c>
      <c r="M294" s="1" t="str">
        <f>TEXT(DATE(tbl_data[[#This Row],[Model_Year]],1,1),"yyyy")</f>
        <v>2009</v>
      </c>
      <c r="N294" s="1" t="str">
        <f>IF(tbl_data[[#This Row],[Kilometers_Driven]]&lt;50000,"&lt;50k",
IF(tbl_data[[#This Row],[Kilometers_Driven]]&lt;100000,"50k-100k",
IF(tbl_data[[#This Row],[Kilometers_Driven]]&lt;150000,"100k-150k","150k+")))</f>
        <v>&lt;50k</v>
      </c>
      <c r="O294" s="1" t="str">
        <f>IF(tbl_data[[#This Row],[Price_USD]]&gt;=87089,"High",
IF(tbl_data[[#This Row],[Price_USD]]&gt;=56807,"Mid","Low"))</f>
        <v>High</v>
      </c>
      <c r="P294" s="1" t="str">
        <f>IF(tbl_data[[#This Row],[Transmission]]="Automatic","Auto","Manual")</f>
        <v>Manual</v>
      </c>
      <c r="Q294" s="1" t="str">
        <f>IFERROR(IF(VALUE(tbl_data[[#This Row],[Engine_CC]])=0,"",VALUE(tbl_data[[#This Row],[Price_USD]])/VALUE(tbl_data[[#This Row],[Engine_CC]])),"")</f>
        <v/>
      </c>
      <c r="R294" s="1" t="str">
        <f>TRIM(tbl_data[[#This Row],[Brand]])</f>
        <v>BMW</v>
      </c>
      <c r="S294" s="1">
        <f>_xlfn.NUMBERVALUE(tbl_data[[#This Row],[Price_USD]],".",",")</f>
        <v>35059.379999999997</v>
      </c>
    </row>
    <row r="295" spans="1:19" x14ac:dyDescent="0.3">
      <c r="A295">
        <v>294</v>
      </c>
      <c r="B295" t="s">
        <v>43</v>
      </c>
      <c r="C295">
        <v>2015</v>
      </c>
      <c r="D295">
        <v>128287</v>
      </c>
      <c r="E295" t="s">
        <v>44</v>
      </c>
      <c r="F295" t="s">
        <v>21</v>
      </c>
      <c r="G295" t="s">
        <v>26</v>
      </c>
      <c r="H295">
        <v>2712</v>
      </c>
      <c r="I295" t="s">
        <v>895</v>
      </c>
      <c r="J295" t="s">
        <v>896</v>
      </c>
      <c r="K295">
        <v>6</v>
      </c>
      <c r="L295" t="s">
        <v>897</v>
      </c>
      <c r="M295" s="1" t="str">
        <f>TEXT(DATE(tbl_data[[#This Row],[Model_Year]],1,1),"yyyy")</f>
        <v>2015</v>
      </c>
      <c r="N295" s="1" t="str">
        <f>IF(tbl_data[[#This Row],[Kilometers_Driven]]&lt;50000,"&lt;50k",
IF(tbl_data[[#This Row],[Kilometers_Driven]]&lt;100000,"50k-100k",
IF(tbl_data[[#This Row],[Kilometers_Driven]]&lt;150000,"100k-150k","150k+")))</f>
        <v>100k-150k</v>
      </c>
      <c r="O295" s="1" t="str">
        <f>IF(tbl_data[[#This Row],[Price_USD]]&gt;=87089,"High",
IF(tbl_data[[#This Row],[Price_USD]]&gt;=56807,"Mid","Low"))</f>
        <v>High</v>
      </c>
      <c r="P295" s="1" t="str">
        <f>IF(tbl_data[[#This Row],[Transmission]]="Automatic","Auto","Manual")</f>
        <v>Auto</v>
      </c>
      <c r="Q295" s="1" t="str">
        <f>IFERROR(IF(VALUE(tbl_data[[#This Row],[Engine_CC]])=0,"",VALUE(tbl_data[[#This Row],[Price_USD]])/VALUE(tbl_data[[#This Row],[Engine_CC]])),"")</f>
        <v/>
      </c>
      <c r="R295" s="1" t="str">
        <f>TRIM(tbl_data[[#This Row],[Brand]])</f>
        <v>Ford</v>
      </c>
      <c r="S295" s="1">
        <f>_xlfn.NUMBERVALUE(tbl_data[[#This Row],[Price_USD]],".",",")</f>
        <v>39836.42</v>
      </c>
    </row>
    <row r="296" spans="1:19" x14ac:dyDescent="0.3">
      <c r="A296">
        <v>295</v>
      </c>
      <c r="B296" t="s">
        <v>92</v>
      </c>
      <c r="C296">
        <v>2012</v>
      </c>
      <c r="D296">
        <v>94570</v>
      </c>
      <c r="E296" t="s">
        <v>44</v>
      </c>
      <c r="F296" t="s">
        <v>14</v>
      </c>
      <c r="G296" t="s">
        <v>15</v>
      </c>
      <c r="H296">
        <v>2092</v>
      </c>
      <c r="I296" t="s">
        <v>898</v>
      </c>
      <c r="J296" t="s">
        <v>899</v>
      </c>
      <c r="K296">
        <v>4</v>
      </c>
      <c r="L296" t="s">
        <v>900</v>
      </c>
      <c r="M296" s="1" t="str">
        <f>TEXT(DATE(tbl_data[[#This Row],[Model_Year]],1,1),"yyyy")</f>
        <v>2012</v>
      </c>
      <c r="N296" s="1" t="str">
        <f>IF(tbl_data[[#This Row],[Kilometers_Driven]]&lt;50000,"&lt;50k",
IF(tbl_data[[#This Row],[Kilometers_Driven]]&lt;100000,"50k-100k",
IF(tbl_data[[#This Row],[Kilometers_Driven]]&lt;150000,"100k-150k","150k+")))</f>
        <v>50k-100k</v>
      </c>
      <c r="O296" s="1" t="str">
        <f>IF(tbl_data[[#This Row],[Price_USD]]&gt;=87089,"High",
IF(tbl_data[[#This Row],[Price_USD]]&gt;=56807,"Mid","Low"))</f>
        <v>High</v>
      </c>
      <c r="P296" s="1" t="str">
        <f>IF(tbl_data[[#This Row],[Transmission]]="Automatic","Auto","Manual")</f>
        <v>Manual</v>
      </c>
      <c r="Q296" s="1" t="str">
        <f>IFERROR(IF(VALUE(tbl_data[[#This Row],[Engine_CC]])=0,"",VALUE(tbl_data[[#This Row],[Price_USD]])/VALUE(tbl_data[[#This Row],[Engine_CC]])),"")</f>
        <v/>
      </c>
      <c r="R296" s="1" t="str">
        <f>TRIM(tbl_data[[#This Row],[Brand]])</f>
        <v>Toyota</v>
      </c>
      <c r="S296" s="1">
        <f>_xlfn.NUMBERVALUE(tbl_data[[#This Row],[Price_USD]],".",",")</f>
        <v>16666.080000000002</v>
      </c>
    </row>
    <row r="297" spans="1:19" x14ac:dyDescent="0.3">
      <c r="A297">
        <v>296</v>
      </c>
      <c r="B297" t="s">
        <v>92</v>
      </c>
      <c r="C297">
        <v>2016</v>
      </c>
      <c r="D297">
        <v>106015</v>
      </c>
      <c r="E297" t="s">
        <v>44</v>
      </c>
      <c r="F297" t="s">
        <v>21</v>
      </c>
      <c r="G297" t="s">
        <v>32</v>
      </c>
      <c r="H297">
        <v>1400</v>
      </c>
      <c r="I297" t="s">
        <v>901</v>
      </c>
      <c r="J297" t="s">
        <v>902</v>
      </c>
      <c r="K297">
        <v>4</v>
      </c>
      <c r="L297" t="s">
        <v>903</v>
      </c>
      <c r="M297" s="1" t="str">
        <f>TEXT(DATE(tbl_data[[#This Row],[Model_Year]],1,1),"yyyy")</f>
        <v>2016</v>
      </c>
      <c r="N297" s="1" t="str">
        <f>IF(tbl_data[[#This Row],[Kilometers_Driven]]&lt;50000,"&lt;50k",
IF(tbl_data[[#This Row],[Kilometers_Driven]]&lt;100000,"50k-100k",
IF(tbl_data[[#This Row],[Kilometers_Driven]]&lt;150000,"100k-150k","150k+")))</f>
        <v>100k-150k</v>
      </c>
      <c r="O297" s="1" t="str">
        <f>IF(tbl_data[[#This Row],[Price_USD]]&gt;=87089,"High",
IF(tbl_data[[#This Row],[Price_USD]]&gt;=56807,"Mid","Low"))</f>
        <v>High</v>
      </c>
      <c r="P297" s="1" t="str">
        <f>IF(tbl_data[[#This Row],[Transmission]]="Automatic","Auto","Manual")</f>
        <v>Auto</v>
      </c>
      <c r="Q297" s="1" t="str">
        <f>IFERROR(IF(VALUE(tbl_data[[#This Row],[Engine_CC]])=0,"",VALUE(tbl_data[[#This Row],[Price_USD]])/VALUE(tbl_data[[#This Row],[Engine_CC]])),"")</f>
        <v/>
      </c>
      <c r="R297" s="1" t="str">
        <f>TRIM(tbl_data[[#This Row],[Brand]])</f>
        <v>Toyota</v>
      </c>
      <c r="S297" s="1">
        <f>_xlfn.NUMBERVALUE(tbl_data[[#This Row],[Price_USD]],".",",")</f>
        <v>34959.68</v>
      </c>
    </row>
    <row r="298" spans="1:19" x14ac:dyDescent="0.3">
      <c r="A298">
        <v>297</v>
      </c>
      <c r="B298" t="s">
        <v>30</v>
      </c>
      <c r="C298">
        <v>2011</v>
      </c>
      <c r="D298">
        <v>88588</v>
      </c>
      <c r="E298" t="s">
        <v>44</v>
      </c>
      <c r="F298" t="s">
        <v>14</v>
      </c>
      <c r="G298" t="s">
        <v>26</v>
      </c>
      <c r="H298">
        <v>1180</v>
      </c>
      <c r="I298" t="s">
        <v>760</v>
      </c>
      <c r="J298" t="s">
        <v>904</v>
      </c>
      <c r="K298">
        <v>4</v>
      </c>
      <c r="L298" t="s">
        <v>905</v>
      </c>
      <c r="M298" s="1" t="str">
        <f>TEXT(DATE(tbl_data[[#This Row],[Model_Year]],1,1),"yyyy")</f>
        <v>2011</v>
      </c>
      <c r="N298" s="1" t="str">
        <f>IF(tbl_data[[#This Row],[Kilometers_Driven]]&lt;50000,"&lt;50k",
IF(tbl_data[[#This Row],[Kilometers_Driven]]&lt;100000,"50k-100k",
IF(tbl_data[[#This Row],[Kilometers_Driven]]&lt;150000,"100k-150k","150k+")))</f>
        <v>50k-100k</v>
      </c>
      <c r="O298" s="1" t="str">
        <f>IF(tbl_data[[#This Row],[Price_USD]]&gt;=87089,"High",
IF(tbl_data[[#This Row],[Price_USD]]&gt;=56807,"Mid","Low"))</f>
        <v>High</v>
      </c>
      <c r="P298" s="1" t="str">
        <f>IF(tbl_data[[#This Row],[Transmission]]="Automatic","Auto","Manual")</f>
        <v>Manual</v>
      </c>
      <c r="Q298" s="1" t="str">
        <f>IFERROR(IF(VALUE(tbl_data[[#This Row],[Engine_CC]])=0,"",VALUE(tbl_data[[#This Row],[Price_USD]])/VALUE(tbl_data[[#This Row],[Engine_CC]])),"")</f>
        <v/>
      </c>
      <c r="R298" s="1" t="str">
        <f>TRIM(tbl_data[[#This Row],[Brand]])</f>
        <v>Mercedes</v>
      </c>
      <c r="S298" s="1">
        <f>_xlfn.NUMBERVALUE(tbl_data[[#This Row],[Price_USD]],".",",")</f>
        <v>27513.75</v>
      </c>
    </row>
    <row r="299" spans="1:19" x14ac:dyDescent="0.3">
      <c r="A299">
        <v>298</v>
      </c>
      <c r="B299" t="s">
        <v>69</v>
      </c>
      <c r="C299">
        <v>2019</v>
      </c>
      <c r="D299">
        <v>152603</v>
      </c>
      <c r="E299" t="s">
        <v>13</v>
      </c>
      <c r="F299" t="s">
        <v>14</v>
      </c>
      <c r="G299" t="s">
        <v>26</v>
      </c>
      <c r="H299">
        <v>4437</v>
      </c>
      <c r="I299" t="s">
        <v>906</v>
      </c>
      <c r="J299" t="s">
        <v>907</v>
      </c>
      <c r="K299">
        <v>6</v>
      </c>
      <c r="L299" t="s">
        <v>908</v>
      </c>
      <c r="M299" s="1" t="str">
        <f>TEXT(DATE(tbl_data[[#This Row],[Model_Year]],1,1),"yyyy")</f>
        <v>2019</v>
      </c>
      <c r="N299" s="1" t="str">
        <f>IF(tbl_data[[#This Row],[Kilometers_Driven]]&lt;50000,"&lt;50k",
IF(tbl_data[[#This Row],[Kilometers_Driven]]&lt;100000,"50k-100k",
IF(tbl_data[[#This Row],[Kilometers_Driven]]&lt;150000,"100k-150k","150k+")))</f>
        <v>150k+</v>
      </c>
      <c r="O299" s="1" t="str">
        <f>IF(tbl_data[[#This Row],[Price_USD]]&gt;=87089,"High",
IF(tbl_data[[#This Row],[Price_USD]]&gt;=56807,"Mid","Low"))</f>
        <v>High</v>
      </c>
      <c r="P299" s="1" t="str">
        <f>IF(tbl_data[[#This Row],[Transmission]]="Automatic","Auto","Manual")</f>
        <v>Manual</v>
      </c>
      <c r="Q299" s="1" t="str">
        <f>IFERROR(IF(VALUE(tbl_data[[#This Row],[Engine_CC]])=0,"",VALUE(tbl_data[[#This Row],[Price_USD]])/VALUE(tbl_data[[#This Row],[Engine_CC]])),"")</f>
        <v/>
      </c>
      <c r="R299" s="1" t="str">
        <f>TRIM(tbl_data[[#This Row],[Brand]])</f>
        <v>Hyundai</v>
      </c>
      <c r="S299" s="1">
        <f>_xlfn.NUMBERVALUE(tbl_data[[#This Row],[Price_USD]],".",",")</f>
        <v>56273.46</v>
      </c>
    </row>
    <row r="300" spans="1:19" x14ac:dyDescent="0.3">
      <c r="A300">
        <v>299</v>
      </c>
      <c r="B300" t="s">
        <v>43</v>
      </c>
      <c r="C300">
        <v>2021</v>
      </c>
      <c r="D300">
        <v>93340</v>
      </c>
      <c r="E300" t="s">
        <v>44</v>
      </c>
      <c r="F300" t="s">
        <v>14</v>
      </c>
      <c r="G300" t="s">
        <v>32</v>
      </c>
      <c r="H300">
        <v>2963</v>
      </c>
      <c r="I300" t="s">
        <v>909</v>
      </c>
      <c r="J300" t="s">
        <v>910</v>
      </c>
      <c r="K300">
        <v>7</v>
      </c>
      <c r="L300" t="s">
        <v>911</v>
      </c>
      <c r="M300" s="1" t="str">
        <f>TEXT(DATE(tbl_data[[#This Row],[Model_Year]],1,1),"yyyy")</f>
        <v>2021</v>
      </c>
      <c r="N300" s="1" t="str">
        <f>IF(tbl_data[[#This Row],[Kilometers_Driven]]&lt;50000,"&lt;50k",
IF(tbl_data[[#This Row],[Kilometers_Driven]]&lt;100000,"50k-100k",
IF(tbl_data[[#This Row],[Kilometers_Driven]]&lt;150000,"100k-150k","150k+")))</f>
        <v>50k-100k</v>
      </c>
      <c r="O300" s="1" t="str">
        <f>IF(tbl_data[[#This Row],[Price_USD]]&gt;=87089,"High",
IF(tbl_data[[#This Row],[Price_USD]]&gt;=56807,"Mid","Low"))</f>
        <v>High</v>
      </c>
      <c r="P300" s="1" t="str">
        <f>IF(tbl_data[[#This Row],[Transmission]]="Automatic","Auto","Manual")</f>
        <v>Manual</v>
      </c>
      <c r="Q300" s="1" t="str">
        <f>IFERROR(IF(VALUE(tbl_data[[#This Row],[Engine_CC]])=0,"",VALUE(tbl_data[[#This Row],[Price_USD]])/VALUE(tbl_data[[#This Row],[Engine_CC]])),"")</f>
        <v/>
      </c>
      <c r="R300" s="1" t="str">
        <f>TRIM(tbl_data[[#This Row],[Brand]])</f>
        <v>Ford</v>
      </c>
      <c r="S300" s="1">
        <f>_xlfn.NUMBERVALUE(tbl_data[[#This Row],[Price_USD]],".",",")</f>
        <v>109287.19</v>
      </c>
    </row>
    <row r="301" spans="1:19" x14ac:dyDescent="0.3">
      <c r="A301">
        <v>300</v>
      </c>
      <c r="B301" t="s">
        <v>102</v>
      </c>
      <c r="C301">
        <v>2008</v>
      </c>
      <c r="D301">
        <v>99439</v>
      </c>
      <c r="E301" t="s">
        <v>31</v>
      </c>
      <c r="F301" t="s">
        <v>14</v>
      </c>
      <c r="G301" t="s">
        <v>32</v>
      </c>
      <c r="H301">
        <v>1898</v>
      </c>
      <c r="I301" t="s">
        <v>912</v>
      </c>
      <c r="J301" t="s">
        <v>913</v>
      </c>
      <c r="K301">
        <v>5</v>
      </c>
      <c r="L301" t="s">
        <v>914</v>
      </c>
      <c r="M301" s="1" t="str">
        <f>TEXT(DATE(tbl_data[[#This Row],[Model_Year]],1,1),"yyyy")</f>
        <v>2008</v>
      </c>
      <c r="N301" s="1" t="str">
        <f>IF(tbl_data[[#This Row],[Kilometers_Driven]]&lt;50000,"&lt;50k",
IF(tbl_data[[#This Row],[Kilometers_Driven]]&lt;100000,"50k-100k",
IF(tbl_data[[#This Row],[Kilometers_Driven]]&lt;150000,"100k-150k","150k+")))</f>
        <v>50k-100k</v>
      </c>
      <c r="O301" s="1" t="str">
        <f>IF(tbl_data[[#This Row],[Price_USD]]&gt;=87089,"High",
IF(tbl_data[[#This Row],[Price_USD]]&gt;=56807,"Mid","Low"))</f>
        <v>High</v>
      </c>
      <c r="P301" s="1" t="str">
        <f>IF(tbl_data[[#This Row],[Transmission]]="Automatic","Auto","Manual")</f>
        <v>Manual</v>
      </c>
      <c r="Q301" s="1" t="str">
        <f>IFERROR(IF(VALUE(tbl_data[[#This Row],[Engine_CC]])=0,"",VALUE(tbl_data[[#This Row],[Price_USD]])/VALUE(tbl_data[[#This Row],[Engine_CC]])),"")</f>
        <v/>
      </c>
      <c r="R301" s="1" t="str">
        <f>TRIM(tbl_data[[#This Row],[Brand]])</f>
        <v>Nissan</v>
      </c>
      <c r="S301" s="1">
        <f>_xlfn.NUMBERVALUE(tbl_data[[#This Row],[Price_USD]],".",",")</f>
        <v>15224.2</v>
      </c>
    </row>
    <row r="302" spans="1:19" x14ac:dyDescent="0.3">
      <c r="A302">
        <v>301</v>
      </c>
      <c r="B302" t="s">
        <v>30</v>
      </c>
      <c r="C302">
        <v>2017</v>
      </c>
      <c r="D302">
        <v>180929</v>
      </c>
      <c r="E302" t="s">
        <v>31</v>
      </c>
      <c r="F302" t="s">
        <v>21</v>
      </c>
      <c r="G302" t="s">
        <v>26</v>
      </c>
      <c r="H302">
        <v>1165</v>
      </c>
      <c r="I302" t="s">
        <v>915</v>
      </c>
      <c r="J302" t="s">
        <v>916</v>
      </c>
      <c r="K302">
        <v>2</v>
      </c>
      <c r="L302" t="s">
        <v>917</v>
      </c>
      <c r="M302" s="1" t="str">
        <f>TEXT(DATE(tbl_data[[#This Row],[Model_Year]],1,1),"yyyy")</f>
        <v>2017</v>
      </c>
      <c r="N302" s="1" t="str">
        <f>IF(tbl_data[[#This Row],[Kilometers_Driven]]&lt;50000,"&lt;50k",
IF(tbl_data[[#This Row],[Kilometers_Driven]]&lt;100000,"50k-100k",
IF(tbl_data[[#This Row],[Kilometers_Driven]]&lt;150000,"100k-150k","150k+")))</f>
        <v>150k+</v>
      </c>
      <c r="O302" s="1" t="str">
        <f>IF(tbl_data[[#This Row],[Price_USD]]&gt;=87089,"High",
IF(tbl_data[[#This Row],[Price_USD]]&gt;=56807,"Mid","Low"))</f>
        <v>High</v>
      </c>
      <c r="P302" s="1" t="str">
        <f>IF(tbl_data[[#This Row],[Transmission]]="Automatic","Auto","Manual")</f>
        <v>Auto</v>
      </c>
      <c r="Q302" s="1" t="str">
        <f>IFERROR(IF(VALUE(tbl_data[[#This Row],[Engine_CC]])=0,"",VALUE(tbl_data[[#This Row],[Price_USD]])/VALUE(tbl_data[[#This Row],[Engine_CC]])),"")</f>
        <v/>
      </c>
      <c r="R302" s="1" t="str">
        <f>TRIM(tbl_data[[#This Row],[Brand]])</f>
        <v>Mercedes</v>
      </c>
      <c r="S302" s="1">
        <f>_xlfn.NUMBERVALUE(tbl_data[[#This Row],[Price_USD]],".",",")</f>
        <v>87271.35</v>
      </c>
    </row>
    <row r="303" spans="1:19" x14ac:dyDescent="0.3">
      <c r="A303">
        <v>302</v>
      </c>
      <c r="B303" t="s">
        <v>25</v>
      </c>
      <c r="C303">
        <v>2022</v>
      </c>
      <c r="D303">
        <v>146214</v>
      </c>
      <c r="E303" t="s">
        <v>13</v>
      </c>
      <c r="F303" t="s">
        <v>21</v>
      </c>
      <c r="G303" t="s">
        <v>26</v>
      </c>
      <c r="H303">
        <v>3370</v>
      </c>
      <c r="I303" t="s">
        <v>918</v>
      </c>
      <c r="J303" t="s">
        <v>919</v>
      </c>
      <c r="K303">
        <v>5</v>
      </c>
      <c r="L303" t="s">
        <v>920</v>
      </c>
      <c r="M303" s="1" t="str">
        <f>TEXT(DATE(tbl_data[[#This Row],[Model_Year]],1,1),"yyyy")</f>
        <v>2022</v>
      </c>
      <c r="N303" s="1" t="str">
        <f>IF(tbl_data[[#This Row],[Kilometers_Driven]]&lt;50000,"&lt;50k",
IF(tbl_data[[#This Row],[Kilometers_Driven]]&lt;100000,"50k-100k",
IF(tbl_data[[#This Row],[Kilometers_Driven]]&lt;150000,"100k-150k","150k+")))</f>
        <v>100k-150k</v>
      </c>
      <c r="O303" s="1" t="str">
        <f>IF(tbl_data[[#This Row],[Price_USD]]&gt;=87089,"High",
IF(tbl_data[[#This Row],[Price_USD]]&gt;=56807,"Mid","Low"))</f>
        <v>High</v>
      </c>
      <c r="P303" s="1" t="str">
        <f>IF(tbl_data[[#This Row],[Transmission]]="Automatic","Auto","Manual")</f>
        <v>Auto</v>
      </c>
      <c r="Q303" s="1" t="str">
        <f>IFERROR(IF(VALUE(tbl_data[[#This Row],[Engine_CC]])=0,"",VALUE(tbl_data[[#This Row],[Price_USD]])/VALUE(tbl_data[[#This Row],[Engine_CC]])),"")</f>
        <v/>
      </c>
      <c r="R303" s="1" t="str">
        <f>TRIM(tbl_data[[#This Row],[Brand]])</f>
        <v>Kia</v>
      </c>
      <c r="S303" s="1">
        <f>_xlfn.NUMBERVALUE(tbl_data[[#This Row],[Price_USD]],".",",")</f>
        <v>83412.11</v>
      </c>
    </row>
    <row r="304" spans="1:19" x14ac:dyDescent="0.3">
      <c r="A304">
        <v>303</v>
      </c>
      <c r="B304" t="s">
        <v>92</v>
      </c>
      <c r="C304">
        <v>2005</v>
      </c>
      <c r="D304">
        <v>120053</v>
      </c>
      <c r="E304" t="s">
        <v>20</v>
      </c>
      <c r="F304" t="s">
        <v>21</v>
      </c>
      <c r="G304" t="s">
        <v>15</v>
      </c>
      <c r="H304">
        <v>4219</v>
      </c>
      <c r="I304" t="s">
        <v>921</v>
      </c>
      <c r="J304" t="s">
        <v>922</v>
      </c>
      <c r="K304">
        <v>7</v>
      </c>
      <c r="L304" t="s">
        <v>923</v>
      </c>
      <c r="M304" s="1" t="str">
        <f>TEXT(DATE(tbl_data[[#This Row],[Model_Year]],1,1),"yyyy")</f>
        <v>2005</v>
      </c>
      <c r="N304" s="1" t="str">
        <f>IF(tbl_data[[#This Row],[Kilometers_Driven]]&lt;50000,"&lt;50k",
IF(tbl_data[[#This Row],[Kilometers_Driven]]&lt;100000,"50k-100k",
IF(tbl_data[[#This Row],[Kilometers_Driven]]&lt;150000,"100k-150k","150k+")))</f>
        <v>100k-150k</v>
      </c>
      <c r="O304" s="1" t="str">
        <f>IF(tbl_data[[#This Row],[Price_USD]]&gt;=87089,"High",
IF(tbl_data[[#This Row],[Price_USD]]&gt;=56807,"Mid","Low"))</f>
        <v>High</v>
      </c>
      <c r="P304" s="1" t="str">
        <f>IF(tbl_data[[#This Row],[Transmission]]="Automatic","Auto","Manual")</f>
        <v>Auto</v>
      </c>
      <c r="Q304" s="1" t="str">
        <f>IFERROR(IF(VALUE(tbl_data[[#This Row],[Engine_CC]])=0,"",VALUE(tbl_data[[#This Row],[Price_USD]])/VALUE(tbl_data[[#This Row],[Engine_CC]])),"")</f>
        <v/>
      </c>
      <c r="R304" s="1" t="str">
        <f>TRIM(tbl_data[[#This Row],[Brand]])</f>
        <v>Toyota</v>
      </c>
      <c r="S304" s="1">
        <f>_xlfn.NUMBERVALUE(tbl_data[[#This Row],[Price_USD]],".",",")</f>
        <v>14203.24</v>
      </c>
    </row>
    <row r="305" spans="1:19" x14ac:dyDescent="0.3">
      <c r="A305">
        <v>304</v>
      </c>
      <c r="B305" t="s">
        <v>30</v>
      </c>
      <c r="C305">
        <v>2020</v>
      </c>
      <c r="D305">
        <v>53355</v>
      </c>
      <c r="E305" t="s">
        <v>31</v>
      </c>
      <c r="F305" t="s">
        <v>14</v>
      </c>
      <c r="G305" t="s">
        <v>15</v>
      </c>
      <c r="H305">
        <v>3276</v>
      </c>
      <c r="I305" t="s">
        <v>924</v>
      </c>
      <c r="J305" t="s">
        <v>925</v>
      </c>
      <c r="K305">
        <v>5</v>
      </c>
      <c r="L305" t="s">
        <v>926</v>
      </c>
      <c r="M305" s="1" t="str">
        <f>TEXT(DATE(tbl_data[[#This Row],[Model_Year]],1,1),"yyyy")</f>
        <v>2020</v>
      </c>
      <c r="N305" s="1" t="str">
        <f>IF(tbl_data[[#This Row],[Kilometers_Driven]]&lt;50000,"&lt;50k",
IF(tbl_data[[#This Row],[Kilometers_Driven]]&lt;100000,"50k-100k",
IF(tbl_data[[#This Row],[Kilometers_Driven]]&lt;150000,"100k-150k","150k+")))</f>
        <v>50k-100k</v>
      </c>
      <c r="O305" s="1" t="str">
        <f>IF(tbl_data[[#This Row],[Price_USD]]&gt;=87089,"High",
IF(tbl_data[[#This Row],[Price_USD]]&gt;=56807,"Mid","Low"))</f>
        <v>High</v>
      </c>
      <c r="P305" s="1" t="str">
        <f>IF(tbl_data[[#This Row],[Transmission]]="Automatic","Auto","Manual")</f>
        <v>Manual</v>
      </c>
      <c r="Q305" s="1" t="str">
        <f>IFERROR(IF(VALUE(tbl_data[[#This Row],[Engine_CC]])=0,"",VALUE(tbl_data[[#This Row],[Price_USD]])/VALUE(tbl_data[[#This Row],[Engine_CC]])),"")</f>
        <v/>
      </c>
      <c r="R305" s="1" t="str">
        <f>TRIM(tbl_data[[#This Row],[Brand]])</f>
        <v>Mercedes</v>
      </c>
      <c r="S305" s="1">
        <f>_xlfn.NUMBERVALUE(tbl_data[[#This Row],[Price_USD]],".",",")</f>
        <v>110940.97</v>
      </c>
    </row>
    <row r="306" spans="1:19" x14ac:dyDescent="0.3">
      <c r="A306">
        <v>305</v>
      </c>
      <c r="B306" t="s">
        <v>43</v>
      </c>
      <c r="C306">
        <v>2017</v>
      </c>
      <c r="D306">
        <v>145938</v>
      </c>
      <c r="E306" t="s">
        <v>20</v>
      </c>
      <c r="F306" t="s">
        <v>14</v>
      </c>
      <c r="G306" t="s">
        <v>26</v>
      </c>
      <c r="H306">
        <v>1590</v>
      </c>
      <c r="I306" t="s">
        <v>927</v>
      </c>
      <c r="J306" t="s">
        <v>928</v>
      </c>
      <c r="K306">
        <v>6</v>
      </c>
      <c r="L306" t="s">
        <v>929</v>
      </c>
      <c r="M306" s="1" t="str">
        <f>TEXT(DATE(tbl_data[[#This Row],[Model_Year]],1,1),"yyyy")</f>
        <v>2017</v>
      </c>
      <c r="N306" s="1" t="str">
        <f>IF(tbl_data[[#This Row],[Kilometers_Driven]]&lt;50000,"&lt;50k",
IF(tbl_data[[#This Row],[Kilometers_Driven]]&lt;100000,"50k-100k",
IF(tbl_data[[#This Row],[Kilometers_Driven]]&lt;150000,"100k-150k","150k+")))</f>
        <v>100k-150k</v>
      </c>
      <c r="O306" s="1" t="str">
        <f>IF(tbl_data[[#This Row],[Price_USD]]&gt;=87089,"High",
IF(tbl_data[[#This Row],[Price_USD]]&gt;=56807,"Mid","Low"))</f>
        <v>High</v>
      </c>
      <c r="P306" s="1" t="str">
        <f>IF(tbl_data[[#This Row],[Transmission]]="Automatic","Auto","Manual")</f>
        <v>Manual</v>
      </c>
      <c r="Q306" s="1" t="str">
        <f>IFERROR(IF(VALUE(tbl_data[[#This Row],[Engine_CC]])=0,"",VALUE(tbl_data[[#This Row],[Price_USD]])/VALUE(tbl_data[[#This Row],[Engine_CC]])),"")</f>
        <v/>
      </c>
      <c r="R306" s="1" t="str">
        <f>TRIM(tbl_data[[#This Row],[Brand]])</f>
        <v>Ford</v>
      </c>
      <c r="S306" s="1">
        <f>_xlfn.NUMBERVALUE(tbl_data[[#This Row],[Price_USD]],".",",")</f>
        <v>69511.25</v>
      </c>
    </row>
    <row r="307" spans="1:19" x14ac:dyDescent="0.3">
      <c r="A307">
        <v>306</v>
      </c>
      <c r="B307" t="s">
        <v>92</v>
      </c>
      <c r="C307">
        <v>2014</v>
      </c>
      <c r="D307">
        <v>130426</v>
      </c>
      <c r="E307" t="s">
        <v>13</v>
      </c>
      <c r="F307" t="s">
        <v>21</v>
      </c>
      <c r="G307" t="s">
        <v>15</v>
      </c>
      <c r="H307">
        <v>4369</v>
      </c>
      <c r="I307" t="s">
        <v>930</v>
      </c>
      <c r="J307" t="s">
        <v>931</v>
      </c>
      <c r="K307">
        <v>4</v>
      </c>
      <c r="L307" t="s">
        <v>932</v>
      </c>
      <c r="M307" s="1" t="str">
        <f>TEXT(DATE(tbl_data[[#This Row],[Model_Year]],1,1),"yyyy")</f>
        <v>2014</v>
      </c>
      <c r="N307" s="1" t="str">
        <f>IF(tbl_data[[#This Row],[Kilometers_Driven]]&lt;50000,"&lt;50k",
IF(tbl_data[[#This Row],[Kilometers_Driven]]&lt;100000,"50k-100k",
IF(tbl_data[[#This Row],[Kilometers_Driven]]&lt;150000,"100k-150k","150k+")))</f>
        <v>100k-150k</v>
      </c>
      <c r="O307" s="1" t="str">
        <f>IF(tbl_data[[#This Row],[Price_USD]]&gt;=87089,"High",
IF(tbl_data[[#This Row],[Price_USD]]&gt;=56807,"Mid","Low"))</f>
        <v>High</v>
      </c>
      <c r="P307" s="1" t="str">
        <f>IF(tbl_data[[#This Row],[Transmission]]="Automatic","Auto","Manual")</f>
        <v>Auto</v>
      </c>
      <c r="Q307" s="1" t="str">
        <f>IFERROR(IF(VALUE(tbl_data[[#This Row],[Engine_CC]])=0,"",VALUE(tbl_data[[#This Row],[Price_USD]])/VALUE(tbl_data[[#This Row],[Engine_CC]])),"")</f>
        <v/>
      </c>
      <c r="R307" s="1" t="str">
        <f>TRIM(tbl_data[[#This Row],[Brand]])</f>
        <v>Toyota</v>
      </c>
      <c r="S307" s="1">
        <f>_xlfn.NUMBERVALUE(tbl_data[[#This Row],[Price_USD]],".",",")</f>
        <v>45555.89</v>
      </c>
    </row>
    <row r="308" spans="1:19" x14ac:dyDescent="0.3">
      <c r="A308">
        <v>307</v>
      </c>
      <c r="B308" t="s">
        <v>19</v>
      </c>
      <c r="C308">
        <v>2016</v>
      </c>
      <c r="D308">
        <v>69027</v>
      </c>
      <c r="E308" t="s">
        <v>20</v>
      </c>
      <c r="F308" t="s">
        <v>21</v>
      </c>
      <c r="G308" t="s">
        <v>26</v>
      </c>
      <c r="H308">
        <v>1546</v>
      </c>
      <c r="I308" t="s">
        <v>933</v>
      </c>
      <c r="J308" t="s">
        <v>934</v>
      </c>
      <c r="K308">
        <v>7</v>
      </c>
      <c r="L308" t="s">
        <v>935</v>
      </c>
      <c r="M308" s="1" t="str">
        <f>TEXT(DATE(tbl_data[[#This Row],[Model_Year]],1,1),"yyyy")</f>
        <v>2016</v>
      </c>
      <c r="N308" s="1" t="str">
        <f>IF(tbl_data[[#This Row],[Kilometers_Driven]]&lt;50000,"&lt;50k",
IF(tbl_data[[#This Row],[Kilometers_Driven]]&lt;100000,"50k-100k",
IF(tbl_data[[#This Row],[Kilometers_Driven]]&lt;150000,"100k-150k","150k+")))</f>
        <v>50k-100k</v>
      </c>
      <c r="O308" s="1" t="str">
        <f>IF(tbl_data[[#This Row],[Price_USD]]&gt;=87089,"High",
IF(tbl_data[[#This Row],[Price_USD]]&gt;=56807,"Mid","Low"))</f>
        <v>High</v>
      </c>
      <c r="P308" s="1" t="str">
        <f>IF(tbl_data[[#This Row],[Transmission]]="Automatic","Auto","Manual")</f>
        <v>Auto</v>
      </c>
      <c r="Q308" s="1" t="str">
        <f>IFERROR(IF(VALUE(tbl_data[[#This Row],[Engine_CC]])=0,"",VALUE(tbl_data[[#This Row],[Price_USD]])/VALUE(tbl_data[[#This Row],[Engine_CC]])),"")</f>
        <v/>
      </c>
      <c r="R308" s="1" t="str">
        <f>TRIM(tbl_data[[#This Row],[Brand]])</f>
        <v>BMW</v>
      </c>
      <c r="S308" s="1">
        <f>_xlfn.NUMBERVALUE(tbl_data[[#This Row],[Price_USD]],".",",")</f>
        <v>91515.01</v>
      </c>
    </row>
    <row r="309" spans="1:19" x14ac:dyDescent="0.3">
      <c r="A309">
        <v>308</v>
      </c>
      <c r="B309" t="s">
        <v>30</v>
      </c>
      <c r="C309">
        <v>2006</v>
      </c>
      <c r="D309">
        <v>193978</v>
      </c>
      <c r="E309" t="s">
        <v>20</v>
      </c>
      <c r="F309" t="s">
        <v>14</v>
      </c>
      <c r="G309" t="s">
        <v>26</v>
      </c>
      <c r="H309">
        <v>1112</v>
      </c>
      <c r="I309" t="s">
        <v>936</v>
      </c>
      <c r="J309" t="s">
        <v>937</v>
      </c>
      <c r="K309">
        <v>7</v>
      </c>
      <c r="L309" t="s">
        <v>938</v>
      </c>
      <c r="M309" s="1" t="str">
        <f>TEXT(DATE(tbl_data[[#This Row],[Model_Year]],1,1),"yyyy")</f>
        <v>2006</v>
      </c>
      <c r="N309" s="1" t="str">
        <f>IF(tbl_data[[#This Row],[Kilometers_Driven]]&lt;50000,"&lt;50k",
IF(tbl_data[[#This Row],[Kilometers_Driven]]&lt;100000,"50k-100k",
IF(tbl_data[[#This Row],[Kilometers_Driven]]&lt;150000,"100k-150k","150k+")))</f>
        <v>150k+</v>
      </c>
      <c r="O309" s="1" t="str">
        <f>IF(tbl_data[[#This Row],[Price_USD]]&gt;=87089,"High",
IF(tbl_data[[#This Row],[Price_USD]]&gt;=56807,"Mid","Low"))</f>
        <v>High</v>
      </c>
      <c r="P309" s="1" t="str">
        <f>IF(tbl_data[[#This Row],[Transmission]]="Automatic","Auto","Manual")</f>
        <v>Manual</v>
      </c>
      <c r="Q309" s="1" t="str">
        <f>IFERROR(IF(VALUE(tbl_data[[#This Row],[Engine_CC]])=0,"",VALUE(tbl_data[[#This Row],[Price_USD]])/VALUE(tbl_data[[#This Row],[Engine_CC]])),"")</f>
        <v/>
      </c>
      <c r="R309" s="1" t="str">
        <f>TRIM(tbl_data[[#This Row],[Brand]])</f>
        <v>Mercedes</v>
      </c>
      <c r="S309" s="1">
        <f>_xlfn.NUMBERVALUE(tbl_data[[#This Row],[Price_USD]],".",",")</f>
        <v>33111.760000000002</v>
      </c>
    </row>
    <row r="310" spans="1:19" x14ac:dyDescent="0.3">
      <c r="A310">
        <v>309</v>
      </c>
      <c r="B310" t="s">
        <v>12</v>
      </c>
      <c r="C310">
        <v>2007</v>
      </c>
      <c r="D310">
        <v>164210</v>
      </c>
      <c r="E310" t="s">
        <v>20</v>
      </c>
      <c r="F310" t="s">
        <v>14</v>
      </c>
      <c r="G310" t="s">
        <v>15</v>
      </c>
      <c r="H310">
        <v>1720</v>
      </c>
      <c r="I310" t="s">
        <v>939</v>
      </c>
      <c r="J310" t="s">
        <v>940</v>
      </c>
      <c r="K310">
        <v>5</v>
      </c>
      <c r="L310" t="s">
        <v>941</v>
      </c>
      <c r="M310" s="1" t="str">
        <f>TEXT(DATE(tbl_data[[#This Row],[Model_Year]],1,1),"yyyy")</f>
        <v>2007</v>
      </c>
      <c r="N310" s="1" t="str">
        <f>IF(tbl_data[[#This Row],[Kilometers_Driven]]&lt;50000,"&lt;50k",
IF(tbl_data[[#This Row],[Kilometers_Driven]]&lt;100000,"50k-100k",
IF(tbl_data[[#This Row],[Kilometers_Driven]]&lt;150000,"100k-150k","150k+")))</f>
        <v>150k+</v>
      </c>
      <c r="O310" s="1" t="str">
        <f>IF(tbl_data[[#This Row],[Price_USD]]&gt;=87089,"High",
IF(tbl_data[[#This Row],[Price_USD]]&gt;=56807,"Mid","Low"))</f>
        <v>High</v>
      </c>
      <c r="P310" s="1" t="str">
        <f>IF(tbl_data[[#This Row],[Transmission]]="Automatic","Auto","Manual")</f>
        <v>Manual</v>
      </c>
      <c r="Q310" s="1" t="str">
        <f>IFERROR(IF(VALUE(tbl_data[[#This Row],[Engine_CC]])=0,"",VALUE(tbl_data[[#This Row],[Price_USD]])/VALUE(tbl_data[[#This Row],[Engine_CC]])),"")</f>
        <v/>
      </c>
      <c r="R310" s="1" t="str">
        <f>TRIM(tbl_data[[#This Row],[Brand]])</f>
        <v>Audi</v>
      </c>
      <c r="S310" s="1">
        <f>_xlfn.NUMBERVALUE(tbl_data[[#This Row],[Price_USD]],".",",")</f>
        <v>84140.65</v>
      </c>
    </row>
    <row r="311" spans="1:19" x14ac:dyDescent="0.3">
      <c r="A311">
        <v>310</v>
      </c>
      <c r="B311" t="s">
        <v>92</v>
      </c>
      <c r="C311">
        <v>2014</v>
      </c>
      <c r="D311">
        <v>97601</v>
      </c>
      <c r="E311" t="s">
        <v>20</v>
      </c>
      <c r="F311" t="s">
        <v>21</v>
      </c>
      <c r="G311" t="s">
        <v>15</v>
      </c>
      <c r="H311">
        <v>1877</v>
      </c>
      <c r="I311" t="s">
        <v>942</v>
      </c>
      <c r="J311" t="s">
        <v>943</v>
      </c>
      <c r="K311">
        <v>6</v>
      </c>
      <c r="L311" t="s">
        <v>944</v>
      </c>
      <c r="M311" s="1" t="str">
        <f>TEXT(DATE(tbl_data[[#This Row],[Model_Year]],1,1),"yyyy")</f>
        <v>2014</v>
      </c>
      <c r="N311" s="1" t="str">
        <f>IF(tbl_data[[#This Row],[Kilometers_Driven]]&lt;50000,"&lt;50k",
IF(tbl_data[[#This Row],[Kilometers_Driven]]&lt;100000,"50k-100k",
IF(tbl_data[[#This Row],[Kilometers_Driven]]&lt;150000,"100k-150k","150k+")))</f>
        <v>50k-100k</v>
      </c>
      <c r="O311" s="1" t="str">
        <f>IF(tbl_data[[#This Row],[Price_USD]]&gt;=87089,"High",
IF(tbl_data[[#This Row],[Price_USD]]&gt;=56807,"Mid","Low"))</f>
        <v>High</v>
      </c>
      <c r="P311" s="1" t="str">
        <f>IF(tbl_data[[#This Row],[Transmission]]="Automatic","Auto","Manual")</f>
        <v>Auto</v>
      </c>
      <c r="Q311" s="1" t="str">
        <f>IFERROR(IF(VALUE(tbl_data[[#This Row],[Engine_CC]])=0,"",VALUE(tbl_data[[#This Row],[Price_USD]])/VALUE(tbl_data[[#This Row],[Engine_CC]])),"")</f>
        <v/>
      </c>
      <c r="R311" s="1" t="str">
        <f>TRIM(tbl_data[[#This Row],[Brand]])</f>
        <v>Toyota</v>
      </c>
      <c r="S311" s="1">
        <f>_xlfn.NUMBERVALUE(tbl_data[[#This Row],[Price_USD]],".",",")</f>
        <v>7646.21</v>
      </c>
    </row>
    <row r="312" spans="1:19" x14ac:dyDescent="0.3">
      <c r="A312">
        <v>311</v>
      </c>
      <c r="B312" t="s">
        <v>43</v>
      </c>
      <c r="C312">
        <v>2006</v>
      </c>
      <c r="D312">
        <v>34956</v>
      </c>
      <c r="E312" t="s">
        <v>13</v>
      </c>
      <c r="F312" t="s">
        <v>14</v>
      </c>
      <c r="G312" t="s">
        <v>32</v>
      </c>
      <c r="H312">
        <v>3629</v>
      </c>
      <c r="I312" t="s">
        <v>945</v>
      </c>
      <c r="J312" t="s">
        <v>946</v>
      </c>
      <c r="K312">
        <v>5</v>
      </c>
      <c r="L312" t="s">
        <v>947</v>
      </c>
      <c r="M312" s="1" t="str">
        <f>TEXT(DATE(tbl_data[[#This Row],[Model_Year]],1,1),"yyyy")</f>
        <v>2006</v>
      </c>
      <c r="N312" s="1" t="str">
        <f>IF(tbl_data[[#This Row],[Kilometers_Driven]]&lt;50000,"&lt;50k",
IF(tbl_data[[#This Row],[Kilometers_Driven]]&lt;100000,"50k-100k",
IF(tbl_data[[#This Row],[Kilometers_Driven]]&lt;150000,"100k-150k","150k+")))</f>
        <v>&lt;50k</v>
      </c>
      <c r="O312" s="1" t="str">
        <f>IF(tbl_data[[#This Row],[Price_USD]]&gt;=87089,"High",
IF(tbl_data[[#This Row],[Price_USD]]&gt;=56807,"Mid","Low"))</f>
        <v>High</v>
      </c>
      <c r="P312" s="1" t="str">
        <f>IF(tbl_data[[#This Row],[Transmission]]="Automatic","Auto","Manual")</f>
        <v>Manual</v>
      </c>
      <c r="Q312" s="1" t="str">
        <f>IFERROR(IF(VALUE(tbl_data[[#This Row],[Engine_CC]])=0,"",VALUE(tbl_data[[#This Row],[Price_USD]])/VALUE(tbl_data[[#This Row],[Engine_CC]])),"")</f>
        <v/>
      </c>
      <c r="R312" s="1" t="str">
        <f>TRIM(tbl_data[[#This Row],[Brand]])</f>
        <v>Ford</v>
      </c>
      <c r="S312" s="1">
        <f>_xlfn.NUMBERVALUE(tbl_data[[#This Row],[Price_USD]],".",",")</f>
        <v>101210.74</v>
      </c>
    </row>
    <row r="313" spans="1:19" x14ac:dyDescent="0.3">
      <c r="A313">
        <v>312</v>
      </c>
      <c r="B313" t="s">
        <v>76</v>
      </c>
      <c r="C313">
        <v>2017</v>
      </c>
      <c r="D313">
        <v>109797</v>
      </c>
      <c r="E313" t="s">
        <v>31</v>
      </c>
      <c r="F313" t="s">
        <v>14</v>
      </c>
      <c r="G313" t="s">
        <v>32</v>
      </c>
      <c r="H313">
        <v>3181</v>
      </c>
      <c r="I313" t="s">
        <v>948</v>
      </c>
      <c r="J313" t="s">
        <v>949</v>
      </c>
      <c r="K313">
        <v>5</v>
      </c>
      <c r="L313" t="s">
        <v>950</v>
      </c>
      <c r="M313" s="1" t="str">
        <f>TEXT(DATE(tbl_data[[#This Row],[Model_Year]],1,1),"yyyy")</f>
        <v>2017</v>
      </c>
      <c r="N313" s="1" t="str">
        <f>IF(tbl_data[[#This Row],[Kilometers_Driven]]&lt;50000,"&lt;50k",
IF(tbl_data[[#This Row],[Kilometers_Driven]]&lt;100000,"50k-100k",
IF(tbl_data[[#This Row],[Kilometers_Driven]]&lt;150000,"100k-150k","150k+")))</f>
        <v>100k-150k</v>
      </c>
      <c r="O313" s="1" t="str">
        <f>IF(tbl_data[[#This Row],[Price_USD]]&gt;=87089,"High",
IF(tbl_data[[#This Row],[Price_USD]]&gt;=56807,"Mid","Low"))</f>
        <v>High</v>
      </c>
      <c r="P313" s="1" t="str">
        <f>IF(tbl_data[[#This Row],[Transmission]]="Automatic","Auto","Manual")</f>
        <v>Manual</v>
      </c>
      <c r="Q313" s="1" t="str">
        <f>IFERROR(IF(VALUE(tbl_data[[#This Row],[Engine_CC]])=0,"",VALUE(tbl_data[[#This Row],[Price_USD]])/VALUE(tbl_data[[#This Row],[Engine_CC]])),"")</f>
        <v/>
      </c>
      <c r="R313" s="1" t="str">
        <f>TRIM(tbl_data[[#This Row],[Brand]])</f>
        <v>Honda</v>
      </c>
      <c r="S313" s="1">
        <f>_xlfn.NUMBERVALUE(tbl_data[[#This Row],[Price_USD]],".",",")</f>
        <v>55435.99</v>
      </c>
    </row>
    <row r="314" spans="1:19" x14ac:dyDescent="0.3">
      <c r="A314">
        <v>313</v>
      </c>
      <c r="B314" t="s">
        <v>102</v>
      </c>
      <c r="C314">
        <v>2017</v>
      </c>
      <c r="D314">
        <v>129917</v>
      </c>
      <c r="E314" t="s">
        <v>44</v>
      </c>
      <c r="F314" t="s">
        <v>21</v>
      </c>
      <c r="G314" t="s">
        <v>32</v>
      </c>
      <c r="H314">
        <v>4418</v>
      </c>
      <c r="I314" t="s">
        <v>951</v>
      </c>
      <c r="J314" t="s">
        <v>952</v>
      </c>
      <c r="K314">
        <v>7</v>
      </c>
      <c r="L314" t="s">
        <v>953</v>
      </c>
      <c r="M314" s="1" t="str">
        <f>TEXT(DATE(tbl_data[[#This Row],[Model_Year]],1,1),"yyyy")</f>
        <v>2017</v>
      </c>
      <c r="N314" s="1" t="str">
        <f>IF(tbl_data[[#This Row],[Kilometers_Driven]]&lt;50000,"&lt;50k",
IF(tbl_data[[#This Row],[Kilometers_Driven]]&lt;100000,"50k-100k",
IF(tbl_data[[#This Row],[Kilometers_Driven]]&lt;150000,"100k-150k","150k+")))</f>
        <v>100k-150k</v>
      </c>
      <c r="O314" s="1" t="str">
        <f>IF(tbl_data[[#This Row],[Price_USD]]&gt;=87089,"High",
IF(tbl_data[[#This Row],[Price_USD]]&gt;=56807,"Mid","Low"))</f>
        <v>High</v>
      </c>
      <c r="P314" s="1" t="str">
        <f>IF(tbl_data[[#This Row],[Transmission]]="Automatic","Auto","Manual")</f>
        <v>Auto</v>
      </c>
      <c r="Q314" s="1" t="str">
        <f>IFERROR(IF(VALUE(tbl_data[[#This Row],[Engine_CC]])=0,"",VALUE(tbl_data[[#This Row],[Price_USD]])/VALUE(tbl_data[[#This Row],[Engine_CC]])),"")</f>
        <v/>
      </c>
      <c r="R314" s="1" t="str">
        <f>TRIM(tbl_data[[#This Row],[Brand]])</f>
        <v>Nissan</v>
      </c>
      <c r="S314" s="1">
        <f>_xlfn.NUMBERVALUE(tbl_data[[#This Row],[Price_USD]],".",",")</f>
        <v>77493.070000000007</v>
      </c>
    </row>
    <row r="315" spans="1:19" x14ac:dyDescent="0.3">
      <c r="A315">
        <v>314</v>
      </c>
      <c r="B315" t="s">
        <v>39</v>
      </c>
      <c r="C315">
        <v>2022</v>
      </c>
      <c r="D315">
        <v>131303</v>
      </c>
      <c r="E315" t="s">
        <v>20</v>
      </c>
      <c r="F315" t="s">
        <v>14</v>
      </c>
      <c r="G315" t="s">
        <v>26</v>
      </c>
      <c r="H315">
        <v>1597</v>
      </c>
      <c r="I315" t="s">
        <v>954</v>
      </c>
      <c r="J315" t="s">
        <v>955</v>
      </c>
      <c r="K315">
        <v>5</v>
      </c>
      <c r="L315" t="s">
        <v>956</v>
      </c>
      <c r="M315" s="1" t="str">
        <f>TEXT(DATE(tbl_data[[#This Row],[Model_Year]],1,1),"yyyy")</f>
        <v>2022</v>
      </c>
      <c r="N315" s="1" t="str">
        <f>IF(tbl_data[[#This Row],[Kilometers_Driven]]&lt;50000,"&lt;50k",
IF(tbl_data[[#This Row],[Kilometers_Driven]]&lt;100000,"50k-100k",
IF(tbl_data[[#This Row],[Kilometers_Driven]]&lt;150000,"100k-150k","150k+")))</f>
        <v>100k-150k</v>
      </c>
      <c r="O315" s="1" t="str">
        <f>IF(tbl_data[[#This Row],[Price_USD]]&gt;=87089,"High",
IF(tbl_data[[#This Row],[Price_USD]]&gt;=56807,"Mid","Low"))</f>
        <v>High</v>
      </c>
      <c r="P315" s="1" t="str">
        <f>IF(tbl_data[[#This Row],[Transmission]]="Automatic","Auto","Manual")</f>
        <v>Manual</v>
      </c>
      <c r="Q315" s="1" t="str">
        <f>IFERROR(IF(VALUE(tbl_data[[#This Row],[Engine_CC]])=0,"",VALUE(tbl_data[[#This Row],[Price_USD]])/VALUE(tbl_data[[#This Row],[Engine_CC]])),"")</f>
        <v/>
      </c>
      <c r="R315" s="1" t="str">
        <f>TRIM(tbl_data[[#This Row],[Brand]])</f>
        <v>Volkswagen</v>
      </c>
      <c r="S315" s="1">
        <f>_xlfn.NUMBERVALUE(tbl_data[[#This Row],[Price_USD]],".",",")</f>
        <v>28884.82</v>
      </c>
    </row>
    <row r="316" spans="1:19" x14ac:dyDescent="0.3">
      <c r="A316">
        <v>315</v>
      </c>
      <c r="B316" t="s">
        <v>69</v>
      </c>
      <c r="C316">
        <v>2007</v>
      </c>
      <c r="D316">
        <v>141511</v>
      </c>
      <c r="E316" t="s">
        <v>31</v>
      </c>
      <c r="F316" t="s">
        <v>21</v>
      </c>
      <c r="G316" t="s">
        <v>15</v>
      </c>
      <c r="H316">
        <v>1072</v>
      </c>
      <c r="I316" t="s">
        <v>957</v>
      </c>
      <c r="J316" t="s">
        <v>958</v>
      </c>
      <c r="K316">
        <v>4</v>
      </c>
      <c r="L316" t="s">
        <v>959</v>
      </c>
      <c r="M316" s="1" t="str">
        <f>TEXT(DATE(tbl_data[[#This Row],[Model_Year]],1,1),"yyyy")</f>
        <v>2007</v>
      </c>
      <c r="N316" s="1" t="str">
        <f>IF(tbl_data[[#This Row],[Kilometers_Driven]]&lt;50000,"&lt;50k",
IF(tbl_data[[#This Row],[Kilometers_Driven]]&lt;100000,"50k-100k",
IF(tbl_data[[#This Row],[Kilometers_Driven]]&lt;150000,"100k-150k","150k+")))</f>
        <v>100k-150k</v>
      </c>
      <c r="O316" s="1" t="str">
        <f>IF(tbl_data[[#This Row],[Price_USD]]&gt;=87089,"High",
IF(tbl_data[[#This Row],[Price_USD]]&gt;=56807,"Mid","Low"))</f>
        <v>High</v>
      </c>
      <c r="P316" s="1" t="str">
        <f>IF(tbl_data[[#This Row],[Transmission]]="Automatic","Auto","Manual")</f>
        <v>Auto</v>
      </c>
      <c r="Q316" s="1" t="str">
        <f>IFERROR(IF(VALUE(tbl_data[[#This Row],[Engine_CC]])=0,"",VALUE(tbl_data[[#This Row],[Price_USD]])/VALUE(tbl_data[[#This Row],[Engine_CC]])),"")</f>
        <v/>
      </c>
      <c r="R316" s="1" t="str">
        <f>TRIM(tbl_data[[#This Row],[Brand]])</f>
        <v>Hyundai</v>
      </c>
      <c r="S316" s="1">
        <f>_xlfn.NUMBERVALUE(tbl_data[[#This Row],[Price_USD]],".",",")</f>
        <v>82217.62</v>
      </c>
    </row>
    <row r="317" spans="1:19" x14ac:dyDescent="0.3">
      <c r="A317">
        <v>316</v>
      </c>
      <c r="B317" t="s">
        <v>39</v>
      </c>
      <c r="C317">
        <v>2011</v>
      </c>
      <c r="D317">
        <v>183313</v>
      </c>
      <c r="E317" t="s">
        <v>31</v>
      </c>
      <c r="F317" t="s">
        <v>14</v>
      </c>
      <c r="G317" t="s">
        <v>26</v>
      </c>
      <c r="H317">
        <v>3810</v>
      </c>
      <c r="I317" t="s">
        <v>960</v>
      </c>
      <c r="J317" t="s">
        <v>961</v>
      </c>
      <c r="K317">
        <v>5</v>
      </c>
      <c r="L317" t="s">
        <v>962</v>
      </c>
      <c r="M317" s="1" t="str">
        <f>TEXT(DATE(tbl_data[[#This Row],[Model_Year]],1,1),"yyyy")</f>
        <v>2011</v>
      </c>
      <c r="N317" s="1" t="str">
        <f>IF(tbl_data[[#This Row],[Kilometers_Driven]]&lt;50000,"&lt;50k",
IF(tbl_data[[#This Row],[Kilometers_Driven]]&lt;100000,"50k-100k",
IF(tbl_data[[#This Row],[Kilometers_Driven]]&lt;150000,"100k-150k","150k+")))</f>
        <v>150k+</v>
      </c>
      <c r="O317" s="1" t="str">
        <f>IF(tbl_data[[#This Row],[Price_USD]]&gt;=87089,"High",
IF(tbl_data[[#This Row],[Price_USD]]&gt;=56807,"Mid","Low"))</f>
        <v>High</v>
      </c>
      <c r="P317" s="1" t="str">
        <f>IF(tbl_data[[#This Row],[Transmission]]="Automatic","Auto","Manual")</f>
        <v>Manual</v>
      </c>
      <c r="Q317" s="1" t="str">
        <f>IFERROR(IF(VALUE(tbl_data[[#This Row],[Engine_CC]])=0,"",VALUE(tbl_data[[#This Row],[Price_USD]])/VALUE(tbl_data[[#This Row],[Engine_CC]])),"")</f>
        <v/>
      </c>
      <c r="R317" s="1" t="str">
        <f>TRIM(tbl_data[[#This Row],[Brand]])</f>
        <v>Volkswagen</v>
      </c>
      <c r="S317" s="1">
        <f>_xlfn.NUMBERVALUE(tbl_data[[#This Row],[Price_USD]],".",",")</f>
        <v>93352.11</v>
      </c>
    </row>
    <row r="318" spans="1:19" x14ac:dyDescent="0.3">
      <c r="A318">
        <v>317</v>
      </c>
      <c r="B318" t="s">
        <v>43</v>
      </c>
      <c r="C318">
        <v>2018</v>
      </c>
      <c r="D318">
        <v>47533</v>
      </c>
      <c r="E318" t="s">
        <v>13</v>
      </c>
      <c r="F318" t="s">
        <v>21</v>
      </c>
      <c r="G318" t="s">
        <v>15</v>
      </c>
      <c r="H318">
        <v>2573</v>
      </c>
      <c r="I318" t="s">
        <v>963</v>
      </c>
      <c r="J318" t="s">
        <v>964</v>
      </c>
      <c r="K318">
        <v>4</v>
      </c>
      <c r="L318" t="s">
        <v>965</v>
      </c>
      <c r="M318" s="1" t="str">
        <f>TEXT(DATE(tbl_data[[#This Row],[Model_Year]],1,1),"yyyy")</f>
        <v>2018</v>
      </c>
      <c r="N318" s="1" t="str">
        <f>IF(tbl_data[[#This Row],[Kilometers_Driven]]&lt;50000,"&lt;50k",
IF(tbl_data[[#This Row],[Kilometers_Driven]]&lt;100000,"50k-100k",
IF(tbl_data[[#This Row],[Kilometers_Driven]]&lt;150000,"100k-150k","150k+")))</f>
        <v>&lt;50k</v>
      </c>
      <c r="O318" s="1" t="str">
        <f>IF(tbl_data[[#This Row],[Price_USD]]&gt;=87089,"High",
IF(tbl_data[[#This Row],[Price_USD]]&gt;=56807,"Mid","Low"))</f>
        <v>High</v>
      </c>
      <c r="P318" s="1" t="str">
        <f>IF(tbl_data[[#This Row],[Transmission]]="Automatic","Auto","Manual")</f>
        <v>Auto</v>
      </c>
      <c r="Q318" s="1" t="str">
        <f>IFERROR(IF(VALUE(tbl_data[[#This Row],[Engine_CC]])=0,"",VALUE(tbl_data[[#This Row],[Price_USD]])/VALUE(tbl_data[[#This Row],[Engine_CC]])),"")</f>
        <v/>
      </c>
      <c r="R318" s="1" t="str">
        <f>TRIM(tbl_data[[#This Row],[Brand]])</f>
        <v>Ford</v>
      </c>
      <c r="S318" s="1">
        <f>_xlfn.NUMBERVALUE(tbl_data[[#This Row],[Price_USD]],".",",")</f>
        <v>58365.94</v>
      </c>
    </row>
    <row r="319" spans="1:19" x14ac:dyDescent="0.3">
      <c r="A319">
        <v>318</v>
      </c>
      <c r="B319" t="s">
        <v>25</v>
      </c>
      <c r="C319">
        <v>2024</v>
      </c>
      <c r="D319">
        <v>164342</v>
      </c>
      <c r="E319" t="s">
        <v>31</v>
      </c>
      <c r="F319" t="s">
        <v>14</v>
      </c>
      <c r="G319" t="s">
        <v>26</v>
      </c>
      <c r="H319">
        <v>3347</v>
      </c>
      <c r="I319" t="s">
        <v>966</v>
      </c>
      <c r="J319" t="s">
        <v>967</v>
      </c>
      <c r="K319">
        <v>7</v>
      </c>
      <c r="L319" t="s">
        <v>968</v>
      </c>
      <c r="M319" s="1" t="str">
        <f>TEXT(DATE(tbl_data[[#This Row],[Model_Year]],1,1),"yyyy")</f>
        <v>2024</v>
      </c>
      <c r="N319" s="1" t="str">
        <f>IF(tbl_data[[#This Row],[Kilometers_Driven]]&lt;50000,"&lt;50k",
IF(tbl_data[[#This Row],[Kilometers_Driven]]&lt;100000,"50k-100k",
IF(tbl_data[[#This Row],[Kilometers_Driven]]&lt;150000,"100k-150k","150k+")))</f>
        <v>150k+</v>
      </c>
      <c r="O319" s="1" t="str">
        <f>IF(tbl_data[[#This Row],[Price_USD]]&gt;=87089,"High",
IF(tbl_data[[#This Row],[Price_USD]]&gt;=56807,"Mid","Low"))</f>
        <v>High</v>
      </c>
      <c r="P319" s="1" t="str">
        <f>IF(tbl_data[[#This Row],[Transmission]]="Automatic","Auto","Manual")</f>
        <v>Manual</v>
      </c>
      <c r="Q319" s="1" t="str">
        <f>IFERROR(IF(VALUE(tbl_data[[#This Row],[Engine_CC]])=0,"",VALUE(tbl_data[[#This Row],[Price_USD]])/VALUE(tbl_data[[#This Row],[Engine_CC]])),"")</f>
        <v/>
      </c>
      <c r="R319" s="1" t="str">
        <f>TRIM(tbl_data[[#This Row],[Brand]])</f>
        <v>Kia</v>
      </c>
      <c r="S319" s="1">
        <f>_xlfn.NUMBERVALUE(tbl_data[[#This Row],[Price_USD]],".",",")</f>
        <v>75274.05</v>
      </c>
    </row>
    <row r="320" spans="1:19" x14ac:dyDescent="0.3">
      <c r="A320">
        <v>319</v>
      </c>
      <c r="B320" t="s">
        <v>25</v>
      </c>
      <c r="C320">
        <v>2021</v>
      </c>
      <c r="D320">
        <v>83815</v>
      </c>
      <c r="E320" t="s">
        <v>13</v>
      </c>
      <c r="F320" t="s">
        <v>21</v>
      </c>
      <c r="G320" t="s">
        <v>32</v>
      </c>
      <c r="H320">
        <v>3964</v>
      </c>
      <c r="I320" t="s">
        <v>969</v>
      </c>
      <c r="J320" t="s">
        <v>970</v>
      </c>
      <c r="K320">
        <v>6</v>
      </c>
      <c r="L320" t="s">
        <v>971</v>
      </c>
      <c r="M320" s="1" t="str">
        <f>TEXT(DATE(tbl_data[[#This Row],[Model_Year]],1,1),"yyyy")</f>
        <v>2021</v>
      </c>
      <c r="N320" s="1" t="str">
        <f>IF(tbl_data[[#This Row],[Kilometers_Driven]]&lt;50000,"&lt;50k",
IF(tbl_data[[#This Row],[Kilometers_Driven]]&lt;100000,"50k-100k",
IF(tbl_data[[#This Row],[Kilometers_Driven]]&lt;150000,"100k-150k","150k+")))</f>
        <v>50k-100k</v>
      </c>
      <c r="O320" s="1" t="str">
        <f>IF(tbl_data[[#This Row],[Price_USD]]&gt;=87089,"High",
IF(tbl_data[[#This Row],[Price_USD]]&gt;=56807,"Mid","Low"))</f>
        <v>High</v>
      </c>
      <c r="P320" s="1" t="str">
        <f>IF(tbl_data[[#This Row],[Transmission]]="Automatic","Auto","Manual")</f>
        <v>Auto</v>
      </c>
      <c r="Q320" s="1" t="str">
        <f>IFERROR(IF(VALUE(tbl_data[[#This Row],[Engine_CC]])=0,"",VALUE(tbl_data[[#This Row],[Price_USD]])/VALUE(tbl_data[[#This Row],[Engine_CC]])),"")</f>
        <v/>
      </c>
      <c r="R320" s="1" t="str">
        <f>TRIM(tbl_data[[#This Row],[Brand]])</f>
        <v>Kia</v>
      </c>
      <c r="S320" s="1">
        <f>_xlfn.NUMBERVALUE(tbl_data[[#This Row],[Price_USD]],".",",")</f>
        <v>56390.13</v>
      </c>
    </row>
    <row r="321" spans="1:19" x14ac:dyDescent="0.3">
      <c r="A321">
        <v>320</v>
      </c>
      <c r="B321" t="s">
        <v>76</v>
      </c>
      <c r="C321">
        <v>2016</v>
      </c>
      <c r="D321">
        <v>44279</v>
      </c>
      <c r="E321" t="s">
        <v>20</v>
      </c>
      <c r="F321" t="s">
        <v>21</v>
      </c>
      <c r="G321" t="s">
        <v>32</v>
      </c>
      <c r="H321">
        <v>1746</v>
      </c>
      <c r="I321" t="s">
        <v>972</v>
      </c>
      <c r="J321" t="s">
        <v>973</v>
      </c>
      <c r="K321">
        <v>4</v>
      </c>
      <c r="L321" t="s">
        <v>974</v>
      </c>
      <c r="M321" s="1" t="str">
        <f>TEXT(DATE(tbl_data[[#This Row],[Model_Year]],1,1),"yyyy")</f>
        <v>2016</v>
      </c>
      <c r="N321" s="1" t="str">
        <f>IF(tbl_data[[#This Row],[Kilometers_Driven]]&lt;50000,"&lt;50k",
IF(tbl_data[[#This Row],[Kilometers_Driven]]&lt;100000,"50k-100k",
IF(tbl_data[[#This Row],[Kilometers_Driven]]&lt;150000,"100k-150k","150k+")))</f>
        <v>&lt;50k</v>
      </c>
      <c r="O321" s="1" t="str">
        <f>IF(tbl_data[[#This Row],[Price_USD]]&gt;=87089,"High",
IF(tbl_data[[#This Row],[Price_USD]]&gt;=56807,"Mid","Low"))</f>
        <v>High</v>
      </c>
      <c r="P321" s="1" t="str">
        <f>IF(tbl_data[[#This Row],[Transmission]]="Automatic","Auto","Manual")</f>
        <v>Auto</v>
      </c>
      <c r="Q321" s="1" t="str">
        <f>IFERROR(IF(VALUE(tbl_data[[#This Row],[Engine_CC]])=0,"",VALUE(tbl_data[[#This Row],[Price_USD]])/VALUE(tbl_data[[#This Row],[Engine_CC]])),"")</f>
        <v/>
      </c>
      <c r="R321" s="1" t="str">
        <f>TRIM(tbl_data[[#This Row],[Brand]])</f>
        <v>Honda</v>
      </c>
      <c r="S321" s="1">
        <f>_xlfn.NUMBERVALUE(tbl_data[[#This Row],[Price_USD]],".",",")</f>
        <v>107608.69</v>
      </c>
    </row>
    <row r="322" spans="1:19" x14ac:dyDescent="0.3">
      <c r="A322">
        <v>321</v>
      </c>
      <c r="B322" t="s">
        <v>69</v>
      </c>
      <c r="C322">
        <v>2020</v>
      </c>
      <c r="D322">
        <v>114787</v>
      </c>
      <c r="E322" t="s">
        <v>20</v>
      </c>
      <c r="F322" t="s">
        <v>21</v>
      </c>
      <c r="G322" t="s">
        <v>32</v>
      </c>
      <c r="H322">
        <v>3465</v>
      </c>
      <c r="I322" t="s">
        <v>975</v>
      </c>
      <c r="J322" t="s">
        <v>976</v>
      </c>
      <c r="K322">
        <v>6</v>
      </c>
      <c r="L322" t="s">
        <v>977</v>
      </c>
      <c r="M322" s="1" t="str">
        <f>TEXT(DATE(tbl_data[[#This Row],[Model_Year]],1,1),"yyyy")</f>
        <v>2020</v>
      </c>
      <c r="N322" s="1" t="str">
        <f>IF(tbl_data[[#This Row],[Kilometers_Driven]]&lt;50000,"&lt;50k",
IF(tbl_data[[#This Row],[Kilometers_Driven]]&lt;100000,"50k-100k",
IF(tbl_data[[#This Row],[Kilometers_Driven]]&lt;150000,"100k-150k","150k+")))</f>
        <v>100k-150k</v>
      </c>
      <c r="O322" s="1" t="str">
        <f>IF(tbl_data[[#This Row],[Price_USD]]&gt;=87089,"High",
IF(tbl_data[[#This Row],[Price_USD]]&gt;=56807,"Mid","Low"))</f>
        <v>High</v>
      </c>
      <c r="P322" s="1" t="str">
        <f>IF(tbl_data[[#This Row],[Transmission]]="Automatic","Auto","Manual")</f>
        <v>Auto</v>
      </c>
      <c r="Q322" s="1" t="str">
        <f>IFERROR(IF(VALUE(tbl_data[[#This Row],[Engine_CC]])=0,"",VALUE(tbl_data[[#This Row],[Price_USD]])/VALUE(tbl_data[[#This Row],[Engine_CC]])),"")</f>
        <v/>
      </c>
      <c r="R322" s="1" t="str">
        <f>TRIM(tbl_data[[#This Row],[Brand]])</f>
        <v>Hyundai</v>
      </c>
      <c r="S322" s="1">
        <f>_xlfn.NUMBERVALUE(tbl_data[[#This Row],[Price_USD]],".",",")</f>
        <v>61250.69</v>
      </c>
    </row>
    <row r="323" spans="1:19" x14ac:dyDescent="0.3">
      <c r="A323">
        <v>322</v>
      </c>
      <c r="B323" t="s">
        <v>12</v>
      </c>
      <c r="C323">
        <v>2016</v>
      </c>
      <c r="D323">
        <v>159960</v>
      </c>
      <c r="E323" t="s">
        <v>44</v>
      </c>
      <c r="F323" t="s">
        <v>21</v>
      </c>
      <c r="G323" t="s">
        <v>26</v>
      </c>
      <c r="H323">
        <v>1306</v>
      </c>
      <c r="I323" t="s">
        <v>978</v>
      </c>
      <c r="J323" t="s">
        <v>979</v>
      </c>
      <c r="K323">
        <v>6</v>
      </c>
      <c r="L323" t="s">
        <v>980</v>
      </c>
      <c r="M323" s="1" t="str">
        <f>TEXT(DATE(tbl_data[[#This Row],[Model_Year]],1,1),"yyyy")</f>
        <v>2016</v>
      </c>
      <c r="N323" s="1" t="str">
        <f>IF(tbl_data[[#This Row],[Kilometers_Driven]]&lt;50000,"&lt;50k",
IF(tbl_data[[#This Row],[Kilometers_Driven]]&lt;100000,"50k-100k",
IF(tbl_data[[#This Row],[Kilometers_Driven]]&lt;150000,"100k-150k","150k+")))</f>
        <v>150k+</v>
      </c>
      <c r="O323" s="1" t="str">
        <f>IF(tbl_data[[#This Row],[Price_USD]]&gt;=87089,"High",
IF(tbl_data[[#This Row],[Price_USD]]&gt;=56807,"Mid","Low"))</f>
        <v>High</v>
      </c>
      <c r="P323" s="1" t="str">
        <f>IF(tbl_data[[#This Row],[Transmission]]="Automatic","Auto","Manual")</f>
        <v>Auto</v>
      </c>
      <c r="Q323" s="1" t="str">
        <f>IFERROR(IF(VALUE(tbl_data[[#This Row],[Engine_CC]])=0,"",VALUE(tbl_data[[#This Row],[Price_USD]])/VALUE(tbl_data[[#This Row],[Engine_CC]])),"")</f>
        <v/>
      </c>
      <c r="R323" s="1" t="str">
        <f>TRIM(tbl_data[[#This Row],[Brand]])</f>
        <v>Audi</v>
      </c>
      <c r="S323" s="1">
        <f>_xlfn.NUMBERVALUE(tbl_data[[#This Row],[Price_USD]],".",",")</f>
        <v>101491.62</v>
      </c>
    </row>
    <row r="324" spans="1:19" x14ac:dyDescent="0.3">
      <c r="A324">
        <v>323</v>
      </c>
      <c r="B324" t="s">
        <v>76</v>
      </c>
      <c r="C324">
        <v>2019</v>
      </c>
      <c r="D324">
        <v>153702</v>
      </c>
      <c r="E324" t="s">
        <v>44</v>
      </c>
      <c r="F324" t="s">
        <v>14</v>
      </c>
      <c r="G324" t="s">
        <v>15</v>
      </c>
      <c r="H324">
        <v>1043</v>
      </c>
      <c r="I324" t="s">
        <v>981</v>
      </c>
      <c r="J324" t="s">
        <v>982</v>
      </c>
      <c r="K324">
        <v>4</v>
      </c>
      <c r="L324" t="s">
        <v>983</v>
      </c>
      <c r="M324" s="1" t="str">
        <f>TEXT(DATE(tbl_data[[#This Row],[Model_Year]],1,1),"yyyy")</f>
        <v>2019</v>
      </c>
      <c r="N324" s="1" t="str">
        <f>IF(tbl_data[[#This Row],[Kilometers_Driven]]&lt;50000,"&lt;50k",
IF(tbl_data[[#This Row],[Kilometers_Driven]]&lt;100000,"50k-100k",
IF(tbl_data[[#This Row],[Kilometers_Driven]]&lt;150000,"100k-150k","150k+")))</f>
        <v>150k+</v>
      </c>
      <c r="O324" s="1" t="str">
        <f>IF(tbl_data[[#This Row],[Price_USD]]&gt;=87089,"High",
IF(tbl_data[[#This Row],[Price_USD]]&gt;=56807,"Mid","Low"))</f>
        <v>High</v>
      </c>
      <c r="P324" s="1" t="str">
        <f>IF(tbl_data[[#This Row],[Transmission]]="Automatic","Auto","Manual")</f>
        <v>Manual</v>
      </c>
      <c r="Q324" s="1" t="str">
        <f>IFERROR(IF(VALUE(tbl_data[[#This Row],[Engine_CC]])=0,"",VALUE(tbl_data[[#This Row],[Price_USD]])/VALUE(tbl_data[[#This Row],[Engine_CC]])),"")</f>
        <v/>
      </c>
      <c r="R324" s="1" t="str">
        <f>TRIM(tbl_data[[#This Row],[Brand]])</f>
        <v>Honda</v>
      </c>
      <c r="S324" s="1">
        <f>_xlfn.NUMBERVALUE(tbl_data[[#This Row],[Price_USD]],".",",")</f>
        <v>96758.19</v>
      </c>
    </row>
    <row r="325" spans="1:19" x14ac:dyDescent="0.3">
      <c r="A325">
        <v>324</v>
      </c>
      <c r="B325" t="s">
        <v>39</v>
      </c>
      <c r="C325">
        <v>2014</v>
      </c>
      <c r="D325">
        <v>66063</v>
      </c>
      <c r="E325" t="s">
        <v>44</v>
      </c>
      <c r="F325" t="s">
        <v>14</v>
      </c>
      <c r="G325" t="s">
        <v>15</v>
      </c>
      <c r="H325">
        <v>1305</v>
      </c>
      <c r="I325" t="s">
        <v>984</v>
      </c>
      <c r="J325" t="s">
        <v>985</v>
      </c>
      <c r="K325">
        <v>7</v>
      </c>
      <c r="L325" t="s">
        <v>986</v>
      </c>
      <c r="M325" s="1" t="str">
        <f>TEXT(DATE(tbl_data[[#This Row],[Model_Year]],1,1),"yyyy")</f>
        <v>2014</v>
      </c>
      <c r="N325" s="1" t="str">
        <f>IF(tbl_data[[#This Row],[Kilometers_Driven]]&lt;50000,"&lt;50k",
IF(tbl_data[[#This Row],[Kilometers_Driven]]&lt;100000,"50k-100k",
IF(tbl_data[[#This Row],[Kilometers_Driven]]&lt;150000,"100k-150k","150k+")))</f>
        <v>50k-100k</v>
      </c>
      <c r="O325" s="1" t="str">
        <f>IF(tbl_data[[#This Row],[Price_USD]]&gt;=87089,"High",
IF(tbl_data[[#This Row],[Price_USD]]&gt;=56807,"Mid","Low"))</f>
        <v>High</v>
      </c>
      <c r="P325" s="1" t="str">
        <f>IF(tbl_data[[#This Row],[Transmission]]="Automatic","Auto","Manual")</f>
        <v>Manual</v>
      </c>
      <c r="Q325" s="1" t="str">
        <f>IFERROR(IF(VALUE(tbl_data[[#This Row],[Engine_CC]])=0,"",VALUE(tbl_data[[#This Row],[Price_USD]])/VALUE(tbl_data[[#This Row],[Engine_CC]])),"")</f>
        <v/>
      </c>
      <c r="R325" s="1" t="str">
        <f>TRIM(tbl_data[[#This Row],[Brand]])</f>
        <v>Volkswagen</v>
      </c>
      <c r="S325" s="1">
        <f>_xlfn.NUMBERVALUE(tbl_data[[#This Row],[Price_USD]],".",",")</f>
        <v>51029.06</v>
      </c>
    </row>
    <row r="326" spans="1:19" x14ac:dyDescent="0.3">
      <c r="A326">
        <v>325</v>
      </c>
      <c r="B326" t="s">
        <v>76</v>
      </c>
      <c r="C326">
        <v>2011</v>
      </c>
      <c r="D326">
        <v>132896</v>
      </c>
      <c r="E326" t="s">
        <v>31</v>
      </c>
      <c r="F326" t="s">
        <v>21</v>
      </c>
      <c r="G326" t="s">
        <v>32</v>
      </c>
      <c r="H326">
        <v>3958</v>
      </c>
      <c r="I326" t="s">
        <v>987</v>
      </c>
      <c r="J326" t="s">
        <v>988</v>
      </c>
      <c r="K326">
        <v>2</v>
      </c>
      <c r="L326" t="s">
        <v>989</v>
      </c>
      <c r="M326" s="1" t="str">
        <f>TEXT(DATE(tbl_data[[#This Row],[Model_Year]],1,1),"yyyy")</f>
        <v>2011</v>
      </c>
      <c r="N326" s="1" t="str">
        <f>IF(tbl_data[[#This Row],[Kilometers_Driven]]&lt;50000,"&lt;50k",
IF(tbl_data[[#This Row],[Kilometers_Driven]]&lt;100000,"50k-100k",
IF(tbl_data[[#This Row],[Kilometers_Driven]]&lt;150000,"100k-150k","150k+")))</f>
        <v>100k-150k</v>
      </c>
      <c r="O326" s="1" t="str">
        <f>IF(tbl_data[[#This Row],[Price_USD]]&gt;=87089,"High",
IF(tbl_data[[#This Row],[Price_USD]]&gt;=56807,"Mid","Low"))</f>
        <v>High</v>
      </c>
      <c r="P326" s="1" t="str">
        <f>IF(tbl_data[[#This Row],[Transmission]]="Automatic","Auto","Manual")</f>
        <v>Auto</v>
      </c>
      <c r="Q326" s="1" t="str">
        <f>IFERROR(IF(VALUE(tbl_data[[#This Row],[Engine_CC]])=0,"",VALUE(tbl_data[[#This Row],[Price_USD]])/VALUE(tbl_data[[#This Row],[Engine_CC]])),"")</f>
        <v/>
      </c>
      <c r="R326" s="1" t="str">
        <f>TRIM(tbl_data[[#This Row],[Brand]])</f>
        <v>Honda</v>
      </c>
      <c r="S326" s="1">
        <f>_xlfn.NUMBERVALUE(tbl_data[[#This Row],[Price_USD]],".",",")</f>
        <v>29919.89</v>
      </c>
    </row>
    <row r="327" spans="1:19" x14ac:dyDescent="0.3">
      <c r="A327">
        <v>326</v>
      </c>
      <c r="B327" t="s">
        <v>39</v>
      </c>
      <c r="C327">
        <v>2024</v>
      </c>
      <c r="D327">
        <v>171216</v>
      </c>
      <c r="E327" t="s">
        <v>20</v>
      </c>
      <c r="F327" t="s">
        <v>14</v>
      </c>
      <c r="G327" t="s">
        <v>32</v>
      </c>
      <c r="H327">
        <v>4390</v>
      </c>
      <c r="I327" t="s">
        <v>990</v>
      </c>
      <c r="J327" t="s">
        <v>991</v>
      </c>
      <c r="K327">
        <v>6</v>
      </c>
      <c r="L327" t="s">
        <v>992</v>
      </c>
      <c r="M327" s="1" t="str">
        <f>TEXT(DATE(tbl_data[[#This Row],[Model_Year]],1,1),"yyyy")</f>
        <v>2024</v>
      </c>
      <c r="N327" s="1" t="str">
        <f>IF(tbl_data[[#This Row],[Kilometers_Driven]]&lt;50000,"&lt;50k",
IF(tbl_data[[#This Row],[Kilometers_Driven]]&lt;100000,"50k-100k",
IF(tbl_data[[#This Row],[Kilometers_Driven]]&lt;150000,"100k-150k","150k+")))</f>
        <v>150k+</v>
      </c>
      <c r="O327" s="1" t="str">
        <f>IF(tbl_data[[#This Row],[Price_USD]]&gt;=87089,"High",
IF(tbl_data[[#This Row],[Price_USD]]&gt;=56807,"Mid","Low"))</f>
        <v>High</v>
      </c>
      <c r="P327" s="1" t="str">
        <f>IF(tbl_data[[#This Row],[Transmission]]="Automatic","Auto","Manual")</f>
        <v>Manual</v>
      </c>
      <c r="Q327" s="1" t="str">
        <f>IFERROR(IF(VALUE(tbl_data[[#This Row],[Engine_CC]])=0,"",VALUE(tbl_data[[#This Row],[Price_USD]])/VALUE(tbl_data[[#This Row],[Engine_CC]])),"")</f>
        <v/>
      </c>
      <c r="R327" s="1" t="str">
        <f>TRIM(tbl_data[[#This Row],[Brand]])</f>
        <v>Volkswagen</v>
      </c>
      <c r="S327" s="1">
        <f>_xlfn.NUMBERVALUE(tbl_data[[#This Row],[Price_USD]],".",",")</f>
        <v>50511.61</v>
      </c>
    </row>
    <row r="328" spans="1:19" x14ac:dyDescent="0.3">
      <c r="A328">
        <v>327</v>
      </c>
      <c r="B328" t="s">
        <v>92</v>
      </c>
      <c r="C328">
        <v>2009</v>
      </c>
      <c r="D328">
        <v>188233</v>
      </c>
      <c r="E328" t="s">
        <v>13</v>
      </c>
      <c r="F328" t="s">
        <v>14</v>
      </c>
      <c r="G328" t="s">
        <v>32</v>
      </c>
      <c r="H328">
        <v>2672</v>
      </c>
      <c r="I328" t="s">
        <v>993</v>
      </c>
      <c r="J328" t="s">
        <v>508</v>
      </c>
      <c r="K328">
        <v>6</v>
      </c>
      <c r="L328" t="s">
        <v>994</v>
      </c>
      <c r="M328" s="1" t="str">
        <f>TEXT(DATE(tbl_data[[#This Row],[Model_Year]],1,1),"yyyy")</f>
        <v>2009</v>
      </c>
      <c r="N328" s="1" t="str">
        <f>IF(tbl_data[[#This Row],[Kilometers_Driven]]&lt;50000,"&lt;50k",
IF(tbl_data[[#This Row],[Kilometers_Driven]]&lt;100000,"50k-100k",
IF(tbl_data[[#This Row],[Kilometers_Driven]]&lt;150000,"100k-150k","150k+")))</f>
        <v>150k+</v>
      </c>
      <c r="O328" s="1" t="str">
        <f>IF(tbl_data[[#This Row],[Price_USD]]&gt;=87089,"High",
IF(tbl_data[[#This Row],[Price_USD]]&gt;=56807,"Mid","Low"))</f>
        <v>High</v>
      </c>
      <c r="P328" s="1" t="str">
        <f>IF(tbl_data[[#This Row],[Transmission]]="Automatic","Auto","Manual")</f>
        <v>Manual</v>
      </c>
      <c r="Q328" s="1" t="str">
        <f>IFERROR(IF(VALUE(tbl_data[[#This Row],[Engine_CC]])=0,"",VALUE(tbl_data[[#This Row],[Price_USD]])/VALUE(tbl_data[[#This Row],[Engine_CC]])),"")</f>
        <v/>
      </c>
      <c r="R328" s="1" t="str">
        <f>TRIM(tbl_data[[#This Row],[Brand]])</f>
        <v>Toyota</v>
      </c>
      <c r="S328" s="1">
        <f>_xlfn.NUMBERVALUE(tbl_data[[#This Row],[Price_USD]],".",",")</f>
        <v>99667.43</v>
      </c>
    </row>
    <row r="329" spans="1:19" x14ac:dyDescent="0.3">
      <c r="A329">
        <v>328</v>
      </c>
      <c r="B329" t="s">
        <v>25</v>
      </c>
      <c r="C329">
        <v>2005</v>
      </c>
      <c r="D329">
        <v>187051</v>
      </c>
      <c r="E329" t="s">
        <v>44</v>
      </c>
      <c r="F329" t="s">
        <v>14</v>
      </c>
      <c r="G329" t="s">
        <v>32</v>
      </c>
      <c r="H329">
        <v>4593</v>
      </c>
      <c r="I329" t="s">
        <v>995</v>
      </c>
      <c r="J329" t="s">
        <v>996</v>
      </c>
      <c r="K329">
        <v>7</v>
      </c>
      <c r="L329" t="s">
        <v>997</v>
      </c>
      <c r="M329" s="1" t="str">
        <f>TEXT(DATE(tbl_data[[#This Row],[Model_Year]],1,1),"yyyy")</f>
        <v>2005</v>
      </c>
      <c r="N329" s="1" t="str">
        <f>IF(tbl_data[[#This Row],[Kilometers_Driven]]&lt;50000,"&lt;50k",
IF(tbl_data[[#This Row],[Kilometers_Driven]]&lt;100000,"50k-100k",
IF(tbl_data[[#This Row],[Kilometers_Driven]]&lt;150000,"100k-150k","150k+")))</f>
        <v>150k+</v>
      </c>
      <c r="O329" s="1" t="str">
        <f>IF(tbl_data[[#This Row],[Price_USD]]&gt;=87089,"High",
IF(tbl_data[[#This Row],[Price_USD]]&gt;=56807,"Mid","Low"))</f>
        <v>High</v>
      </c>
      <c r="P329" s="1" t="str">
        <f>IF(tbl_data[[#This Row],[Transmission]]="Automatic","Auto","Manual")</f>
        <v>Manual</v>
      </c>
      <c r="Q329" s="1" t="str">
        <f>IFERROR(IF(VALUE(tbl_data[[#This Row],[Engine_CC]])=0,"",VALUE(tbl_data[[#This Row],[Price_USD]])/VALUE(tbl_data[[#This Row],[Engine_CC]])),"")</f>
        <v/>
      </c>
      <c r="R329" s="1" t="str">
        <f>TRIM(tbl_data[[#This Row],[Brand]])</f>
        <v>Kia</v>
      </c>
      <c r="S329" s="1">
        <f>_xlfn.NUMBERVALUE(tbl_data[[#This Row],[Price_USD]],".",",")</f>
        <v>29633.01</v>
      </c>
    </row>
    <row r="330" spans="1:19" x14ac:dyDescent="0.3">
      <c r="A330">
        <v>329</v>
      </c>
      <c r="B330" t="s">
        <v>92</v>
      </c>
      <c r="C330">
        <v>2021</v>
      </c>
      <c r="D330">
        <v>102661</v>
      </c>
      <c r="E330" t="s">
        <v>13</v>
      </c>
      <c r="F330" t="s">
        <v>14</v>
      </c>
      <c r="G330" t="s">
        <v>15</v>
      </c>
      <c r="H330">
        <v>1992</v>
      </c>
      <c r="I330" t="s">
        <v>998</v>
      </c>
      <c r="J330" t="s">
        <v>999</v>
      </c>
      <c r="K330">
        <v>7</v>
      </c>
      <c r="L330" t="s">
        <v>1000</v>
      </c>
      <c r="M330" s="1" t="str">
        <f>TEXT(DATE(tbl_data[[#This Row],[Model_Year]],1,1),"yyyy")</f>
        <v>2021</v>
      </c>
      <c r="N330" s="1" t="str">
        <f>IF(tbl_data[[#This Row],[Kilometers_Driven]]&lt;50000,"&lt;50k",
IF(tbl_data[[#This Row],[Kilometers_Driven]]&lt;100000,"50k-100k",
IF(tbl_data[[#This Row],[Kilometers_Driven]]&lt;150000,"100k-150k","150k+")))</f>
        <v>100k-150k</v>
      </c>
      <c r="O330" s="1" t="str">
        <f>IF(tbl_data[[#This Row],[Price_USD]]&gt;=87089,"High",
IF(tbl_data[[#This Row],[Price_USD]]&gt;=56807,"Mid","Low"))</f>
        <v>High</v>
      </c>
      <c r="P330" s="1" t="str">
        <f>IF(tbl_data[[#This Row],[Transmission]]="Automatic","Auto","Manual")</f>
        <v>Manual</v>
      </c>
      <c r="Q330" s="1" t="str">
        <f>IFERROR(IF(VALUE(tbl_data[[#This Row],[Engine_CC]])=0,"",VALUE(tbl_data[[#This Row],[Price_USD]])/VALUE(tbl_data[[#This Row],[Engine_CC]])),"")</f>
        <v/>
      </c>
      <c r="R330" s="1" t="str">
        <f>TRIM(tbl_data[[#This Row],[Brand]])</f>
        <v>Toyota</v>
      </c>
      <c r="S330" s="1">
        <f>_xlfn.NUMBERVALUE(tbl_data[[#This Row],[Price_USD]],".",",")</f>
        <v>64359.05</v>
      </c>
    </row>
    <row r="331" spans="1:19" x14ac:dyDescent="0.3">
      <c r="A331">
        <v>330</v>
      </c>
      <c r="B331" t="s">
        <v>102</v>
      </c>
      <c r="C331">
        <v>2007</v>
      </c>
      <c r="D331">
        <v>143051</v>
      </c>
      <c r="E331" t="s">
        <v>13</v>
      </c>
      <c r="F331" t="s">
        <v>14</v>
      </c>
      <c r="G331" t="s">
        <v>26</v>
      </c>
      <c r="H331">
        <v>2264</v>
      </c>
      <c r="I331" t="s">
        <v>1001</v>
      </c>
      <c r="J331" t="s">
        <v>1002</v>
      </c>
      <c r="K331">
        <v>5</v>
      </c>
      <c r="L331" t="s">
        <v>1003</v>
      </c>
      <c r="M331" s="1" t="str">
        <f>TEXT(DATE(tbl_data[[#This Row],[Model_Year]],1,1),"yyyy")</f>
        <v>2007</v>
      </c>
      <c r="N331" s="1" t="str">
        <f>IF(tbl_data[[#This Row],[Kilometers_Driven]]&lt;50000,"&lt;50k",
IF(tbl_data[[#This Row],[Kilometers_Driven]]&lt;100000,"50k-100k",
IF(tbl_data[[#This Row],[Kilometers_Driven]]&lt;150000,"100k-150k","150k+")))</f>
        <v>100k-150k</v>
      </c>
      <c r="O331" s="1" t="str">
        <f>IF(tbl_data[[#This Row],[Price_USD]]&gt;=87089,"High",
IF(tbl_data[[#This Row],[Price_USD]]&gt;=56807,"Mid","Low"))</f>
        <v>High</v>
      </c>
      <c r="P331" s="1" t="str">
        <f>IF(tbl_data[[#This Row],[Transmission]]="Automatic","Auto","Manual")</f>
        <v>Manual</v>
      </c>
      <c r="Q331" s="1" t="str">
        <f>IFERROR(IF(VALUE(tbl_data[[#This Row],[Engine_CC]])=0,"",VALUE(tbl_data[[#This Row],[Price_USD]])/VALUE(tbl_data[[#This Row],[Engine_CC]])),"")</f>
        <v/>
      </c>
      <c r="R331" s="1" t="str">
        <f>TRIM(tbl_data[[#This Row],[Brand]])</f>
        <v>Nissan</v>
      </c>
      <c r="S331" s="1">
        <f>_xlfn.NUMBERVALUE(tbl_data[[#This Row],[Price_USD]],".",",")</f>
        <v>97313.32</v>
      </c>
    </row>
    <row r="332" spans="1:19" x14ac:dyDescent="0.3">
      <c r="A332">
        <v>331</v>
      </c>
      <c r="B332" t="s">
        <v>69</v>
      </c>
      <c r="C332">
        <v>2017</v>
      </c>
      <c r="D332">
        <v>162261</v>
      </c>
      <c r="E332" t="s">
        <v>44</v>
      </c>
      <c r="F332" t="s">
        <v>21</v>
      </c>
      <c r="G332" t="s">
        <v>26</v>
      </c>
      <c r="H332">
        <v>1190</v>
      </c>
      <c r="I332" t="s">
        <v>1004</v>
      </c>
      <c r="J332" t="s">
        <v>1005</v>
      </c>
      <c r="K332">
        <v>7</v>
      </c>
      <c r="L332" t="s">
        <v>1006</v>
      </c>
      <c r="M332" s="1" t="str">
        <f>TEXT(DATE(tbl_data[[#This Row],[Model_Year]],1,1),"yyyy")</f>
        <v>2017</v>
      </c>
      <c r="N332" s="1" t="str">
        <f>IF(tbl_data[[#This Row],[Kilometers_Driven]]&lt;50000,"&lt;50k",
IF(tbl_data[[#This Row],[Kilometers_Driven]]&lt;100000,"50k-100k",
IF(tbl_data[[#This Row],[Kilometers_Driven]]&lt;150000,"100k-150k","150k+")))</f>
        <v>150k+</v>
      </c>
      <c r="O332" s="1" t="str">
        <f>IF(tbl_data[[#This Row],[Price_USD]]&gt;=87089,"High",
IF(tbl_data[[#This Row],[Price_USD]]&gt;=56807,"Mid","Low"))</f>
        <v>High</v>
      </c>
      <c r="P332" s="1" t="str">
        <f>IF(tbl_data[[#This Row],[Transmission]]="Automatic","Auto","Manual")</f>
        <v>Auto</v>
      </c>
      <c r="Q332" s="1" t="str">
        <f>IFERROR(IF(VALUE(tbl_data[[#This Row],[Engine_CC]])=0,"",VALUE(tbl_data[[#This Row],[Price_USD]])/VALUE(tbl_data[[#This Row],[Engine_CC]])),"")</f>
        <v/>
      </c>
      <c r="R332" s="1" t="str">
        <f>TRIM(tbl_data[[#This Row],[Brand]])</f>
        <v>Hyundai</v>
      </c>
      <c r="S332" s="1">
        <f>_xlfn.NUMBERVALUE(tbl_data[[#This Row],[Price_USD]],".",",")</f>
        <v>44356.86</v>
      </c>
    </row>
    <row r="333" spans="1:19" x14ac:dyDescent="0.3">
      <c r="A333">
        <v>332</v>
      </c>
      <c r="B333" t="s">
        <v>12</v>
      </c>
      <c r="C333">
        <v>2018</v>
      </c>
      <c r="D333">
        <v>178672</v>
      </c>
      <c r="E333" t="s">
        <v>20</v>
      </c>
      <c r="F333" t="s">
        <v>21</v>
      </c>
      <c r="G333" t="s">
        <v>26</v>
      </c>
      <c r="H333">
        <v>4177</v>
      </c>
      <c r="I333" t="s">
        <v>1007</v>
      </c>
      <c r="J333" t="s">
        <v>1008</v>
      </c>
      <c r="K333">
        <v>6</v>
      </c>
      <c r="L333" t="s">
        <v>1009</v>
      </c>
      <c r="M333" s="1" t="str">
        <f>TEXT(DATE(tbl_data[[#This Row],[Model_Year]],1,1),"yyyy")</f>
        <v>2018</v>
      </c>
      <c r="N333" s="1" t="str">
        <f>IF(tbl_data[[#This Row],[Kilometers_Driven]]&lt;50000,"&lt;50k",
IF(tbl_data[[#This Row],[Kilometers_Driven]]&lt;100000,"50k-100k",
IF(tbl_data[[#This Row],[Kilometers_Driven]]&lt;150000,"100k-150k","150k+")))</f>
        <v>150k+</v>
      </c>
      <c r="O333" s="1" t="str">
        <f>IF(tbl_data[[#This Row],[Price_USD]]&gt;=87089,"High",
IF(tbl_data[[#This Row],[Price_USD]]&gt;=56807,"Mid","Low"))</f>
        <v>High</v>
      </c>
      <c r="P333" s="1" t="str">
        <f>IF(tbl_data[[#This Row],[Transmission]]="Automatic","Auto","Manual")</f>
        <v>Auto</v>
      </c>
      <c r="Q333" s="1" t="str">
        <f>IFERROR(IF(VALUE(tbl_data[[#This Row],[Engine_CC]])=0,"",VALUE(tbl_data[[#This Row],[Price_USD]])/VALUE(tbl_data[[#This Row],[Engine_CC]])),"")</f>
        <v/>
      </c>
      <c r="R333" s="1" t="str">
        <f>TRIM(tbl_data[[#This Row],[Brand]])</f>
        <v>Audi</v>
      </c>
      <c r="S333" s="1">
        <f>_xlfn.NUMBERVALUE(tbl_data[[#This Row],[Price_USD]],".",",")</f>
        <v>78138.53</v>
      </c>
    </row>
    <row r="334" spans="1:19" x14ac:dyDescent="0.3">
      <c r="A334">
        <v>333</v>
      </c>
      <c r="B334" t="s">
        <v>39</v>
      </c>
      <c r="C334">
        <v>2022</v>
      </c>
      <c r="D334">
        <v>195632</v>
      </c>
      <c r="E334" t="s">
        <v>44</v>
      </c>
      <c r="F334" t="s">
        <v>21</v>
      </c>
      <c r="G334" t="s">
        <v>26</v>
      </c>
      <c r="H334">
        <v>1472</v>
      </c>
      <c r="I334" t="s">
        <v>1010</v>
      </c>
      <c r="J334" t="s">
        <v>366</v>
      </c>
      <c r="K334">
        <v>4</v>
      </c>
      <c r="L334" t="s">
        <v>1011</v>
      </c>
      <c r="M334" s="1" t="str">
        <f>TEXT(DATE(tbl_data[[#This Row],[Model_Year]],1,1),"yyyy")</f>
        <v>2022</v>
      </c>
      <c r="N334" s="1" t="str">
        <f>IF(tbl_data[[#This Row],[Kilometers_Driven]]&lt;50000,"&lt;50k",
IF(tbl_data[[#This Row],[Kilometers_Driven]]&lt;100000,"50k-100k",
IF(tbl_data[[#This Row],[Kilometers_Driven]]&lt;150000,"100k-150k","150k+")))</f>
        <v>150k+</v>
      </c>
      <c r="O334" s="1" t="str">
        <f>IF(tbl_data[[#This Row],[Price_USD]]&gt;=87089,"High",
IF(tbl_data[[#This Row],[Price_USD]]&gt;=56807,"Mid","Low"))</f>
        <v>High</v>
      </c>
      <c r="P334" s="1" t="str">
        <f>IF(tbl_data[[#This Row],[Transmission]]="Automatic","Auto","Manual")</f>
        <v>Auto</v>
      </c>
      <c r="Q334" s="1" t="str">
        <f>IFERROR(IF(VALUE(tbl_data[[#This Row],[Engine_CC]])=0,"",VALUE(tbl_data[[#This Row],[Price_USD]])/VALUE(tbl_data[[#This Row],[Engine_CC]])),"")</f>
        <v/>
      </c>
      <c r="R334" s="1" t="str">
        <f>TRIM(tbl_data[[#This Row],[Brand]])</f>
        <v>Volkswagen</v>
      </c>
      <c r="S334" s="1">
        <f>_xlfn.NUMBERVALUE(tbl_data[[#This Row],[Price_USD]],".",",")</f>
        <v>31738.89</v>
      </c>
    </row>
    <row r="335" spans="1:19" x14ac:dyDescent="0.3">
      <c r="A335">
        <v>334</v>
      </c>
      <c r="B335" t="s">
        <v>12</v>
      </c>
      <c r="C335">
        <v>2008</v>
      </c>
      <c r="D335">
        <v>128257</v>
      </c>
      <c r="E335" t="s">
        <v>13</v>
      </c>
      <c r="F335" t="s">
        <v>21</v>
      </c>
      <c r="G335" t="s">
        <v>32</v>
      </c>
      <c r="H335">
        <v>3360</v>
      </c>
      <c r="I335" t="s">
        <v>192</v>
      </c>
      <c r="J335" t="s">
        <v>1012</v>
      </c>
      <c r="K335">
        <v>2</v>
      </c>
      <c r="L335" t="s">
        <v>1013</v>
      </c>
      <c r="M335" s="1" t="str">
        <f>TEXT(DATE(tbl_data[[#This Row],[Model_Year]],1,1),"yyyy")</f>
        <v>2008</v>
      </c>
      <c r="N335" s="1" t="str">
        <f>IF(tbl_data[[#This Row],[Kilometers_Driven]]&lt;50000,"&lt;50k",
IF(tbl_data[[#This Row],[Kilometers_Driven]]&lt;100000,"50k-100k",
IF(tbl_data[[#This Row],[Kilometers_Driven]]&lt;150000,"100k-150k","150k+")))</f>
        <v>100k-150k</v>
      </c>
      <c r="O335" s="1" t="str">
        <f>IF(tbl_data[[#This Row],[Price_USD]]&gt;=87089,"High",
IF(tbl_data[[#This Row],[Price_USD]]&gt;=56807,"Mid","Low"))</f>
        <v>High</v>
      </c>
      <c r="P335" s="1" t="str">
        <f>IF(tbl_data[[#This Row],[Transmission]]="Automatic","Auto","Manual")</f>
        <v>Auto</v>
      </c>
      <c r="Q335" s="1" t="str">
        <f>IFERROR(IF(VALUE(tbl_data[[#This Row],[Engine_CC]])=0,"",VALUE(tbl_data[[#This Row],[Price_USD]])/VALUE(tbl_data[[#This Row],[Engine_CC]])),"")</f>
        <v/>
      </c>
      <c r="R335" s="1" t="str">
        <f>TRIM(tbl_data[[#This Row],[Brand]])</f>
        <v>Audi</v>
      </c>
      <c r="S335" s="1">
        <f>_xlfn.NUMBERVALUE(tbl_data[[#This Row],[Price_USD]],".",",")</f>
        <v>15785.7</v>
      </c>
    </row>
    <row r="336" spans="1:19" x14ac:dyDescent="0.3">
      <c r="A336">
        <v>335</v>
      </c>
      <c r="B336" t="s">
        <v>39</v>
      </c>
      <c r="C336">
        <v>2022</v>
      </c>
      <c r="D336">
        <v>197630</v>
      </c>
      <c r="E336" t="s">
        <v>44</v>
      </c>
      <c r="F336" t="s">
        <v>14</v>
      </c>
      <c r="G336" t="s">
        <v>32</v>
      </c>
      <c r="H336">
        <v>2011</v>
      </c>
      <c r="I336" t="s">
        <v>1014</v>
      </c>
      <c r="J336" t="s">
        <v>1015</v>
      </c>
      <c r="K336">
        <v>5</v>
      </c>
      <c r="L336" t="s">
        <v>1016</v>
      </c>
      <c r="M336" s="1" t="str">
        <f>TEXT(DATE(tbl_data[[#This Row],[Model_Year]],1,1),"yyyy")</f>
        <v>2022</v>
      </c>
      <c r="N336" s="1" t="str">
        <f>IF(tbl_data[[#This Row],[Kilometers_Driven]]&lt;50000,"&lt;50k",
IF(tbl_data[[#This Row],[Kilometers_Driven]]&lt;100000,"50k-100k",
IF(tbl_data[[#This Row],[Kilometers_Driven]]&lt;150000,"100k-150k","150k+")))</f>
        <v>150k+</v>
      </c>
      <c r="O336" s="1" t="str">
        <f>IF(tbl_data[[#This Row],[Price_USD]]&gt;=87089,"High",
IF(tbl_data[[#This Row],[Price_USD]]&gt;=56807,"Mid","Low"))</f>
        <v>High</v>
      </c>
      <c r="P336" s="1" t="str">
        <f>IF(tbl_data[[#This Row],[Transmission]]="Automatic","Auto","Manual")</f>
        <v>Manual</v>
      </c>
      <c r="Q336" s="1" t="str">
        <f>IFERROR(IF(VALUE(tbl_data[[#This Row],[Engine_CC]])=0,"",VALUE(tbl_data[[#This Row],[Price_USD]])/VALUE(tbl_data[[#This Row],[Engine_CC]])),"")</f>
        <v/>
      </c>
      <c r="R336" s="1" t="str">
        <f>TRIM(tbl_data[[#This Row],[Brand]])</f>
        <v>Volkswagen</v>
      </c>
      <c r="S336" s="1">
        <f>_xlfn.NUMBERVALUE(tbl_data[[#This Row],[Price_USD]],".",",")</f>
        <v>95942.95</v>
      </c>
    </row>
    <row r="337" spans="1:19" x14ac:dyDescent="0.3">
      <c r="A337">
        <v>336</v>
      </c>
      <c r="B337" t="s">
        <v>43</v>
      </c>
      <c r="C337">
        <v>2009</v>
      </c>
      <c r="D337">
        <v>91205</v>
      </c>
      <c r="E337" t="s">
        <v>13</v>
      </c>
      <c r="F337" t="s">
        <v>14</v>
      </c>
      <c r="G337" t="s">
        <v>32</v>
      </c>
      <c r="H337">
        <v>1729</v>
      </c>
      <c r="I337" t="s">
        <v>1017</v>
      </c>
      <c r="J337" t="s">
        <v>1018</v>
      </c>
      <c r="K337">
        <v>4</v>
      </c>
      <c r="L337" t="s">
        <v>1019</v>
      </c>
      <c r="M337" s="1" t="str">
        <f>TEXT(DATE(tbl_data[[#This Row],[Model_Year]],1,1),"yyyy")</f>
        <v>2009</v>
      </c>
      <c r="N337" s="1" t="str">
        <f>IF(tbl_data[[#This Row],[Kilometers_Driven]]&lt;50000,"&lt;50k",
IF(tbl_data[[#This Row],[Kilometers_Driven]]&lt;100000,"50k-100k",
IF(tbl_data[[#This Row],[Kilometers_Driven]]&lt;150000,"100k-150k","150k+")))</f>
        <v>50k-100k</v>
      </c>
      <c r="O337" s="1" t="str">
        <f>IF(tbl_data[[#This Row],[Price_USD]]&gt;=87089,"High",
IF(tbl_data[[#This Row],[Price_USD]]&gt;=56807,"Mid","Low"))</f>
        <v>High</v>
      </c>
      <c r="P337" s="1" t="str">
        <f>IF(tbl_data[[#This Row],[Transmission]]="Automatic","Auto","Manual")</f>
        <v>Manual</v>
      </c>
      <c r="Q337" s="1" t="str">
        <f>IFERROR(IF(VALUE(tbl_data[[#This Row],[Engine_CC]])=0,"",VALUE(tbl_data[[#This Row],[Price_USD]])/VALUE(tbl_data[[#This Row],[Engine_CC]])),"")</f>
        <v/>
      </c>
      <c r="R337" s="1" t="str">
        <f>TRIM(tbl_data[[#This Row],[Brand]])</f>
        <v>Ford</v>
      </c>
      <c r="S337" s="1">
        <f>_xlfn.NUMBERVALUE(tbl_data[[#This Row],[Price_USD]],".",",")</f>
        <v>14579.33</v>
      </c>
    </row>
    <row r="338" spans="1:19" x14ac:dyDescent="0.3">
      <c r="A338">
        <v>337</v>
      </c>
      <c r="B338" t="s">
        <v>76</v>
      </c>
      <c r="C338">
        <v>2020</v>
      </c>
      <c r="D338">
        <v>11910</v>
      </c>
      <c r="E338" t="s">
        <v>13</v>
      </c>
      <c r="F338" t="s">
        <v>21</v>
      </c>
      <c r="G338" t="s">
        <v>26</v>
      </c>
      <c r="H338">
        <v>2339</v>
      </c>
      <c r="I338" t="s">
        <v>1020</v>
      </c>
      <c r="J338" t="s">
        <v>1021</v>
      </c>
      <c r="K338">
        <v>2</v>
      </c>
      <c r="L338" t="s">
        <v>1022</v>
      </c>
      <c r="M338" s="1" t="str">
        <f>TEXT(DATE(tbl_data[[#This Row],[Model_Year]],1,1),"yyyy")</f>
        <v>2020</v>
      </c>
      <c r="N338" s="1" t="str">
        <f>IF(tbl_data[[#This Row],[Kilometers_Driven]]&lt;50000,"&lt;50k",
IF(tbl_data[[#This Row],[Kilometers_Driven]]&lt;100000,"50k-100k",
IF(tbl_data[[#This Row],[Kilometers_Driven]]&lt;150000,"100k-150k","150k+")))</f>
        <v>&lt;50k</v>
      </c>
      <c r="O338" s="1" t="str">
        <f>IF(tbl_data[[#This Row],[Price_USD]]&gt;=87089,"High",
IF(tbl_data[[#This Row],[Price_USD]]&gt;=56807,"Mid","Low"))</f>
        <v>High</v>
      </c>
      <c r="P338" s="1" t="str">
        <f>IF(tbl_data[[#This Row],[Transmission]]="Automatic","Auto","Manual")</f>
        <v>Auto</v>
      </c>
      <c r="Q338" s="1" t="str">
        <f>IFERROR(IF(VALUE(tbl_data[[#This Row],[Engine_CC]])=0,"",VALUE(tbl_data[[#This Row],[Price_USD]])/VALUE(tbl_data[[#This Row],[Engine_CC]])),"")</f>
        <v/>
      </c>
      <c r="R338" s="1" t="str">
        <f>TRIM(tbl_data[[#This Row],[Brand]])</f>
        <v>Honda</v>
      </c>
      <c r="S338" s="1">
        <f>_xlfn.NUMBERVALUE(tbl_data[[#This Row],[Price_USD]],".",",")</f>
        <v>34751.620000000003</v>
      </c>
    </row>
    <row r="339" spans="1:19" x14ac:dyDescent="0.3">
      <c r="A339">
        <v>338</v>
      </c>
      <c r="B339" t="s">
        <v>102</v>
      </c>
      <c r="C339">
        <v>2005</v>
      </c>
      <c r="D339">
        <v>193785</v>
      </c>
      <c r="E339" t="s">
        <v>44</v>
      </c>
      <c r="F339" t="s">
        <v>14</v>
      </c>
      <c r="G339" t="s">
        <v>32</v>
      </c>
      <c r="H339">
        <v>1712</v>
      </c>
      <c r="I339" t="s">
        <v>1023</v>
      </c>
      <c r="J339" t="s">
        <v>677</v>
      </c>
      <c r="K339">
        <v>2</v>
      </c>
      <c r="L339" t="s">
        <v>1024</v>
      </c>
      <c r="M339" s="1" t="str">
        <f>TEXT(DATE(tbl_data[[#This Row],[Model_Year]],1,1),"yyyy")</f>
        <v>2005</v>
      </c>
      <c r="N339" s="1" t="str">
        <f>IF(tbl_data[[#This Row],[Kilometers_Driven]]&lt;50000,"&lt;50k",
IF(tbl_data[[#This Row],[Kilometers_Driven]]&lt;100000,"50k-100k",
IF(tbl_data[[#This Row],[Kilometers_Driven]]&lt;150000,"100k-150k","150k+")))</f>
        <v>150k+</v>
      </c>
      <c r="O339" s="1" t="str">
        <f>IF(tbl_data[[#This Row],[Price_USD]]&gt;=87089,"High",
IF(tbl_data[[#This Row],[Price_USD]]&gt;=56807,"Mid","Low"))</f>
        <v>High</v>
      </c>
      <c r="P339" s="1" t="str">
        <f>IF(tbl_data[[#This Row],[Transmission]]="Automatic","Auto","Manual")</f>
        <v>Manual</v>
      </c>
      <c r="Q339" s="1" t="str">
        <f>IFERROR(IF(VALUE(tbl_data[[#This Row],[Engine_CC]])=0,"",VALUE(tbl_data[[#This Row],[Price_USD]])/VALUE(tbl_data[[#This Row],[Engine_CC]])),"")</f>
        <v/>
      </c>
      <c r="R339" s="1" t="str">
        <f>TRIM(tbl_data[[#This Row],[Brand]])</f>
        <v>Nissan</v>
      </c>
      <c r="S339" s="1">
        <f>_xlfn.NUMBERVALUE(tbl_data[[#This Row],[Price_USD]],".",",")</f>
        <v>103047.8</v>
      </c>
    </row>
    <row r="340" spans="1:19" x14ac:dyDescent="0.3">
      <c r="A340">
        <v>339</v>
      </c>
      <c r="B340" t="s">
        <v>25</v>
      </c>
      <c r="C340">
        <v>2018</v>
      </c>
      <c r="D340">
        <v>51857</v>
      </c>
      <c r="E340" t="s">
        <v>31</v>
      </c>
      <c r="F340" t="s">
        <v>14</v>
      </c>
      <c r="G340" t="s">
        <v>32</v>
      </c>
      <c r="H340">
        <v>1443</v>
      </c>
      <c r="I340" t="s">
        <v>1025</v>
      </c>
      <c r="J340" t="s">
        <v>164</v>
      </c>
      <c r="K340">
        <v>2</v>
      </c>
      <c r="L340" t="s">
        <v>1026</v>
      </c>
      <c r="M340" s="1" t="str">
        <f>TEXT(DATE(tbl_data[[#This Row],[Model_Year]],1,1),"yyyy")</f>
        <v>2018</v>
      </c>
      <c r="N340" s="1" t="str">
        <f>IF(tbl_data[[#This Row],[Kilometers_Driven]]&lt;50000,"&lt;50k",
IF(tbl_data[[#This Row],[Kilometers_Driven]]&lt;100000,"50k-100k",
IF(tbl_data[[#This Row],[Kilometers_Driven]]&lt;150000,"100k-150k","150k+")))</f>
        <v>50k-100k</v>
      </c>
      <c r="O340" s="1" t="str">
        <f>IF(tbl_data[[#This Row],[Price_USD]]&gt;=87089,"High",
IF(tbl_data[[#This Row],[Price_USD]]&gt;=56807,"Mid","Low"))</f>
        <v>High</v>
      </c>
      <c r="P340" s="1" t="str">
        <f>IF(tbl_data[[#This Row],[Transmission]]="Automatic","Auto","Manual")</f>
        <v>Manual</v>
      </c>
      <c r="Q340" s="1" t="str">
        <f>IFERROR(IF(VALUE(tbl_data[[#This Row],[Engine_CC]])=0,"",VALUE(tbl_data[[#This Row],[Price_USD]])/VALUE(tbl_data[[#This Row],[Engine_CC]])),"")</f>
        <v/>
      </c>
      <c r="R340" s="1" t="str">
        <f>TRIM(tbl_data[[#This Row],[Brand]])</f>
        <v>Kia</v>
      </c>
      <c r="S340" s="1">
        <f>_xlfn.NUMBERVALUE(tbl_data[[#This Row],[Price_USD]],".",",")</f>
        <v>43536.91</v>
      </c>
    </row>
    <row r="341" spans="1:19" x14ac:dyDescent="0.3">
      <c r="A341">
        <v>340</v>
      </c>
      <c r="B341" t="s">
        <v>39</v>
      </c>
      <c r="C341">
        <v>2019</v>
      </c>
      <c r="D341">
        <v>39964</v>
      </c>
      <c r="E341" t="s">
        <v>44</v>
      </c>
      <c r="F341" t="s">
        <v>21</v>
      </c>
      <c r="G341" t="s">
        <v>15</v>
      </c>
      <c r="H341">
        <v>1301</v>
      </c>
      <c r="I341" t="s">
        <v>1027</v>
      </c>
      <c r="J341" t="s">
        <v>1028</v>
      </c>
      <c r="K341">
        <v>4</v>
      </c>
      <c r="L341" t="s">
        <v>1029</v>
      </c>
      <c r="M341" s="1" t="str">
        <f>TEXT(DATE(tbl_data[[#This Row],[Model_Year]],1,1),"yyyy")</f>
        <v>2019</v>
      </c>
      <c r="N341" s="1" t="str">
        <f>IF(tbl_data[[#This Row],[Kilometers_Driven]]&lt;50000,"&lt;50k",
IF(tbl_data[[#This Row],[Kilometers_Driven]]&lt;100000,"50k-100k",
IF(tbl_data[[#This Row],[Kilometers_Driven]]&lt;150000,"100k-150k","150k+")))</f>
        <v>&lt;50k</v>
      </c>
      <c r="O341" s="1" t="str">
        <f>IF(tbl_data[[#This Row],[Price_USD]]&gt;=87089,"High",
IF(tbl_data[[#This Row],[Price_USD]]&gt;=56807,"Mid","Low"))</f>
        <v>High</v>
      </c>
      <c r="P341" s="1" t="str">
        <f>IF(tbl_data[[#This Row],[Transmission]]="Automatic","Auto","Manual")</f>
        <v>Auto</v>
      </c>
      <c r="Q341" s="1" t="str">
        <f>IFERROR(IF(VALUE(tbl_data[[#This Row],[Engine_CC]])=0,"",VALUE(tbl_data[[#This Row],[Price_USD]])/VALUE(tbl_data[[#This Row],[Engine_CC]])),"")</f>
        <v/>
      </c>
      <c r="R341" s="1" t="str">
        <f>TRIM(tbl_data[[#This Row],[Brand]])</f>
        <v>Volkswagen</v>
      </c>
      <c r="S341" s="1">
        <f>_xlfn.NUMBERVALUE(tbl_data[[#This Row],[Price_USD]],".",",")</f>
        <v>116846.31</v>
      </c>
    </row>
    <row r="342" spans="1:19" x14ac:dyDescent="0.3">
      <c r="A342">
        <v>341</v>
      </c>
      <c r="B342" t="s">
        <v>12</v>
      </c>
      <c r="C342">
        <v>2013</v>
      </c>
      <c r="D342">
        <v>161299</v>
      </c>
      <c r="E342" t="s">
        <v>31</v>
      </c>
      <c r="F342" t="s">
        <v>14</v>
      </c>
      <c r="G342" t="s">
        <v>15</v>
      </c>
      <c r="H342">
        <v>1529</v>
      </c>
      <c r="I342" t="s">
        <v>1030</v>
      </c>
      <c r="J342" t="s">
        <v>1031</v>
      </c>
      <c r="K342">
        <v>5</v>
      </c>
      <c r="L342" t="s">
        <v>1032</v>
      </c>
      <c r="M342" s="1" t="str">
        <f>TEXT(DATE(tbl_data[[#This Row],[Model_Year]],1,1),"yyyy")</f>
        <v>2013</v>
      </c>
      <c r="N342" s="1" t="str">
        <f>IF(tbl_data[[#This Row],[Kilometers_Driven]]&lt;50000,"&lt;50k",
IF(tbl_data[[#This Row],[Kilometers_Driven]]&lt;100000,"50k-100k",
IF(tbl_data[[#This Row],[Kilometers_Driven]]&lt;150000,"100k-150k","150k+")))</f>
        <v>150k+</v>
      </c>
      <c r="O342" s="1" t="str">
        <f>IF(tbl_data[[#This Row],[Price_USD]]&gt;=87089,"High",
IF(tbl_data[[#This Row],[Price_USD]]&gt;=56807,"Mid","Low"))</f>
        <v>High</v>
      </c>
      <c r="P342" s="1" t="str">
        <f>IF(tbl_data[[#This Row],[Transmission]]="Automatic","Auto","Manual")</f>
        <v>Manual</v>
      </c>
      <c r="Q342" s="1" t="str">
        <f>IFERROR(IF(VALUE(tbl_data[[#This Row],[Engine_CC]])=0,"",VALUE(tbl_data[[#This Row],[Price_USD]])/VALUE(tbl_data[[#This Row],[Engine_CC]])),"")</f>
        <v/>
      </c>
      <c r="R342" s="1" t="str">
        <f>TRIM(tbl_data[[#This Row],[Brand]])</f>
        <v>Audi</v>
      </c>
      <c r="S342" s="1">
        <f>_xlfn.NUMBERVALUE(tbl_data[[#This Row],[Price_USD]],".",",")</f>
        <v>117628.92</v>
      </c>
    </row>
    <row r="343" spans="1:19" x14ac:dyDescent="0.3">
      <c r="A343">
        <v>342</v>
      </c>
      <c r="B343" t="s">
        <v>102</v>
      </c>
      <c r="C343">
        <v>2019</v>
      </c>
      <c r="D343">
        <v>142050</v>
      </c>
      <c r="E343" t="s">
        <v>13</v>
      </c>
      <c r="F343" t="s">
        <v>21</v>
      </c>
      <c r="G343" t="s">
        <v>32</v>
      </c>
      <c r="H343">
        <v>2083</v>
      </c>
      <c r="I343" t="s">
        <v>1033</v>
      </c>
      <c r="J343" t="s">
        <v>1034</v>
      </c>
      <c r="K343">
        <v>5</v>
      </c>
      <c r="L343" t="s">
        <v>1035</v>
      </c>
      <c r="M343" s="1" t="str">
        <f>TEXT(DATE(tbl_data[[#This Row],[Model_Year]],1,1),"yyyy")</f>
        <v>2019</v>
      </c>
      <c r="N343" s="1" t="str">
        <f>IF(tbl_data[[#This Row],[Kilometers_Driven]]&lt;50000,"&lt;50k",
IF(tbl_data[[#This Row],[Kilometers_Driven]]&lt;100000,"50k-100k",
IF(tbl_data[[#This Row],[Kilometers_Driven]]&lt;150000,"100k-150k","150k+")))</f>
        <v>100k-150k</v>
      </c>
      <c r="O343" s="1" t="str">
        <f>IF(tbl_data[[#This Row],[Price_USD]]&gt;=87089,"High",
IF(tbl_data[[#This Row],[Price_USD]]&gt;=56807,"Mid","Low"))</f>
        <v>High</v>
      </c>
      <c r="P343" s="1" t="str">
        <f>IF(tbl_data[[#This Row],[Transmission]]="Automatic","Auto","Manual")</f>
        <v>Auto</v>
      </c>
      <c r="Q343" s="1" t="str">
        <f>IFERROR(IF(VALUE(tbl_data[[#This Row],[Engine_CC]])=0,"",VALUE(tbl_data[[#This Row],[Price_USD]])/VALUE(tbl_data[[#This Row],[Engine_CC]])),"")</f>
        <v/>
      </c>
      <c r="R343" s="1" t="str">
        <f>TRIM(tbl_data[[#This Row],[Brand]])</f>
        <v>Nissan</v>
      </c>
      <c r="S343" s="1">
        <f>_xlfn.NUMBERVALUE(tbl_data[[#This Row],[Price_USD]],".",",")</f>
        <v>34388.29</v>
      </c>
    </row>
    <row r="344" spans="1:19" x14ac:dyDescent="0.3">
      <c r="A344">
        <v>343</v>
      </c>
      <c r="B344" t="s">
        <v>19</v>
      </c>
      <c r="C344">
        <v>2021</v>
      </c>
      <c r="D344">
        <v>22153</v>
      </c>
      <c r="E344" t="s">
        <v>13</v>
      </c>
      <c r="F344" t="s">
        <v>21</v>
      </c>
      <c r="G344" t="s">
        <v>15</v>
      </c>
      <c r="H344">
        <v>2918</v>
      </c>
      <c r="I344" t="s">
        <v>1036</v>
      </c>
      <c r="J344" t="s">
        <v>794</v>
      </c>
      <c r="K344">
        <v>2</v>
      </c>
      <c r="L344" t="s">
        <v>1037</v>
      </c>
      <c r="M344" s="1" t="str">
        <f>TEXT(DATE(tbl_data[[#This Row],[Model_Year]],1,1),"yyyy")</f>
        <v>2021</v>
      </c>
      <c r="N344" s="1" t="str">
        <f>IF(tbl_data[[#This Row],[Kilometers_Driven]]&lt;50000,"&lt;50k",
IF(tbl_data[[#This Row],[Kilometers_Driven]]&lt;100000,"50k-100k",
IF(tbl_data[[#This Row],[Kilometers_Driven]]&lt;150000,"100k-150k","150k+")))</f>
        <v>&lt;50k</v>
      </c>
      <c r="O344" s="1" t="str">
        <f>IF(tbl_data[[#This Row],[Price_USD]]&gt;=87089,"High",
IF(tbl_data[[#This Row],[Price_USD]]&gt;=56807,"Mid","Low"))</f>
        <v>High</v>
      </c>
      <c r="P344" s="1" t="str">
        <f>IF(tbl_data[[#This Row],[Transmission]]="Automatic","Auto","Manual")</f>
        <v>Auto</v>
      </c>
      <c r="Q344" s="1" t="str">
        <f>IFERROR(IF(VALUE(tbl_data[[#This Row],[Engine_CC]])=0,"",VALUE(tbl_data[[#This Row],[Price_USD]])/VALUE(tbl_data[[#This Row],[Engine_CC]])),"")</f>
        <v/>
      </c>
      <c r="R344" s="1" t="str">
        <f>TRIM(tbl_data[[#This Row],[Brand]])</f>
        <v>BMW</v>
      </c>
      <c r="S344" s="1">
        <f>_xlfn.NUMBERVALUE(tbl_data[[#This Row],[Price_USD]],".",",")</f>
        <v>7794.45</v>
      </c>
    </row>
    <row r="345" spans="1:19" x14ac:dyDescent="0.3">
      <c r="A345">
        <v>344</v>
      </c>
      <c r="B345" t="s">
        <v>19</v>
      </c>
      <c r="C345">
        <v>2008</v>
      </c>
      <c r="D345">
        <v>64765</v>
      </c>
      <c r="E345" t="s">
        <v>31</v>
      </c>
      <c r="F345" t="s">
        <v>14</v>
      </c>
      <c r="G345" t="s">
        <v>15</v>
      </c>
      <c r="H345">
        <v>4636</v>
      </c>
      <c r="I345" t="s">
        <v>1038</v>
      </c>
      <c r="J345" t="s">
        <v>1039</v>
      </c>
      <c r="K345">
        <v>4</v>
      </c>
      <c r="L345" t="s">
        <v>1040</v>
      </c>
      <c r="M345" s="1" t="str">
        <f>TEXT(DATE(tbl_data[[#This Row],[Model_Year]],1,1),"yyyy")</f>
        <v>2008</v>
      </c>
      <c r="N345" s="1" t="str">
        <f>IF(tbl_data[[#This Row],[Kilometers_Driven]]&lt;50000,"&lt;50k",
IF(tbl_data[[#This Row],[Kilometers_Driven]]&lt;100000,"50k-100k",
IF(tbl_data[[#This Row],[Kilometers_Driven]]&lt;150000,"100k-150k","150k+")))</f>
        <v>50k-100k</v>
      </c>
      <c r="O345" s="1" t="str">
        <f>IF(tbl_data[[#This Row],[Price_USD]]&gt;=87089,"High",
IF(tbl_data[[#This Row],[Price_USD]]&gt;=56807,"Mid","Low"))</f>
        <v>High</v>
      </c>
      <c r="P345" s="1" t="str">
        <f>IF(tbl_data[[#This Row],[Transmission]]="Automatic","Auto","Manual")</f>
        <v>Manual</v>
      </c>
      <c r="Q345" s="1" t="str">
        <f>IFERROR(IF(VALUE(tbl_data[[#This Row],[Engine_CC]])=0,"",VALUE(tbl_data[[#This Row],[Price_USD]])/VALUE(tbl_data[[#This Row],[Engine_CC]])),"")</f>
        <v/>
      </c>
      <c r="R345" s="1" t="str">
        <f>TRIM(tbl_data[[#This Row],[Brand]])</f>
        <v>BMW</v>
      </c>
      <c r="S345" s="1">
        <f>_xlfn.NUMBERVALUE(tbl_data[[#This Row],[Price_USD]],".",",")</f>
        <v>85492.4</v>
      </c>
    </row>
    <row r="346" spans="1:19" x14ac:dyDescent="0.3">
      <c r="A346">
        <v>345</v>
      </c>
      <c r="B346" t="s">
        <v>92</v>
      </c>
      <c r="C346">
        <v>2016</v>
      </c>
      <c r="D346">
        <v>113212</v>
      </c>
      <c r="E346" t="s">
        <v>13</v>
      </c>
      <c r="F346" t="s">
        <v>14</v>
      </c>
      <c r="G346" t="s">
        <v>32</v>
      </c>
      <c r="H346">
        <v>1719</v>
      </c>
      <c r="I346" t="s">
        <v>1041</v>
      </c>
      <c r="J346" t="s">
        <v>1042</v>
      </c>
      <c r="K346">
        <v>2</v>
      </c>
      <c r="L346" t="s">
        <v>1043</v>
      </c>
      <c r="M346" s="1" t="str">
        <f>TEXT(DATE(tbl_data[[#This Row],[Model_Year]],1,1),"yyyy")</f>
        <v>2016</v>
      </c>
      <c r="N346" s="1" t="str">
        <f>IF(tbl_data[[#This Row],[Kilometers_Driven]]&lt;50000,"&lt;50k",
IF(tbl_data[[#This Row],[Kilometers_Driven]]&lt;100000,"50k-100k",
IF(tbl_data[[#This Row],[Kilometers_Driven]]&lt;150000,"100k-150k","150k+")))</f>
        <v>100k-150k</v>
      </c>
      <c r="O346" s="1" t="str">
        <f>IF(tbl_data[[#This Row],[Price_USD]]&gt;=87089,"High",
IF(tbl_data[[#This Row],[Price_USD]]&gt;=56807,"Mid","Low"))</f>
        <v>High</v>
      </c>
      <c r="P346" s="1" t="str">
        <f>IF(tbl_data[[#This Row],[Transmission]]="Automatic","Auto","Manual")</f>
        <v>Manual</v>
      </c>
      <c r="Q346" s="1" t="str">
        <f>IFERROR(IF(VALUE(tbl_data[[#This Row],[Engine_CC]])=0,"",VALUE(tbl_data[[#This Row],[Price_USD]])/VALUE(tbl_data[[#This Row],[Engine_CC]])),"")</f>
        <v/>
      </c>
      <c r="R346" s="1" t="str">
        <f>TRIM(tbl_data[[#This Row],[Brand]])</f>
        <v>Toyota</v>
      </c>
      <c r="S346" s="1">
        <f>_xlfn.NUMBERVALUE(tbl_data[[#This Row],[Price_USD]],".",",")</f>
        <v>55765.42</v>
      </c>
    </row>
    <row r="347" spans="1:19" x14ac:dyDescent="0.3">
      <c r="A347">
        <v>346</v>
      </c>
      <c r="B347" t="s">
        <v>25</v>
      </c>
      <c r="C347">
        <v>2009</v>
      </c>
      <c r="D347">
        <v>44071</v>
      </c>
      <c r="E347" t="s">
        <v>31</v>
      </c>
      <c r="F347" t="s">
        <v>21</v>
      </c>
      <c r="G347" t="s">
        <v>32</v>
      </c>
      <c r="H347">
        <v>4850</v>
      </c>
      <c r="I347" t="s">
        <v>1044</v>
      </c>
      <c r="J347" t="s">
        <v>1045</v>
      </c>
      <c r="K347">
        <v>7</v>
      </c>
      <c r="L347" t="s">
        <v>1046</v>
      </c>
      <c r="M347" s="1" t="str">
        <f>TEXT(DATE(tbl_data[[#This Row],[Model_Year]],1,1),"yyyy")</f>
        <v>2009</v>
      </c>
      <c r="N347" s="1" t="str">
        <f>IF(tbl_data[[#This Row],[Kilometers_Driven]]&lt;50000,"&lt;50k",
IF(tbl_data[[#This Row],[Kilometers_Driven]]&lt;100000,"50k-100k",
IF(tbl_data[[#This Row],[Kilometers_Driven]]&lt;150000,"100k-150k","150k+")))</f>
        <v>&lt;50k</v>
      </c>
      <c r="O347" s="1" t="str">
        <f>IF(tbl_data[[#This Row],[Price_USD]]&gt;=87089,"High",
IF(tbl_data[[#This Row],[Price_USD]]&gt;=56807,"Mid","Low"))</f>
        <v>High</v>
      </c>
      <c r="P347" s="1" t="str">
        <f>IF(tbl_data[[#This Row],[Transmission]]="Automatic","Auto","Manual")</f>
        <v>Auto</v>
      </c>
      <c r="Q347" s="1" t="str">
        <f>IFERROR(IF(VALUE(tbl_data[[#This Row],[Engine_CC]])=0,"",VALUE(tbl_data[[#This Row],[Price_USD]])/VALUE(tbl_data[[#This Row],[Engine_CC]])),"")</f>
        <v/>
      </c>
      <c r="R347" s="1" t="str">
        <f>TRIM(tbl_data[[#This Row],[Brand]])</f>
        <v>Kia</v>
      </c>
      <c r="S347" s="1">
        <f>_xlfn.NUMBERVALUE(tbl_data[[#This Row],[Price_USD]],".",",")</f>
        <v>14788.08</v>
      </c>
    </row>
    <row r="348" spans="1:19" x14ac:dyDescent="0.3">
      <c r="A348">
        <v>347</v>
      </c>
      <c r="B348" t="s">
        <v>43</v>
      </c>
      <c r="C348">
        <v>2009</v>
      </c>
      <c r="D348">
        <v>117990</v>
      </c>
      <c r="E348" t="s">
        <v>31</v>
      </c>
      <c r="F348" t="s">
        <v>21</v>
      </c>
      <c r="G348" t="s">
        <v>32</v>
      </c>
      <c r="H348">
        <v>3139</v>
      </c>
      <c r="I348" t="s">
        <v>1047</v>
      </c>
      <c r="J348" t="s">
        <v>1048</v>
      </c>
      <c r="K348">
        <v>5</v>
      </c>
      <c r="L348" t="s">
        <v>1049</v>
      </c>
      <c r="M348" s="1" t="str">
        <f>TEXT(DATE(tbl_data[[#This Row],[Model_Year]],1,1),"yyyy")</f>
        <v>2009</v>
      </c>
      <c r="N348" s="1" t="str">
        <f>IF(tbl_data[[#This Row],[Kilometers_Driven]]&lt;50000,"&lt;50k",
IF(tbl_data[[#This Row],[Kilometers_Driven]]&lt;100000,"50k-100k",
IF(tbl_data[[#This Row],[Kilometers_Driven]]&lt;150000,"100k-150k","150k+")))</f>
        <v>100k-150k</v>
      </c>
      <c r="O348" s="1" t="str">
        <f>IF(tbl_data[[#This Row],[Price_USD]]&gt;=87089,"High",
IF(tbl_data[[#This Row],[Price_USD]]&gt;=56807,"Mid","Low"))</f>
        <v>High</v>
      </c>
      <c r="P348" s="1" t="str">
        <f>IF(tbl_data[[#This Row],[Transmission]]="Automatic","Auto","Manual")</f>
        <v>Auto</v>
      </c>
      <c r="Q348" s="1" t="str">
        <f>IFERROR(IF(VALUE(tbl_data[[#This Row],[Engine_CC]])=0,"",VALUE(tbl_data[[#This Row],[Price_USD]])/VALUE(tbl_data[[#This Row],[Engine_CC]])),"")</f>
        <v/>
      </c>
      <c r="R348" s="1" t="str">
        <f>TRIM(tbl_data[[#This Row],[Brand]])</f>
        <v>Ford</v>
      </c>
      <c r="S348" s="1">
        <f>_xlfn.NUMBERVALUE(tbl_data[[#This Row],[Price_USD]],".",",")</f>
        <v>85780.17</v>
      </c>
    </row>
    <row r="349" spans="1:19" x14ac:dyDescent="0.3">
      <c r="A349">
        <v>348</v>
      </c>
      <c r="B349" t="s">
        <v>12</v>
      </c>
      <c r="C349">
        <v>2015</v>
      </c>
      <c r="D349">
        <v>74519</v>
      </c>
      <c r="E349" t="s">
        <v>13</v>
      </c>
      <c r="F349" t="s">
        <v>14</v>
      </c>
      <c r="G349" t="s">
        <v>32</v>
      </c>
      <c r="H349">
        <v>1555</v>
      </c>
      <c r="I349" t="s">
        <v>1050</v>
      </c>
      <c r="J349" t="s">
        <v>1051</v>
      </c>
      <c r="K349">
        <v>6</v>
      </c>
      <c r="L349" t="s">
        <v>1052</v>
      </c>
      <c r="M349" s="1" t="str">
        <f>TEXT(DATE(tbl_data[[#This Row],[Model_Year]],1,1),"yyyy")</f>
        <v>2015</v>
      </c>
      <c r="N349" s="1" t="str">
        <f>IF(tbl_data[[#This Row],[Kilometers_Driven]]&lt;50000,"&lt;50k",
IF(tbl_data[[#This Row],[Kilometers_Driven]]&lt;100000,"50k-100k",
IF(tbl_data[[#This Row],[Kilometers_Driven]]&lt;150000,"100k-150k","150k+")))</f>
        <v>50k-100k</v>
      </c>
      <c r="O349" s="1" t="str">
        <f>IF(tbl_data[[#This Row],[Price_USD]]&gt;=87089,"High",
IF(tbl_data[[#This Row],[Price_USD]]&gt;=56807,"Mid","Low"))</f>
        <v>High</v>
      </c>
      <c r="P349" s="1" t="str">
        <f>IF(tbl_data[[#This Row],[Transmission]]="Automatic","Auto","Manual")</f>
        <v>Manual</v>
      </c>
      <c r="Q349" s="1" t="str">
        <f>IFERROR(IF(VALUE(tbl_data[[#This Row],[Engine_CC]])=0,"",VALUE(tbl_data[[#This Row],[Price_USD]])/VALUE(tbl_data[[#This Row],[Engine_CC]])),"")</f>
        <v/>
      </c>
      <c r="R349" s="1" t="str">
        <f>TRIM(tbl_data[[#This Row],[Brand]])</f>
        <v>Audi</v>
      </c>
      <c r="S349" s="1">
        <f>_xlfn.NUMBERVALUE(tbl_data[[#This Row],[Price_USD]],".",",")</f>
        <v>6647.46</v>
      </c>
    </row>
    <row r="350" spans="1:19" x14ac:dyDescent="0.3">
      <c r="A350">
        <v>349</v>
      </c>
      <c r="B350" t="s">
        <v>76</v>
      </c>
      <c r="C350">
        <v>2010</v>
      </c>
      <c r="D350">
        <v>14503</v>
      </c>
      <c r="E350" t="s">
        <v>20</v>
      </c>
      <c r="F350" t="s">
        <v>21</v>
      </c>
      <c r="G350" t="s">
        <v>26</v>
      </c>
      <c r="H350">
        <v>2669</v>
      </c>
      <c r="I350" t="s">
        <v>1053</v>
      </c>
      <c r="J350" t="s">
        <v>1054</v>
      </c>
      <c r="K350">
        <v>2</v>
      </c>
      <c r="L350" t="s">
        <v>1055</v>
      </c>
      <c r="M350" s="1" t="str">
        <f>TEXT(DATE(tbl_data[[#This Row],[Model_Year]],1,1),"yyyy")</f>
        <v>2010</v>
      </c>
      <c r="N350" s="1" t="str">
        <f>IF(tbl_data[[#This Row],[Kilometers_Driven]]&lt;50000,"&lt;50k",
IF(tbl_data[[#This Row],[Kilometers_Driven]]&lt;100000,"50k-100k",
IF(tbl_data[[#This Row],[Kilometers_Driven]]&lt;150000,"100k-150k","150k+")))</f>
        <v>&lt;50k</v>
      </c>
      <c r="O350" s="1" t="str">
        <f>IF(tbl_data[[#This Row],[Price_USD]]&gt;=87089,"High",
IF(tbl_data[[#This Row],[Price_USD]]&gt;=56807,"Mid","Low"))</f>
        <v>High</v>
      </c>
      <c r="P350" s="1" t="str">
        <f>IF(tbl_data[[#This Row],[Transmission]]="Automatic","Auto","Manual")</f>
        <v>Auto</v>
      </c>
      <c r="Q350" s="1" t="str">
        <f>IFERROR(IF(VALUE(tbl_data[[#This Row],[Engine_CC]])=0,"",VALUE(tbl_data[[#This Row],[Price_USD]])/VALUE(tbl_data[[#This Row],[Engine_CC]])),"")</f>
        <v/>
      </c>
      <c r="R350" s="1" t="str">
        <f>TRIM(tbl_data[[#This Row],[Brand]])</f>
        <v>Honda</v>
      </c>
      <c r="S350" s="1">
        <f>_xlfn.NUMBERVALUE(tbl_data[[#This Row],[Price_USD]],".",",")</f>
        <v>104813.01</v>
      </c>
    </row>
    <row r="351" spans="1:19" x14ac:dyDescent="0.3">
      <c r="A351">
        <v>350</v>
      </c>
      <c r="B351" t="s">
        <v>76</v>
      </c>
      <c r="C351">
        <v>2011</v>
      </c>
      <c r="D351">
        <v>196775</v>
      </c>
      <c r="E351" t="s">
        <v>31</v>
      </c>
      <c r="F351" t="s">
        <v>21</v>
      </c>
      <c r="G351" t="s">
        <v>26</v>
      </c>
      <c r="H351">
        <v>1307</v>
      </c>
      <c r="I351" t="s">
        <v>1056</v>
      </c>
      <c r="J351" t="s">
        <v>1057</v>
      </c>
      <c r="K351">
        <v>7</v>
      </c>
      <c r="L351" t="s">
        <v>1058</v>
      </c>
      <c r="M351" s="1" t="str">
        <f>TEXT(DATE(tbl_data[[#This Row],[Model_Year]],1,1),"yyyy")</f>
        <v>2011</v>
      </c>
      <c r="N351" s="1" t="str">
        <f>IF(tbl_data[[#This Row],[Kilometers_Driven]]&lt;50000,"&lt;50k",
IF(tbl_data[[#This Row],[Kilometers_Driven]]&lt;100000,"50k-100k",
IF(tbl_data[[#This Row],[Kilometers_Driven]]&lt;150000,"100k-150k","150k+")))</f>
        <v>150k+</v>
      </c>
      <c r="O351" s="1" t="str">
        <f>IF(tbl_data[[#This Row],[Price_USD]]&gt;=87089,"High",
IF(tbl_data[[#This Row],[Price_USD]]&gt;=56807,"Mid","Low"))</f>
        <v>High</v>
      </c>
      <c r="P351" s="1" t="str">
        <f>IF(tbl_data[[#This Row],[Transmission]]="Automatic","Auto","Manual")</f>
        <v>Auto</v>
      </c>
      <c r="Q351" s="1" t="str">
        <f>IFERROR(IF(VALUE(tbl_data[[#This Row],[Engine_CC]])=0,"",VALUE(tbl_data[[#This Row],[Price_USD]])/VALUE(tbl_data[[#This Row],[Engine_CC]])),"")</f>
        <v/>
      </c>
      <c r="R351" s="1" t="str">
        <f>TRIM(tbl_data[[#This Row],[Brand]])</f>
        <v>Honda</v>
      </c>
      <c r="S351" s="1">
        <f>_xlfn.NUMBERVALUE(tbl_data[[#This Row],[Price_USD]],".",",")</f>
        <v>19222.349999999999</v>
      </c>
    </row>
    <row r="352" spans="1:19" x14ac:dyDescent="0.3">
      <c r="A352">
        <v>351</v>
      </c>
      <c r="B352" t="s">
        <v>12</v>
      </c>
      <c r="C352">
        <v>2018</v>
      </c>
      <c r="D352">
        <v>100457</v>
      </c>
      <c r="E352" t="s">
        <v>44</v>
      </c>
      <c r="F352" t="s">
        <v>21</v>
      </c>
      <c r="G352" t="s">
        <v>32</v>
      </c>
      <c r="H352">
        <v>2236</v>
      </c>
      <c r="I352" t="s">
        <v>1059</v>
      </c>
      <c r="J352" t="s">
        <v>1060</v>
      </c>
      <c r="K352">
        <v>5</v>
      </c>
      <c r="L352" t="s">
        <v>1061</v>
      </c>
      <c r="M352" s="1" t="str">
        <f>TEXT(DATE(tbl_data[[#This Row],[Model_Year]],1,1),"yyyy")</f>
        <v>2018</v>
      </c>
      <c r="N352" s="1" t="str">
        <f>IF(tbl_data[[#This Row],[Kilometers_Driven]]&lt;50000,"&lt;50k",
IF(tbl_data[[#This Row],[Kilometers_Driven]]&lt;100000,"50k-100k",
IF(tbl_data[[#This Row],[Kilometers_Driven]]&lt;150000,"100k-150k","150k+")))</f>
        <v>100k-150k</v>
      </c>
      <c r="O352" s="1" t="str">
        <f>IF(tbl_data[[#This Row],[Price_USD]]&gt;=87089,"High",
IF(tbl_data[[#This Row],[Price_USD]]&gt;=56807,"Mid","Low"))</f>
        <v>High</v>
      </c>
      <c r="P352" s="1" t="str">
        <f>IF(tbl_data[[#This Row],[Transmission]]="Automatic","Auto","Manual")</f>
        <v>Auto</v>
      </c>
      <c r="Q352" s="1" t="str">
        <f>IFERROR(IF(VALUE(tbl_data[[#This Row],[Engine_CC]])=0,"",VALUE(tbl_data[[#This Row],[Price_USD]])/VALUE(tbl_data[[#This Row],[Engine_CC]])),"")</f>
        <v/>
      </c>
      <c r="R352" s="1" t="str">
        <f>TRIM(tbl_data[[#This Row],[Brand]])</f>
        <v>Audi</v>
      </c>
      <c r="S352" s="1">
        <f>_xlfn.NUMBERVALUE(tbl_data[[#This Row],[Price_USD]],".",",")</f>
        <v>17895.490000000002</v>
      </c>
    </row>
    <row r="353" spans="1:19" x14ac:dyDescent="0.3">
      <c r="A353">
        <v>352</v>
      </c>
      <c r="B353" t="s">
        <v>69</v>
      </c>
      <c r="C353">
        <v>2015</v>
      </c>
      <c r="D353">
        <v>193938</v>
      </c>
      <c r="E353" t="s">
        <v>44</v>
      </c>
      <c r="F353" t="s">
        <v>14</v>
      </c>
      <c r="G353" t="s">
        <v>15</v>
      </c>
      <c r="H353">
        <v>3375</v>
      </c>
      <c r="I353" t="s">
        <v>1062</v>
      </c>
      <c r="J353" t="s">
        <v>1063</v>
      </c>
      <c r="K353">
        <v>4</v>
      </c>
      <c r="L353" t="s">
        <v>1064</v>
      </c>
      <c r="M353" s="1" t="str">
        <f>TEXT(DATE(tbl_data[[#This Row],[Model_Year]],1,1),"yyyy")</f>
        <v>2015</v>
      </c>
      <c r="N353" s="1" t="str">
        <f>IF(tbl_data[[#This Row],[Kilometers_Driven]]&lt;50000,"&lt;50k",
IF(tbl_data[[#This Row],[Kilometers_Driven]]&lt;100000,"50k-100k",
IF(tbl_data[[#This Row],[Kilometers_Driven]]&lt;150000,"100k-150k","150k+")))</f>
        <v>150k+</v>
      </c>
      <c r="O353" s="1" t="str">
        <f>IF(tbl_data[[#This Row],[Price_USD]]&gt;=87089,"High",
IF(tbl_data[[#This Row],[Price_USD]]&gt;=56807,"Mid","Low"))</f>
        <v>High</v>
      </c>
      <c r="P353" s="1" t="str">
        <f>IF(tbl_data[[#This Row],[Transmission]]="Automatic","Auto","Manual")</f>
        <v>Manual</v>
      </c>
      <c r="Q353" s="1" t="str">
        <f>IFERROR(IF(VALUE(tbl_data[[#This Row],[Engine_CC]])=0,"",VALUE(tbl_data[[#This Row],[Price_USD]])/VALUE(tbl_data[[#This Row],[Engine_CC]])),"")</f>
        <v/>
      </c>
      <c r="R353" s="1" t="str">
        <f>TRIM(tbl_data[[#This Row],[Brand]])</f>
        <v>Hyundai</v>
      </c>
      <c r="S353" s="1">
        <f>_xlfn.NUMBERVALUE(tbl_data[[#This Row],[Price_USD]],".",",")</f>
        <v>23553.66</v>
      </c>
    </row>
    <row r="354" spans="1:19" x14ac:dyDescent="0.3">
      <c r="A354">
        <v>353</v>
      </c>
      <c r="B354" t="s">
        <v>43</v>
      </c>
      <c r="C354">
        <v>2017</v>
      </c>
      <c r="D354">
        <v>152977</v>
      </c>
      <c r="E354" t="s">
        <v>13</v>
      </c>
      <c r="F354" t="s">
        <v>21</v>
      </c>
      <c r="G354" t="s">
        <v>32</v>
      </c>
      <c r="H354">
        <v>4226</v>
      </c>
      <c r="I354" t="s">
        <v>338</v>
      </c>
      <c r="J354" t="s">
        <v>1065</v>
      </c>
      <c r="K354">
        <v>5</v>
      </c>
      <c r="L354" t="s">
        <v>1066</v>
      </c>
      <c r="M354" s="1" t="str">
        <f>TEXT(DATE(tbl_data[[#This Row],[Model_Year]],1,1),"yyyy")</f>
        <v>2017</v>
      </c>
      <c r="N354" s="1" t="str">
        <f>IF(tbl_data[[#This Row],[Kilometers_Driven]]&lt;50000,"&lt;50k",
IF(tbl_data[[#This Row],[Kilometers_Driven]]&lt;100000,"50k-100k",
IF(tbl_data[[#This Row],[Kilometers_Driven]]&lt;150000,"100k-150k","150k+")))</f>
        <v>150k+</v>
      </c>
      <c r="O354" s="1" t="str">
        <f>IF(tbl_data[[#This Row],[Price_USD]]&gt;=87089,"High",
IF(tbl_data[[#This Row],[Price_USD]]&gt;=56807,"Mid","Low"))</f>
        <v>High</v>
      </c>
      <c r="P354" s="1" t="str">
        <f>IF(tbl_data[[#This Row],[Transmission]]="Automatic","Auto","Manual")</f>
        <v>Auto</v>
      </c>
      <c r="Q354" s="1" t="str">
        <f>IFERROR(IF(VALUE(tbl_data[[#This Row],[Engine_CC]])=0,"",VALUE(tbl_data[[#This Row],[Price_USD]])/VALUE(tbl_data[[#This Row],[Engine_CC]])),"")</f>
        <v/>
      </c>
      <c r="R354" s="1" t="str">
        <f>TRIM(tbl_data[[#This Row],[Brand]])</f>
        <v>Ford</v>
      </c>
      <c r="S354" s="1">
        <f>_xlfn.NUMBERVALUE(tbl_data[[#This Row],[Price_USD]],".",",")</f>
        <v>115351.16</v>
      </c>
    </row>
    <row r="355" spans="1:19" x14ac:dyDescent="0.3">
      <c r="A355">
        <v>354</v>
      </c>
      <c r="B355" t="s">
        <v>102</v>
      </c>
      <c r="C355">
        <v>2006</v>
      </c>
      <c r="D355">
        <v>50838</v>
      </c>
      <c r="E355" t="s">
        <v>20</v>
      </c>
      <c r="F355" t="s">
        <v>14</v>
      </c>
      <c r="G355" t="s">
        <v>32</v>
      </c>
      <c r="H355">
        <v>1358</v>
      </c>
      <c r="I355" t="s">
        <v>1067</v>
      </c>
      <c r="J355" t="s">
        <v>1068</v>
      </c>
      <c r="K355">
        <v>4</v>
      </c>
      <c r="L355" t="s">
        <v>1069</v>
      </c>
      <c r="M355" s="1" t="str">
        <f>TEXT(DATE(tbl_data[[#This Row],[Model_Year]],1,1),"yyyy")</f>
        <v>2006</v>
      </c>
      <c r="N355" s="1" t="str">
        <f>IF(tbl_data[[#This Row],[Kilometers_Driven]]&lt;50000,"&lt;50k",
IF(tbl_data[[#This Row],[Kilometers_Driven]]&lt;100000,"50k-100k",
IF(tbl_data[[#This Row],[Kilometers_Driven]]&lt;150000,"100k-150k","150k+")))</f>
        <v>50k-100k</v>
      </c>
      <c r="O355" s="1" t="str">
        <f>IF(tbl_data[[#This Row],[Price_USD]]&gt;=87089,"High",
IF(tbl_data[[#This Row],[Price_USD]]&gt;=56807,"Mid","Low"))</f>
        <v>High</v>
      </c>
      <c r="P355" s="1" t="str">
        <f>IF(tbl_data[[#This Row],[Transmission]]="Automatic","Auto","Manual")</f>
        <v>Manual</v>
      </c>
      <c r="Q355" s="1" t="str">
        <f>IFERROR(IF(VALUE(tbl_data[[#This Row],[Engine_CC]])=0,"",VALUE(tbl_data[[#This Row],[Price_USD]])/VALUE(tbl_data[[#This Row],[Engine_CC]])),"")</f>
        <v/>
      </c>
      <c r="R355" s="1" t="str">
        <f>TRIM(tbl_data[[#This Row],[Brand]])</f>
        <v>Nissan</v>
      </c>
      <c r="S355" s="1">
        <f>_xlfn.NUMBERVALUE(tbl_data[[#This Row],[Price_USD]],".",",")</f>
        <v>84100.82</v>
      </c>
    </row>
    <row r="356" spans="1:19" x14ac:dyDescent="0.3">
      <c r="A356">
        <v>355</v>
      </c>
      <c r="B356" t="s">
        <v>39</v>
      </c>
      <c r="C356">
        <v>2011</v>
      </c>
      <c r="D356">
        <v>130200</v>
      </c>
      <c r="E356" t="s">
        <v>13</v>
      </c>
      <c r="F356" t="s">
        <v>21</v>
      </c>
      <c r="G356" t="s">
        <v>15</v>
      </c>
      <c r="H356">
        <v>3902</v>
      </c>
      <c r="I356" t="s">
        <v>1070</v>
      </c>
      <c r="J356" t="s">
        <v>1071</v>
      </c>
      <c r="K356">
        <v>4</v>
      </c>
      <c r="L356" t="s">
        <v>1072</v>
      </c>
      <c r="M356" s="1" t="str">
        <f>TEXT(DATE(tbl_data[[#This Row],[Model_Year]],1,1),"yyyy")</f>
        <v>2011</v>
      </c>
      <c r="N356" s="1" t="str">
        <f>IF(tbl_data[[#This Row],[Kilometers_Driven]]&lt;50000,"&lt;50k",
IF(tbl_data[[#This Row],[Kilometers_Driven]]&lt;100000,"50k-100k",
IF(tbl_data[[#This Row],[Kilometers_Driven]]&lt;150000,"100k-150k","150k+")))</f>
        <v>100k-150k</v>
      </c>
      <c r="O356" s="1" t="str">
        <f>IF(tbl_data[[#This Row],[Price_USD]]&gt;=87089,"High",
IF(tbl_data[[#This Row],[Price_USD]]&gt;=56807,"Mid","Low"))</f>
        <v>High</v>
      </c>
      <c r="P356" s="1" t="str">
        <f>IF(tbl_data[[#This Row],[Transmission]]="Automatic","Auto","Manual")</f>
        <v>Auto</v>
      </c>
      <c r="Q356" s="1" t="str">
        <f>IFERROR(IF(VALUE(tbl_data[[#This Row],[Engine_CC]])=0,"",VALUE(tbl_data[[#This Row],[Price_USD]])/VALUE(tbl_data[[#This Row],[Engine_CC]])),"")</f>
        <v/>
      </c>
      <c r="R356" s="1" t="str">
        <f>TRIM(tbl_data[[#This Row],[Brand]])</f>
        <v>Volkswagen</v>
      </c>
      <c r="S356" s="1">
        <f>_xlfn.NUMBERVALUE(tbl_data[[#This Row],[Price_USD]],".",",")</f>
        <v>96760.47</v>
      </c>
    </row>
    <row r="357" spans="1:19" x14ac:dyDescent="0.3">
      <c r="A357">
        <v>356</v>
      </c>
      <c r="B357" t="s">
        <v>69</v>
      </c>
      <c r="C357">
        <v>2024</v>
      </c>
      <c r="D357">
        <v>194351</v>
      </c>
      <c r="E357" t="s">
        <v>20</v>
      </c>
      <c r="F357" t="s">
        <v>14</v>
      </c>
      <c r="G357" t="s">
        <v>26</v>
      </c>
      <c r="H357">
        <v>4422</v>
      </c>
      <c r="I357" t="s">
        <v>1073</v>
      </c>
      <c r="J357" t="s">
        <v>1074</v>
      </c>
      <c r="K357">
        <v>2</v>
      </c>
      <c r="L357" t="s">
        <v>1075</v>
      </c>
      <c r="M357" s="1" t="str">
        <f>TEXT(DATE(tbl_data[[#This Row],[Model_Year]],1,1),"yyyy")</f>
        <v>2024</v>
      </c>
      <c r="N357" s="1" t="str">
        <f>IF(tbl_data[[#This Row],[Kilometers_Driven]]&lt;50000,"&lt;50k",
IF(tbl_data[[#This Row],[Kilometers_Driven]]&lt;100000,"50k-100k",
IF(tbl_data[[#This Row],[Kilometers_Driven]]&lt;150000,"100k-150k","150k+")))</f>
        <v>150k+</v>
      </c>
      <c r="O357" s="1" t="str">
        <f>IF(tbl_data[[#This Row],[Price_USD]]&gt;=87089,"High",
IF(tbl_data[[#This Row],[Price_USD]]&gt;=56807,"Mid","Low"))</f>
        <v>High</v>
      </c>
      <c r="P357" s="1" t="str">
        <f>IF(tbl_data[[#This Row],[Transmission]]="Automatic","Auto","Manual")</f>
        <v>Manual</v>
      </c>
      <c r="Q357" s="1" t="str">
        <f>IFERROR(IF(VALUE(tbl_data[[#This Row],[Engine_CC]])=0,"",VALUE(tbl_data[[#This Row],[Price_USD]])/VALUE(tbl_data[[#This Row],[Engine_CC]])),"")</f>
        <v/>
      </c>
      <c r="R357" s="1" t="str">
        <f>TRIM(tbl_data[[#This Row],[Brand]])</f>
        <v>Hyundai</v>
      </c>
      <c r="S357" s="1">
        <f>_xlfn.NUMBERVALUE(tbl_data[[#This Row],[Price_USD]],".",",")</f>
        <v>49523.29</v>
      </c>
    </row>
    <row r="358" spans="1:19" x14ac:dyDescent="0.3">
      <c r="A358">
        <v>357</v>
      </c>
      <c r="B358" t="s">
        <v>39</v>
      </c>
      <c r="C358">
        <v>2008</v>
      </c>
      <c r="D358">
        <v>94489</v>
      </c>
      <c r="E358" t="s">
        <v>31</v>
      </c>
      <c r="F358" t="s">
        <v>21</v>
      </c>
      <c r="G358" t="s">
        <v>32</v>
      </c>
      <c r="H358">
        <v>4857</v>
      </c>
      <c r="I358" t="s">
        <v>1076</v>
      </c>
      <c r="J358" t="s">
        <v>1077</v>
      </c>
      <c r="K358">
        <v>2</v>
      </c>
      <c r="L358" t="s">
        <v>1078</v>
      </c>
      <c r="M358" s="1" t="str">
        <f>TEXT(DATE(tbl_data[[#This Row],[Model_Year]],1,1),"yyyy")</f>
        <v>2008</v>
      </c>
      <c r="N358" s="1" t="str">
        <f>IF(tbl_data[[#This Row],[Kilometers_Driven]]&lt;50000,"&lt;50k",
IF(tbl_data[[#This Row],[Kilometers_Driven]]&lt;100000,"50k-100k",
IF(tbl_data[[#This Row],[Kilometers_Driven]]&lt;150000,"100k-150k","150k+")))</f>
        <v>50k-100k</v>
      </c>
      <c r="O358" s="1" t="str">
        <f>IF(tbl_data[[#This Row],[Price_USD]]&gt;=87089,"High",
IF(tbl_data[[#This Row],[Price_USD]]&gt;=56807,"Mid","Low"))</f>
        <v>High</v>
      </c>
      <c r="P358" s="1" t="str">
        <f>IF(tbl_data[[#This Row],[Transmission]]="Automatic","Auto","Manual")</f>
        <v>Auto</v>
      </c>
      <c r="Q358" s="1" t="str">
        <f>IFERROR(IF(VALUE(tbl_data[[#This Row],[Engine_CC]])=0,"",VALUE(tbl_data[[#This Row],[Price_USD]])/VALUE(tbl_data[[#This Row],[Engine_CC]])),"")</f>
        <v/>
      </c>
      <c r="R358" s="1" t="str">
        <f>TRIM(tbl_data[[#This Row],[Brand]])</f>
        <v>Volkswagen</v>
      </c>
      <c r="S358" s="1">
        <f>_xlfn.NUMBERVALUE(tbl_data[[#This Row],[Price_USD]],".",",")</f>
        <v>42348.59</v>
      </c>
    </row>
    <row r="359" spans="1:19" x14ac:dyDescent="0.3">
      <c r="A359">
        <v>358</v>
      </c>
      <c r="B359" t="s">
        <v>39</v>
      </c>
      <c r="C359">
        <v>2012</v>
      </c>
      <c r="D359">
        <v>31806</v>
      </c>
      <c r="E359" t="s">
        <v>31</v>
      </c>
      <c r="F359" t="s">
        <v>14</v>
      </c>
      <c r="G359" t="s">
        <v>32</v>
      </c>
      <c r="H359">
        <v>4515</v>
      </c>
      <c r="I359" t="s">
        <v>1079</v>
      </c>
      <c r="J359" t="s">
        <v>1080</v>
      </c>
      <c r="K359">
        <v>5</v>
      </c>
      <c r="L359" t="s">
        <v>1081</v>
      </c>
      <c r="M359" s="1" t="str">
        <f>TEXT(DATE(tbl_data[[#This Row],[Model_Year]],1,1),"yyyy")</f>
        <v>2012</v>
      </c>
      <c r="N359" s="1" t="str">
        <f>IF(tbl_data[[#This Row],[Kilometers_Driven]]&lt;50000,"&lt;50k",
IF(tbl_data[[#This Row],[Kilometers_Driven]]&lt;100000,"50k-100k",
IF(tbl_data[[#This Row],[Kilometers_Driven]]&lt;150000,"100k-150k","150k+")))</f>
        <v>&lt;50k</v>
      </c>
      <c r="O359" s="1" t="str">
        <f>IF(tbl_data[[#This Row],[Price_USD]]&gt;=87089,"High",
IF(tbl_data[[#This Row],[Price_USD]]&gt;=56807,"Mid","Low"))</f>
        <v>High</v>
      </c>
      <c r="P359" s="1" t="str">
        <f>IF(tbl_data[[#This Row],[Transmission]]="Automatic","Auto","Manual")</f>
        <v>Manual</v>
      </c>
      <c r="Q359" s="1" t="str">
        <f>IFERROR(IF(VALUE(tbl_data[[#This Row],[Engine_CC]])=0,"",VALUE(tbl_data[[#This Row],[Price_USD]])/VALUE(tbl_data[[#This Row],[Engine_CC]])),"")</f>
        <v/>
      </c>
      <c r="R359" s="1" t="str">
        <f>TRIM(tbl_data[[#This Row],[Brand]])</f>
        <v>Volkswagen</v>
      </c>
      <c r="S359" s="1">
        <f>_xlfn.NUMBERVALUE(tbl_data[[#This Row],[Price_USD]],".",",")</f>
        <v>30434.63</v>
      </c>
    </row>
    <row r="360" spans="1:19" x14ac:dyDescent="0.3">
      <c r="A360">
        <v>359</v>
      </c>
      <c r="B360" t="s">
        <v>69</v>
      </c>
      <c r="C360">
        <v>2024</v>
      </c>
      <c r="D360">
        <v>181072</v>
      </c>
      <c r="E360" t="s">
        <v>31</v>
      </c>
      <c r="F360" t="s">
        <v>14</v>
      </c>
      <c r="G360" t="s">
        <v>26</v>
      </c>
      <c r="H360">
        <v>2101</v>
      </c>
      <c r="I360" t="s">
        <v>1082</v>
      </c>
      <c r="J360" t="s">
        <v>1083</v>
      </c>
      <c r="K360">
        <v>7</v>
      </c>
      <c r="L360" t="s">
        <v>1084</v>
      </c>
      <c r="M360" s="1" t="str">
        <f>TEXT(DATE(tbl_data[[#This Row],[Model_Year]],1,1),"yyyy")</f>
        <v>2024</v>
      </c>
      <c r="N360" s="1" t="str">
        <f>IF(tbl_data[[#This Row],[Kilometers_Driven]]&lt;50000,"&lt;50k",
IF(tbl_data[[#This Row],[Kilometers_Driven]]&lt;100000,"50k-100k",
IF(tbl_data[[#This Row],[Kilometers_Driven]]&lt;150000,"100k-150k","150k+")))</f>
        <v>150k+</v>
      </c>
      <c r="O360" s="1" t="str">
        <f>IF(tbl_data[[#This Row],[Price_USD]]&gt;=87089,"High",
IF(tbl_data[[#This Row],[Price_USD]]&gt;=56807,"Mid","Low"))</f>
        <v>High</v>
      </c>
      <c r="P360" s="1" t="str">
        <f>IF(tbl_data[[#This Row],[Transmission]]="Automatic","Auto","Manual")</f>
        <v>Manual</v>
      </c>
      <c r="Q360" s="1" t="str">
        <f>IFERROR(IF(VALUE(tbl_data[[#This Row],[Engine_CC]])=0,"",VALUE(tbl_data[[#This Row],[Price_USD]])/VALUE(tbl_data[[#This Row],[Engine_CC]])),"")</f>
        <v/>
      </c>
      <c r="R360" s="1" t="str">
        <f>TRIM(tbl_data[[#This Row],[Brand]])</f>
        <v>Hyundai</v>
      </c>
      <c r="S360" s="1">
        <f>_xlfn.NUMBERVALUE(tbl_data[[#This Row],[Price_USD]],".",",")</f>
        <v>59235.82</v>
      </c>
    </row>
    <row r="361" spans="1:19" x14ac:dyDescent="0.3">
      <c r="A361">
        <v>360</v>
      </c>
      <c r="B361" t="s">
        <v>92</v>
      </c>
      <c r="C361">
        <v>2023</v>
      </c>
      <c r="D361">
        <v>158240</v>
      </c>
      <c r="E361" t="s">
        <v>31</v>
      </c>
      <c r="F361" t="s">
        <v>14</v>
      </c>
      <c r="G361" t="s">
        <v>26</v>
      </c>
      <c r="H361">
        <v>2955</v>
      </c>
      <c r="I361" t="s">
        <v>1085</v>
      </c>
      <c r="J361" t="s">
        <v>1086</v>
      </c>
      <c r="K361">
        <v>5</v>
      </c>
      <c r="L361" t="s">
        <v>1087</v>
      </c>
      <c r="M361" s="1" t="str">
        <f>TEXT(DATE(tbl_data[[#This Row],[Model_Year]],1,1),"yyyy")</f>
        <v>2023</v>
      </c>
      <c r="N361" s="1" t="str">
        <f>IF(tbl_data[[#This Row],[Kilometers_Driven]]&lt;50000,"&lt;50k",
IF(tbl_data[[#This Row],[Kilometers_Driven]]&lt;100000,"50k-100k",
IF(tbl_data[[#This Row],[Kilometers_Driven]]&lt;150000,"100k-150k","150k+")))</f>
        <v>150k+</v>
      </c>
      <c r="O361" s="1" t="str">
        <f>IF(tbl_data[[#This Row],[Price_USD]]&gt;=87089,"High",
IF(tbl_data[[#This Row],[Price_USD]]&gt;=56807,"Mid","Low"))</f>
        <v>High</v>
      </c>
      <c r="P361" s="1" t="str">
        <f>IF(tbl_data[[#This Row],[Transmission]]="Automatic","Auto","Manual")</f>
        <v>Manual</v>
      </c>
      <c r="Q361" s="1" t="str">
        <f>IFERROR(IF(VALUE(tbl_data[[#This Row],[Engine_CC]])=0,"",VALUE(tbl_data[[#This Row],[Price_USD]])/VALUE(tbl_data[[#This Row],[Engine_CC]])),"")</f>
        <v/>
      </c>
      <c r="R361" s="1" t="str">
        <f>TRIM(tbl_data[[#This Row],[Brand]])</f>
        <v>Toyota</v>
      </c>
      <c r="S361" s="1">
        <f>_xlfn.NUMBERVALUE(tbl_data[[#This Row],[Price_USD]],".",",")</f>
        <v>67563.960000000006</v>
      </c>
    </row>
    <row r="362" spans="1:19" x14ac:dyDescent="0.3">
      <c r="A362">
        <v>361</v>
      </c>
      <c r="B362" t="s">
        <v>19</v>
      </c>
      <c r="C362">
        <v>2017</v>
      </c>
      <c r="D362">
        <v>75119</v>
      </c>
      <c r="E362" t="s">
        <v>44</v>
      </c>
      <c r="F362" t="s">
        <v>21</v>
      </c>
      <c r="G362" t="s">
        <v>15</v>
      </c>
      <c r="H362">
        <v>1492</v>
      </c>
      <c r="I362" t="s">
        <v>383</v>
      </c>
      <c r="J362" t="s">
        <v>1088</v>
      </c>
      <c r="K362">
        <v>6</v>
      </c>
      <c r="L362" t="s">
        <v>1089</v>
      </c>
      <c r="M362" s="1" t="str">
        <f>TEXT(DATE(tbl_data[[#This Row],[Model_Year]],1,1),"yyyy")</f>
        <v>2017</v>
      </c>
      <c r="N362" s="1" t="str">
        <f>IF(tbl_data[[#This Row],[Kilometers_Driven]]&lt;50000,"&lt;50k",
IF(tbl_data[[#This Row],[Kilometers_Driven]]&lt;100000,"50k-100k",
IF(tbl_data[[#This Row],[Kilometers_Driven]]&lt;150000,"100k-150k","150k+")))</f>
        <v>50k-100k</v>
      </c>
      <c r="O362" s="1" t="str">
        <f>IF(tbl_data[[#This Row],[Price_USD]]&gt;=87089,"High",
IF(tbl_data[[#This Row],[Price_USD]]&gt;=56807,"Mid","Low"))</f>
        <v>High</v>
      </c>
      <c r="P362" s="1" t="str">
        <f>IF(tbl_data[[#This Row],[Transmission]]="Automatic","Auto","Manual")</f>
        <v>Auto</v>
      </c>
      <c r="Q362" s="1" t="str">
        <f>IFERROR(IF(VALUE(tbl_data[[#This Row],[Engine_CC]])=0,"",VALUE(tbl_data[[#This Row],[Price_USD]])/VALUE(tbl_data[[#This Row],[Engine_CC]])),"")</f>
        <v/>
      </c>
      <c r="R362" s="1" t="str">
        <f>TRIM(tbl_data[[#This Row],[Brand]])</f>
        <v>BMW</v>
      </c>
      <c r="S362" s="1">
        <f>_xlfn.NUMBERVALUE(tbl_data[[#This Row],[Price_USD]],".",",")</f>
        <v>76917.66</v>
      </c>
    </row>
    <row r="363" spans="1:19" x14ac:dyDescent="0.3">
      <c r="A363">
        <v>362</v>
      </c>
      <c r="B363" t="s">
        <v>39</v>
      </c>
      <c r="C363">
        <v>2018</v>
      </c>
      <c r="D363">
        <v>43714</v>
      </c>
      <c r="E363" t="s">
        <v>44</v>
      </c>
      <c r="F363" t="s">
        <v>21</v>
      </c>
      <c r="G363" t="s">
        <v>26</v>
      </c>
      <c r="H363">
        <v>2278</v>
      </c>
      <c r="I363" t="s">
        <v>1090</v>
      </c>
      <c r="J363" t="s">
        <v>1091</v>
      </c>
      <c r="K363">
        <v>4</v>
      </c>
      <c r="L363" t="s">
        <v>1092</v>
      </c>
      <c r="M363" s="1" t="str">
        <f>TEXT(DATE(tbl_data[[#This Row],[Model_Year]],1,1),"yyyy")</f>
        <v>2018</v>
      </c>
      <c r="N363" s="1" t="str">
        <f>IF(tbl_data[[#This Row],[Kilometers_Driven]]&lt;50000,"&lt;50k",
IF(tbl_data[[#This Row],[Kilometers_Driven]]&lt;100000,"50k-100k",
IF(tbl_data[[#This Row],[Kilometers_Driven]]&lt;150000,"100k-150k","150k+")))</f>
        <v>&lt;50k</v>
      </c>
      <c r="O363" s="1" t="str">
        <f>IF(tbl_data[[#This Row],[Price_USD]]&gt;=87089,"High",
IF(tbl_data[[#This Row],[Price_USD]]&gt;=56807,"Mid","Low"))</f>
        <v>High</v>
      </c>
      <c r="P363" s="1" t="str">
        <f>IF(tbl_data[[#This Row],[Transmission]]="Automatic","Auto","Manual")</f>
        <v>Auto</v>
      </c>
      <c r="Q363" s="1" t="str">
        <f>IFERROR(IF(VALUE(tbl_data[[#This Row],[Engine_CC]])=0,"",VALUE(tbl_data[[#This Row],[Price_USD]])/VALUE(tbl_data[[#This Row],[Engine_CC]])),"")</f>
        <v/>
      </c>
      <c r="R363" s="1" t="str">
        <f>TRIM(tbl_data[[#This Row],[Brand]])</f>
        <v>Volkswagen</v>
      </c>
      <c r="S363" s="1">
        <f>_xlfn.NUMBERVALUE(tbl_data[[#This Row],[Price_USD]],".",",")</f>
        <v>33082.86</v>
      </c>
    </row>
    <row r="364" spans="1:19" x14ac:dyDescent="0.3">
      <c r="A364">
        <v>363</v>
      </c>
      <c r="B364" t="s">
        <v>69</v>
      </c>
      <c r="C364">
        <v>2014</v>
      </c>
      <c r="D364">
        <v>190165</v>
      </c>
      <c r="E364" t="s">
        <v>13</v>
      </c>
      <c r="F364" t="s">
        <v>21</v>
      </c>
      <c r="G364" t="s">
        <v>26</v>
      </c>
      <c r="H364">
        <v>1056</v>
      </c>
      <c r="I364" t="s">
        <v>1093</v>
      </c>
      <c r="J364" t="s">
        <v>1094</v>
      </c>
      <c r="K364">
        <v>4</v>
      </c>
      <c r="L364" t="s">
        <v>1095</v>
      </c>
      <c r="M364" s="1" t="str">
        <f>TEXT(DATE(tbl_data[[#This Row],[Model_Year]],1,1),"yyyy")</f>
        <v>2014</v>
      </c>
      <c r="N364" s="1" t="str">
        <f>IF(tbl_data[[#This Row],[Kilometers_Driven]]&lt;50000,"&lt;50k",
IF(tbl_data[[#This Row],[Kilometers_Driven]]&lt;100000,"50k-100k",
IF(tbl_data[[#This Row],[Kilometers_Driven]]&lt;150000,"100k-150k","150k+")))</f>
        <v>150k+</v>
      </c>
      <c r="O364" s="1" t="str">
        <f>IF(tbl_data[[#This Row],[Price_USD]]&gt;=87089,"High",
IF(tbl_data[[#This Row],[Price_USD]]&gt;=56807,"Mid","Low"))</f>
        <v>High</v>
      </c>
      <c r="P364" s="1" t="str">
        <f>IF(tbl_data[[#This Row],[Transmission]]="Automatic","Auto","Manual")</f>
        <v>Auto</v>
      </c>
      <c r="Q364" s="1" t="str">
        <f>IFERROR(IF(VALUE(tbl_data[[#This Row],[Engine_CC]])=0,"",VALUE(tbl_data[[#This Row],[Price_USD]])/VALUE(tbl_data[[#This Row],[Engine_CC]])),"")</f>
        <v/>
      </c>
      <c r="R364" s="1" t="str">
        <f>TRIM(tbl_data[[#This Row],[Brand]])</f>
        <v>Hyundai</v>
      </c>
      <c r="S364" s="1">
        <f>_xlfn.NUMBERVALUE(tbl_data[[#This Row],[Price_USD]],".",",")</f>
        <v>113992.53</v>
      </c>
    </row>
    <row r="365" spans="1:19" x14ac:dyDescent="0.3">
      <c r="A365">
        <v>364</v>
      </c>
      <c r="B365" t="s">
        <v>69</v>
      </c>
      <c r="C365">
        <v>2015</v>
      </c>
      <c r="D365">
        <v>60419</v>
      </c>
      <c r="E365" t="s">
        <v>20</v>
      </c>
      <c r="F365" t="s">
        <v>14</v>
      </c>
      <c r="G365" t="s">
        <v>26</v>
      </c>
      <c r="H365">
        <v>3230</v>
      </c>
      <c r="I365" t="s">
        <v>1096</v>
      </c>
      <c r="J365" t="s">
        <v>1097</v>
      </c>
      <c r="K365">
        <v>2</v>
      </c>
      <c r="L365" t="s">
        <v>1098</v>
      </c>
      <c r="M365" s="1" t="str">
        <f>TEXT(DATE(tbl_data[[#This Row],[Model_Year]],1,1),"yyyy")</f>
        <v>2015</v>
      </c>
      <c r="N365" s="1" t="str">
        <f>IF(tbl_data[[#This Row],[Kilometers_Driven]]&lt;50000,"&lt;50k",
IF(tbl_data[[#This Row],[Kilometers_Driven]]&lt;100000,"50k-100k",
IF(tbl_data[[#This Row],[Kilometers_Driven]]&lt;150000,"100k-150k","150k+")))</f>
        <v>50k-100k</v>
      </c>
      <c r="O365" s="1" t="str">
        <f>IF(tbl_data[[#This Row],[Price_USD]]&gt;=87089,"High",
IF(tbl_data[[#This Row],[Price_USD]]&gt;=56807,"Mid","Low"))</f>
        <v>High</v>
      </c>
      <c r="P365" s="1" t="str">
        <f>IF(tbl_data[[#This Row],[Transmission]]="Automatic","Auto","Manual")</f>
        <v>Manual</v>
      </c>
      <c r="Q365" s="1" t="str">
        <f>IFERROR(IF(VALUE(tbl_data[[#This Row],[Engine_CC]])=0,"",VALUE(tbl_data[[#This Row],[Price_USD]])/VALUE(tbl_data[[#This Row],[Engine_CC]])),"")</f>
        <v/>
      </c>
      <c r="R365" s="1" t="str">
        <f>TRIM(tbl_data[[#This Row],[Brand]])</f>
        <v>Hyundai</v>
      </c>
      <c r="S365" s="1">
        <f>_xlfn.NUMBERVALUE(tbl_data[[#This Row],[Price_USD]],".",",")</f>
        <v>22861.74</v>
      </c>
    </row>
    <row r="366" spans="1:19" x14ac:dyDescent="0.3">
      <c r="A366">
        <v>365</v>
      </c>
      <c r="B366" t="s">
        <v>30</v>
      </c>
      <c r="C366">
        <v>2006</v>
      </c>
      <c r="D366">
        <v>185217</v>
      </c>
      <c r="E366" t="s">
        <v>31</v>
      </c>
      <c r="F366" t="s">
        <v>21</v>
      </c>
      <c r="G366" t="s">
        <v>15</v>
      </c>
      <c r="H366">
        <v>1241</v>
      </c>
      <c r="I366" t="s">
        <v>1099</v>
      </c>
      <c r="J366" t="s">
        <v>1100</v>
      </c>
      <c r="K366">
        <v>7</v>
      </c>
      <c r="L366" t="s">
        <v>1101</v>
      </c>
      <c r="M366" s="1" t="str">
        <f>TEXT(DATE(tbl_data[[#This Row],[Model_Year]],1,1),"yyyy")</f>
        <v>2006</v>
      </c>
      <c r="N366" s="1" t="str">
        <f>IF(tbl_data[[#This Row],[Kilometers_Driven]]&lt;50000,"&lt;50k",
IF(tbl_data[[#This Row],[Kilometers_Driven]]&lt;100000,"50k-100k",
IF(tbl_data[[#This Row],[Kilometers_Driven]]&lt;150000,"100k-150k","150k+")))</f>
        <v>150k+</v>
      </c>
      <c r="O366" s="1" t="str">
        <f>IF(tbl_data[[#This Row],[Price_USD]]&gt;=87089,"High",
IF(tbl_data[[#This Row],[Price_USD]]&gt;=56807,"Mid","Low"))</f>
        <v>High</v>
      </c>
      <c r="P366" s="1" t="str">
        <f>IF(tbl_data[[#This Row],[Transmission]]="Automatic","Auto","Manual")</f>
        <v>Auto</v>
      </c>
      <c r="Q366" s="1" t="str">
        <f>IFERROR(IF(VALUE(tbl_data[[#This Row],[Engine_CC]])=0,"",VALUE(tbl_data[[#This Row],[Price_USD]])/VALUE(tbl_data[[#This Row],[Engine_CC]])),"")</f>
        <v/>
      </c>
      <c r="R366" s="1" t="str">
        <f>TRIM(tbl_data[[#This Row],[Brand]])</f>
        <v>Mercedes</v>
      </c>
      <c r="S366" s="1">
        <f>_xlfn.NUMBERVALUE(tbl_data[[#This Row],[Price_USD]],".",",")</f>
        <v>115981.42</v>
      </c>
    </row>
    <row r="367" spans="1:19" x14ac:dyDescent="0.3">
      <c r="A367">
        <v>366</v>
      </c>
      <c r="B367" t="s">
        <v>92</v>
      </c>
      <c r="C367">
        <v>2013</v>
      </c>
      <c r="D367">
        <v>110432</v>
      </c>
      <c r="E367" t="s">
        <v>31</v>
      </c>
      <c r="F367" t="s">
        <v>14</v>
      </c>
      <c r="G367" t="s">
        <v>26</v>
      </c>
      <c r="H367">
        <v>2681</v>
      </c>
      <c r="I367" t="s">
        <v>1102</v>
      </c>
      <c r="J367" t="s">
        <v>1103</v>
      </c>
      <c r="K367">
        <v>2</v>
      </c>
      <c r="L367" t="s">
        <v>1104</v>
      </c>
      <c r="M367" s="1" t="str">
        <f>TEXT(DATE(tbl_data[[#This Row],[Model_Year]],1,1),"yyyy")</f>
        <v>2013</v>
      </c>
      <c r="N367" s="1" t="str">
        <f>IF(tbl_data[[#This Row],[Kilometers_Driven]]&lt;50000,"&lt;50k",
IF(tbl_data[[#This Row],[Kilometers_Driven]]&lt;100000,"50k-100k",
IF(tbl_data[[#This Row],[Kilometers_Driven]]&lt;150000,"100k-150k","150k+")))</f>
        <v>100k-150k</v>
      </c>
      <c r="O367" s="1" t="str">
        <f>IF(tbl_data[[#This Row],[Price_USD]]&gt;=87089,"High",
IF(tbl_data[[#This Row],[Price_USD]]&gt;=56807,"Mid","Low"))</f>
        <v>High</v>
      </c>
      <c r="P367" s="1" t="str">
        <f>IF(tbl_data[[#This Row],[Transmission]]="Automatic","Auto","Manual")</f>
        <v>Manual</v>
      </c>
      <c r="Q367" s="1" t="str">
        <f>IFERROR(IF(VALUE(tbl_data[[#This Row],[Engine_CC]])=0,"",VALUE(tbl_data[[#This Row],[Price_USD]])/VALUE(tbl_data[[#This Row],[Engine_CC]])),"")</f>
        <v/>
      </c>
      <c r="R367" s="1" t="str">
        <f>TRIM(tbl_data[[#This Row],[Brand]])</f>
        <v>Toyota</v>
      </c>
      <c r="S367" s="1">
        <f>_xlfn.NUMBERVALUE(tbl_data[[#This Row],[Price_USD]],".",",")</f>
        <v>4738.17</v>
      </c>
    </row>
    <row r="368" spans="1:19" x14ac:dyDescent="0.3">
      <c r="A368">
        <v>367</v>
      </c>
      <c r="B368" t="s">
        <v>25</v>
      </c>
      <c r="C368">
        <v>2021</v>
      </c>
      <c r="D368">
        <v>97949</v>
      </c>
      <c r="E368" t="s">
        <v>20</v>
      </c>
      <c r="F368" t="s">
        <v>21</v>
      </c>
      <c r="G368" t="s">
        <v>26</v>
      </c>
      <c r="H368">
        <v>3446</v>
      </c>
      <c r="I368" t="s">
        <v>1105</v>
      </c>
      <c r="J368" t="s">
        <v>1106</v>
      </c>
      <c r="K368">
        <v>6</v>
      </c>
      <c r="L368" t="s">
        <v>1107</v>
      </c>
      <c r="M368" s="1" t="str">
        <f>TEXT(DATE(tbl_data[[#This Row],[Model_Year]],1,1),"yyyy")</f>
        <v>2021</v>
      </c>
      <c r="N368" s="1" t="str">
        <f>IF(tbl_data[[#This Row],[Kilometers_Driven]]&lt;50000,"&lt;50k",
IF(tbl_data[[#This Row],[Kilometers_Driven]]&lt;100000,"50k-100k",
IF(tbl_data[[#This Row],[Kilometers_Driven]]&lt;150000,"100k-150k","150k+")))</f>
        <v>50k-100k</v>
      </c>
      <c r="O368" s="1" t="str">
        <f>IF(tbl_data[[#This Row],[Price_USD]]&gt;=87089,"High",
IF(tbl_data[[#This Row],[Price_USD]]&gt;=56807,"Mid","Low"))</f>
        <v>High</v>
      </c>
      <c r="P368" s="1" t="str">
        <f>IF(tbl_data[[#This Row],[Transmission]]="Automatic","Auto","Manual")</f>
        <v>Auto</v>
      </c>
      <c r="Q368" s="1" t="str">
        <f>IFERROR(IF(VALUE(tbl_data[[#This Row],[Engine_CC]])=0,"",VALUE(tbl_data[[#This Row],[Price_USD]])/VALUE(tbl_data[[#This Row],[Engine_CC]])),"")</f>
        <v/>
      </c>
      <c r="R368" s="1" t="str">
        <f>TRIM(tbl_data[[#This Row],[Brand]])</f>
        <v>Kia</v>
      </c>
      <c r="S368" s="1">
        <f>_xlfn.NUMBERVALUE(tbl_data[[#This Row],[Price_USD]],".",",")</f>
        <v>59291.71</v>
      </c>
    </row>
    <row r="369" spans="1:19" x14ac:dyDescent="0.3">
      <c r="A369">
        <v>368</v>
      </c>
      <c r="B369" t="s">
        <v>30</v>
      </c>
      <c r="C369">
        <v>2007</v>
      </c>
      <c r="D369">
        <v>138533</v>
      </c>
      <c r="E369" t="s">
        <v>20</v>
      </c>
      <c r="F369" t="s">
        <v>14</v>
      </c>
      <c r="G369" t="s">
        <v>15</v>
      </c>
      <c r="H369">
        <v>4620</v>
      </c>
      <c r="I369" t="s">
        <v>1108</v>
      </c>
      <c r="J369" t="s">
        <v>390</v>
      </c>
      <c r="K369">
        <v>5</v>
      </c>
      <c r="L369" t="s">
        <v>1109</v>
      </c>
      <c r="M369" s="1" t="str">
        <f>TEXT(DATE(tbl_data[[#This Row],[Model_Year]],1,1),"yyyy")</f>
        <v>2007</v>
      </c>
      <c r="N369" s="1" t="str">
        <f>IF(tbl_data[[#This Row],[Kilometers_Driven]]&lt;50000,"&lt;50k",
IF(tbl_data[[#This Row],[Kilometers_Driven]]&lt;100000,"50k-100k",
IF(tbl_data[[#This Row],[Kilometers_Driven]]&lt;150000,"100k-150k","150k+")))</f>
        <v>100k-150k</v>
      </c>
      <c r="O369" s="1" t="str">
        <f>IF(tbl_data[[#This Row],[Price_USD]]&gt;=87089,"High",
IF(tbl_data[[#This Row],[Price_USD]]&gt;=56807,"Mid","Low"))</f>
        <v>High</v>
      </c>
      <c r="P369" s="1" t="str">
        <f>IF(tbl_data[[#This Row],[Transmission]]="Automatic","Auto","Manual")</f>
        <v>Manual</v>
      </c>
      <c r="Q369" s="1" t="str">
        <f>IFERROR(IF(VALUE(tbl_data[[#This Row],[Engine_CC]])=0,"",VALUE(tbl_data[[#This Row],[Price_USD]])/VALUE(tbl_data[[#This Row],[Engine_CC]])),"")</f>
        <v/>
      </c>
      <c r="R369" s="1" t="str">
        <f>TRIM(tbl_data[[#This Row],[Brand]])</f>
        <v>Mercedes</v>
      </c>
      <c r="S369" s="1">
        <f>_xlfn.NUMBERVALUE(tbl_data[[#This Row],[Price_USD]],".",",")</f>
        <v>42004.04</v>
      </c>
    </row>
    <row r="370" spans="1:19" x14ac:dyDescent="0.3">
      <c r="A370">
        <v>369</v>
      </c>
      <c r="B370" t="s">
        <v>30</v>
      </c>
      <c r="C370">
        <v>2010</v>
      </c>
      <c r="D370">
        <v>150363</v>
      </c>
      <c r="E370" t="s">
        <v>13</v>
      </c>
      <c r="F370" t="s">
        <v>14</v>
      </c>
      <c r="G370" t="s">
        <v>26</v>
      </c>
      <c r="H370">
        <v>2535</v>
      </c>
      <c r="I370" t="s">
        <v>1110</v>
      </c>
      <c r="J370" t="s">
        <v>1111</v>
      </c>
      <c r="K370">
        <v>5</v>
      </c>
      <c r="L370" t="s">
        <v>1112</v>
      </c>
      <c r="M370" s="1" t="str">
        <f>TEXT(DATE(tbl_data[[#This Row],[Model_Year]],1,1),"yyyy")</f>
        <v>2010</v>
      </c>
      <c r="N370" s="1" t="str">
        <f>IF(tbl_data[[#This Row],[Kilometers_Driven]]&lt;50000,"&lt;50k",
IF(tbl_data[[#This Row],[Kilometers_Driven]]&lt;100000,"50k-100k",
IF(tbl_data[[#This Row],[Kilometers_Driven]]&lt;150000,"100k-150k","150k+")))</f>
        <v>150k+</v>
      </c>
      <c r="O370" s="1" t="str">
        <f>IF(tbl_data[[#This Row],[Price_USD]]&gt;=87089,"High",
IF(tbl_data[[#This Row],[Price_USD]]&gt;=56807,"Mid","Low"))</f>
        <v>High</v>
      </c>
      <c r="P370" s="1" t="str">
        <f>IF(tbl_data[[#This Row],[Transmission]]="Automatic","Auto","Manual")</f>
        <v>Manual</v>
      </c>
      <c r="Q370" s="1" t="str">
        <f>IFERROR(IF(VALUE(tbl_data[[#This Row],[Engine_CC]])=0,"",VALUE(tbl_data[[#This Row],[Price_USD]])/VALUE(tbl_data[[#This Row],[Engine_CC]])),"")</f>
        <v/>
      </c>
      <c r="R370" s="1" t="str">
        <f>TRIM(tbl_data[[#This Row],[Brand]])</f>
        <v>Mercedes</v>
      </c>
      <c r="S370" s="1">
        <f>_xlfn.NUMBERVALUE(tbl_data[[#This Row],[Price_USD]],".",",")</f>
        <v>55547.44</v>
      </c>
    </row>
    <row r="371" spans="1:19" x14ac:dyDescent="0.3">
      <c r="A371">
        <v>370</v>
      </c>
      <c r="B371" t="s">
        <v>12</v>
      </c>
      <c r="C371">
        <v>2009</v>
      </c>
      <c r="D371">
        <v>182876</v>
      </c>
      <c r="E371" t="s">
        <v>20</v>
      </c>
      <c r="F371" t="s">
        <v>14</v>
      </c>
      <c r="G371" t="s">
        <v>26</v>
      </c>
      <c r="H371">
        <v>4535</v>
      </c>
      <c r="I371" t="s">
        <v>1113</v>
      </c>
      <c r="J371" t="s">
        <v>1114</v>
      </c>
      <c r="K371">
        <v>7</v>
      </c>
      <c r="L371" t="s">
        <v>1115</v>
      </c>
      <c r="M371" s="1" t="str">
        <f>TEXT(DATE(tbl_data[[#This Row],[Model_Year]],1,1),"yyyy")</f>
        <v>2009</v>
      </c>
      <c r="N371" s="1" t="str">
        <f>IF(tbl_data[[#This Row],[Kilometers_Driven]]&lt;50000,"&lt;50k",
IF(tbl_data[[#This Row],[Kilometers_Driven]]&lt;100000,"50k-100k",
IF(tbl_data[[#This Row],[Kilometers_Driven]]&lt;150000,"100k-150k","150k+")))</f>
        <v>150k+</v>
      </c>
      <c r="O371" s="1" t="str">
        <f>IF(tbl_data[[#This Row],[Price_USD]]&gt;=87089,"High",
IF(tbl_data[[#This Row],[Price_USD]]&gt;=56807,"Mid","Low"))</f>
        <v>High</v>
      </c>
      <c r="P371" s="1" t="str">
        <f>IF(tbl_data[[#This Row],[Transmission]]="Automatic","Auto","Manual")</f>
        <v>Manual</v>
      </c>
      <c r="Q371" s="1" t="str">
        <f>IFERROR(IF(VALUE(tbl_data[[#This Row],[Engine_CC]])=0,"",VALUE(tbl_data[[#This Row],[Price_USD]])/VALUE(tbl_data[[#This Row],[Engine_CC]])),"")</f>
        <v/>
      </c>
      <c r="R371" s="1" t="str">
        <f>TRIM(tbl_data[[#This Row],[Brand]])</f>
        <v>Audi</v>
      </c>
      <c r="S371" s="1">
        <f>_xlfn.NUMBERVALUE(tbl_data[[#This Row],[Price_USD]],".",",")</f>
        <v>69767.759999999995</v>
      </c>
    </row>
    <row r="372" spans="1:19" x14ac:dyDescent="0.3">
      <c r="A372">
        <v>371</v>
      </c>
      <c r="B372" t="s">
        <v>19</v>
      </c>
      <c r="C372">
        <v>2009</v>
      </c>
      <c r="D372">
        <v>81971</v>
      </c>
      <c r="E372" t="s">
        <v>31</v>
      </c>
      <c r="F372" t="s">
        <v>21</v>
      </c>
      <c r="G372" t="s">
        <v>15</v>
      </c>
      <c r="H372">
        <v>3445</v>
      </c>
      <c r="I372" t="s">
        <v>1116</v>
      </c>
      <c r="J372" t="s">
        <v>1117</v>
      </c>
      <c r="K372">
        <v>2</v>
      </c>
      <c r="L372" t="s">
        <v>1118</v>
      </c>
      <c r="M372" s="1" t="str">
        <f>TEXT(DATE(tbl_data[[#This Row],[Model_Year]],1,1),"yyyy")</f>
        <v>2009</v>
      </c>
      <c r="N372" s="1" t="str">
        <f>IF(tbl_data[[#This Row],[Kilometers_Driven]]&lt;50000,"&lt;50k",
IF(tbl_data[[#This Row],[Kilometers_Driven]]&lt;100000,"50k-100k",
IF(tbl_data[[#This Row],[Kilometers_Driven]]&lt;150000,"100k-150k","150k+")))</f>
        <v>50k-100k</v>
      </c>
      <c r="O372" s="1" t="str">
        <f>IF(tbl_data[[#This Row],[Price_USD]]&gt;=87089,"High",
IF(tbl_data[[#This Row],[Price_USD]]&gt;=56807,"Mid","Low"))</f>
        <v>High</v>
      </c>
      <c r="P372" s="1" t="str">
        <f>IF(tbl_data[[#This Row],[Transmission]]="Automatic","Auto","Manual")</f>
        <v>Auto</v>
      </c>
      <c r="Q372" s="1" t="str">
        <f>IFERROR(IF(VALUE(tbl_data[[#This Row],[Engine_CC]])=0,"",VALUE(tbl_data[[#This Row],[Price_USD]])/VALUE(tbl_data[[#This Row],[Engine_CC]])),"")</f>
        <v/>
      </c>
      <c r="R372" s="1" t="str">
        <f>TRIM(tbl_data[[#This Row],[Brand]])</f>
        <v>BMW</v>
      </c>
      <c r="S372" s="1">
        <f>_xlfn.NUMBERVALUE(tbl_data[[#This Row],[Price_USD]],".",",")</f>
        <v>53963.93</v>
      </c>
    </row>
    <row r="373" spans="1:19" x14ac:dyDescent="0.3">
      <c r="A373">
        <v>372</v>
      </c>
      <c r="B373" t="s">
        <v>69</v>
      </c>
      <c r="C373">
        <v>2019</v>
      </c>
      <c r="D373">
        <v>98471</v>
      </c>
      <c r="E373" t="s">
        <v>31</v>
      </c>
      <c r="F373" t="s">
        <v>21</v>
      </c>
      <c r="G373" t="s">
        <v>32</v>
      </c>
      <c r="H373">
        <v>818</v>
      </c>
      <c r="I373" t="s">
        <v>1119</v>
      </c>
      <c r="J373" t="s">
        <v>1120</v>
      </c>
      <c r="K373">
        <v>2</v>
      </c>
      <c r="L373" t="s">
        <v>1121</v>
      </c>
      <c r="M373" s="1" t="str">
        <f>TEXT(DATE(tbl_data[[#This Row],[Model_Year]],1,1),"yyyy")</f>
        <v>2019</v>
      </c>
      <c r="N373" s="1" t="str">
        <f>IF(tbl_data[[#This Row],[Kilometers_Driven]]&lt;50000,"&lt;50k",
IF(tbl_data[[#This Row],[Kilometers_Driven]]&lt;100000,"50k-100k",
IF(tbl_data[[#This Row],[Kilometers_Driven]]&lt;150000,"100k-150k","150k+")))</f>
        <v>50k-100k</v>
      </c>
      <c r="O373" s="1" t="str">
        <f>IF(tbl_data[[#This Row],[Price_USD]]&gt;=87089,"High",
IF(tbl_data[[#This Row],[Price_USD]]&gt;=56807,"Mid","Low"))</f>
        <v>High</v>
      </c>
      <c r="P373" s="1" t="str">
        <f>IF(tbl_data[[#This Row],[Transmission]]="Automatic","Auto","Manual")</f>
        <v>Auto</v>
      </c>
      <c r="Q373" s="1" t="str">
        <f>IFERROR(IF(VALUE(tbl_data[[#This Row],[Engine_CC]])=0,"",VALUE(tbl_data[[#This Row],[Price_USD]])/VALUE(tbl_data[[#This Row],[Engine_CC]])),"")</f>
        <v/>
      </c>
      <c r="R373" s="1" t="str">
        <f>TRIM(tbl_data[[#This Row],[Brand]])</f>
        <v>Hyundai</v>
      </c>
      <c r="S373" s="1">
        <f>_xlfn.NUMBERVALUE(tbl_data[[#This Row],[Price_USD]],".",",")</f>
        <v>51537.08</v>
      </c>
    </row>
    <row r="374" spans="1:19" x14ac:dyDescent="0.3">
      <c r="A374">
        <v>373</v>
      </c>
      <c r="B374" t="s">
        <v>19</v>
      </c>
      <c r="C374">
        <v>2021</v>
      </c>
      <c r="D374">
        <v>69946</v>
      </c>
      <c r="E374" t="s">
        <v>31</v>
      </c>
      <c r="F374" t="s">
        <v>21</v>
      </c>
      <c r="G374" t="s">
        <v>15</v>
      </c>
      <c r="H374">
        <v>1924</v>
      </c>
      <c r="I374" t="s">
        <v>1122</v>
      </c>
      <c r="J374" t="s">
        <v>1123</v>
      </c>
      <c r="K374">
        <v>6</v>
      </c>
      <c r="L374" t="s">
        <v>1124</v>
      </c>
      <c r="M374" s="1" t="str">
        <f>TEXT(DATE(tbl_data[[#This Row],[Model_Year]],1,1),"yyyy")</f>
        <v>2021</v>
      </c>
      <c r="N374" s="1" t="str">
        <f>IF(tbl_data[[#This Row],[Kilometers_Driven]]&lt;50000,"&lt;50k",
IF(tbl_data[[#This Row],[Kilometers_Driven]]&lt;100000,"50k-100k",
IF(tbl_data[[#This Row],[Kilometers_Driven]]&lt;150000,"100k-150k","150k+")))</f>
        <v>50k-100k</v>
      </c>
      <c r="O374" s="1" t="str">
        <f>IF(tbl_data[[#This Row],[Price_USD]]&gt;=87089,"High",
IF(tbl_data[[#This Row],[Price_USD]]&gt;=56807,"Mid","Low"))</f>
        <v>High</v>
      </c>
      <c r="P374" s="1" t="str">
        <f>IF(tbl_data[[#This Row],[Transmission]]="Automatic","Auto","Manual")</f>
        <v>Auto</v>
      </c>
      <c r="Q374" s="1" t="str">
        <f>IFERROR(IF(VALUE(tbl_data[[#This Row],[Engine_CC]])=0,"",VALUE(tbl_data[[#This Row],[Price_USD]])/VALUE(tbl_data[[#This Row],[Engine_CC]])),"")</f>
        <v/>
      </c>
      <c r="R374" s="1" t="str">
        <f>TRIM(tbl_data[[#This Row],[Brand]])</f>
        <v>BMW</v>
      </c>
      <c r="S374" s="1">
        <f>_xlfn.NUMBERVALUE(tbl_data[[#This Row],[Price_USD]],".",",")</f>
        <v>88728.639999999999</v>
      </c>
    </row>
    <row r="375" spans="1:19" x14ac:dyDescent="0.3">
      <c r="A375">
        <v>374</v>
      </c>
      <c r="B375" t="s">
        <v>43</v>
      </c>
      <c r="C375">
        <v>2013</v>
      </c>
      <c r="D375">
        <v>103989</v>
      </c>
      <c r="E375" t="s">
        <v>31</v>
      </c>
      <c r="F375" t="s">
        <v>14</v>
      </c>
      <c r="G375" t="s">
        <v>26</v>
      </c>
      <c r="H375">
        <v>4785</v>
      </c>
      <c r="I375" t="s">
        <v>1125</v>
      </c>
      <c r="J375" t="s">
        <v>1126</v>
      </c>
      <c r="K375">
        <v>5</v>
      </c>
      <c r="L375" t="s">
        <v>1127</v>
      </c>
      <c r="M375" s="1" t="str">
        <f>TEXT(DATE(tbl_data[[#This Row],[Model_Year]],1,1),"yyyy")</f>
        <v>2013</v>
      </c>
      <c r="N375" s="1" t="str">
        <f>IF(tbl_data[[#This Row],[Kilometers_Driven]]&lt;50000,"&lt;50k",
IF(tbl_data[[#This Row],[Kilometers_Driven]]&lt;100000,"50k-100k",
IF(tbl_data[[#This Row],[Kilometers_Driven]]&lt;150000,"100k-150k","150k+")))</f>
        <v>100k-150k</v>
      </c>
      <c r="O375" s="1" t="str">
        <f>IF(tbl_data[[#This Row],[Price_USD]]&gt;=87089,"High",
IF(tbl_data[[#This Row],[Price_USD]]&gt;=56807,"Mid","Low"))</f>
        <v>High</v>
      </c>
      <c r="P375" s="1" t="str">
        <f>IF(tbl_data[[#This Row],[Transmission]]="Automatic","Auto","Manual")</f>
        <v>Manual</v>
      </c>
      <c r="Q375" s="1" t="str">
        <f>IFERROR(IF(VALUE(tbl_data[[#This Row],[Engine_CC]])=0,"",VALUE(tbl_data[[#This Row],[Price_USD]])/VALUE(tbl_data[[#This Row],[Engine_CC]])),"")</f>
        <v/>
      </c>
      <c r="R375" s="1" t="str">
        <f>TRIM(tbl_data[[#This Row],[Brand]])</f>
        <v>Ford</v>
      </c>
      <c r="S375" s="1">
        <f>_xlfn.NUMBERVALUE(tbl_data[[#This Row],[Price_USD]],".",",")</f>
        <v>83247.520000000004</v>
      </c>
    </row>
    <row r="376" spans="1:19" x14ac:dyDescent="0.3">
      <c r="A376">
        <v>375</v>
      </c>
      <c r="B376" t="s">
        <v>12</v>
      </c>
      <c r="C376">
        <v>2007</v>
      </c>
      <c r="D376">
        <v>89080</v>
      </c>
      <c r="E376" t="s">
        <v>31</v>
      </c>
      <c r="F376" t="s">
        <v>14</v>
      </c>
      <c r="G376" t="s">
        <v>26</v>
      </c>
      <c r="H376">
        <v>3454</v>
      </c>
      <c r="I376" t="s">
        <v>1128</v>
      </c>
      <c r="J376" t="s">
        <v>1129</v>
      </c>
      <c r="K376">
        <v>2</v>
      </c>
      <c r="L376" t="s">
        <v>1130</v>
      </c>
      <c r="M376" s="1" t="str">
        <f>TEXT(DATE(tbl_data[[#This Row],[Model_Year]],1,1),"yyyy")</f>
        <v>2007</v>
      </c>
      <c r="N376" s="1" t="str">
        <f>IF(tbl_data[[#This Row],[Kilometers_Driven]]&lt;50000,"&lt;50k",
IF(tbl_data[[#This Row],[Kilometers_Driven]]&lt;100000,"50k-100k",
IF(tbl_data[[#This Row],[Kilometers_Driven]]&lt;150000,"100k-150k","150k+")))</f>
        <v>50k-100k</v>
      </c>
      <c r="O376" s="1" t="str">
        <f>IF(tbl_data[[#This Row],[Price_USD]]&gt;=87089,"High",
IF(tbl_data[[#This Row],[Price_USD]]&gt;=56807,"Mid","Low"))</f>
        <v>High</v>
      </c>
      <c r="P376" s="1" t="str">
        <f>IF(tbl_data[[#This Row],[Transmission]]="Automatic","Auto","Manual")</f>
        <v>Manual</v>
      </c>
      <c r="Q376" s="1" t="str">
        <f>IFERROR(IF(VALUE(tbl_data[[#This Row],[Engine_CC]])=0,"",VALUE(tbl_data[[#This Row],[Price_USD]])/VALUE(tbl_data[[#This Row],[Engine_CC]])),"")</f>
        <v/>
      </c>
      <c r="R376" s="1" t="str">
        <f>TRIM(tbl_data[[#This Row],[Brand]])</f>
        <v>Audi</v>
      </c>
      <c r="S376" s="1">
        <f>_xlfn.NUMBERVALUE(tbl_data[[#This Row],[Price_USD]],".",",")</f>
        <v>100492.74</v>
      </c>
    </row>
    <row r="377" spans="1:19" x14ac:dyDescent="0.3">
      <c r="A377">
        <v>376</v>
      </c>
      <c r="B377" t="s">
        <v>25</v>
      </c>
      <c r="C377">
        <v>2024</v>
      </c>
      <c r="D377">
        <v>197404</v>
      </c>
      <c r="E377" t="s">
        <v>13</v>
      </c>
      <c r="F377" t="s">
        <v>21</v>
      </c>
      <c r="G377" t="s">
        <v>26</v>
      </c>
      <c r="H377">
        <v>2880</v>
      </c>
      <c r="I377" t="s">
        <v>1131</v>
      </c>
      <c r="J377" t="s">
        <v>1132</v>
      </c>
      <c r="K377">
        <v>7</v>
      </c>
      <c r="L377" t="s">
        <v>1133</v>
      </c>
      <c r="M377" s="1" t="str">
        <f>TEXT(DATE(tbl_data[[#This Row],[Model_Year]],1,1),"yyyy")</f>
        <v>2024</v>
      </c>
      <c r="N377" s="1" t="str">
        <f>IF(tbl_data[[#This Row],[Kilometers_Driven]]&lt;50000,"&lt;50k",
IF(tbl_data[[#This Row],[Kilometers_Driven]]&lt;100000,"50k-100k",
IF(tbl_data[[#This Row],[Kilometers_Driven]]&lt;150000,"100k-150k","150k+")))</f>
        <v>150k+</v>
      </c>
      <c r="O377" s="1" t="str">
        <f>IF(tbl_data[[#This Row],[Price_USD]]&gt;=87089,"High",
IF(tbl_data[[#This Row],[Price_USD]]&gt;=56807,"Mid","Low"))</f>
        <v>High</v>
      </c>
      <c r="P377" s="1" t="str">
        <f>IF(tbl_data[[#This Row],[Transmission]]="Automatic","Auto","Manual")</f>
        <v>Auto</v>
      </c>
      <c r="Q377" s="1" t="str">
        <f>IFERROR(IF(VALUE(tbl_data[[#This Row],[Engine_CC]])=0,"",VALUE(tbl_data[[#This Row],[Price_USD]])/VALUE(tbl_data[[#This Row],[Engine_CC]])),"")</f>
        <v/>
      </c>
      <c r="R377" s="1" t="str">
        <f>TRIM(tbl_data[[#This Row],[Brand]])</f>
        <v>Kia</v>
      </c>
      <c r="S377" s="1">
        <f>_xlfn.NUMBERVALUE(tbl_data[[#This Row],[Price_USD]],".",",")</f>
        <v>32245.200000000001</v>
      </c>
    </row>
    <row r="378" spans="1:19" x14ac:dyDescent="0.3">
      <c r="A378">
        <v>377</v>
      </c>
      <c r="B378" t="s">
        <v>19</v>
      </c>
      <c r="C378">
        <v>2021</v>
      </c>
      <c r="D378">
        <v>82794</v>
      </c>
      <c r="E378" t="s">
        <v>31</v>
      </c>
      <c r="F378" t="s">
        <v>21</v>
      </c>
      <c r="G378" t="s">
        <v>15</v>
      </c>
      <c r="H378">
        <v>2347</v>
      </c>
      <c r="I378" t="s">
        <v>219</v>
      </c>
      <c r="J378" t="s">
        <v>1134</v>
      </c>
      <c r="K378">
        <v>5</v>
      </c>
      <c r="L378" t="s">
        <v>1135</v>
      </c>
      <c r="M378" s="1" t="str">
        <f>TEXT(DATE(tbl_data[[#This Row],[Model_Year]],1,1),"yyyy")</f>
        <v>2021</v>
      </c>
      <c r="N378" s="1" t="str">
        <f>IF(tbl_data[[#This Row],[Kilometers_Driven]]&lt;50000,"&lt;50k",
IF(tbl_data[[#This Row],[Kilometers_Driven]]&lt;100000,"50k-100k",
IF(tbl_data[[#This Row],[Kilometers_Driven]]&lt;150000,"100k-150k","150k+")))</f>
        <v>50k-100k</v>
      </c>
      <c r="O378" s="1" t="str">
        <f>IF(tbl_data[[#This Row],[Price_USD]]&gt;=87089,"High",
IF(tbl_data[[#This Row],[Price_USD]]&gt;=56807,"Mid","Low"))</f>
        <v>High</v>
      </c>
      <c r="P378" s="1" t="str">
        <f>IF(tbl_data[[#This Row],[Transmission]]="Automatic","Auto","Manual")</f>
        <v>Auto</v>
      </c>
      <c r="Q378" s="1" t="str">
        <f>IFERROR(IF(VALUE(tbl_data[[#This Row],[Engine_CC]])=0,"",VALUE(tbl_data[[#This Row],[Price_USD]])/VALUE(tbl_data[[#This Row],[Engine_CC]])),"")</f>
        <v/>
      </c>
      <c r="R378" s="1" t="str">
        <f>TRIM(tbl_data[[#This Row],[Brand]])</f>
        <v>BMW</v>
      </c>
      <c r="S378" s="1">
        <f>_xlfn.NUMBERVALUE(tbl_data[[#This Row],[Price_USD]],".",",")</f>
        <v>74314.84</v>
      </c>
    </row>
    <row r="379" spans="1:19" x14ac:dyDescent="0.3">
      <c r="A379">
        <v>378</v>
      </c>
      <c r="B379" t="s">
        <v>76</v>
      </c>
      <c r="C379">
        <v>2014</v>
      </c>
      <c r="D379">
        <v>35841</v>
      </c>
      <c r="E379" t="s">
        <v>13</v>
      </c>
      <c r="F379" t="s">
        <v>21</v>
      </c>
      <c r="G379" t="s">
        <v>26</v>
      </c>
      <c r="H379">
        <v>1661</v>
      </c>
      <c r="I379" t="s">
        <v>1136</v>
      </c>
      <c r="J379" t="s">
        <v>1137</v>
      </c>
      <c r="K379">
        <v>6</v>
      </c>
      <c r="L379" t="s">
        <v>1138</v>
      </c>
      <c r="M379" s="1" t="str">
        <f>TEXT(DATE(tbl_data[[#This Row],[Model_Year]],1,1),"yyyy")</f>
        <v>2014</v>
      </c>
      <c r="N379" s="1" t="str">
        <f>IF(tbl_data[[#This Row],[Kilometers_Driven]]&lt;50000,"&lt;50k",
IF(tbl_data[[#This Row],[Kilometers_Driven]]&lt;100000,"50k-100k",
IF(tbl_data[[#This Row],[Kilometers_Driven]]&lt;150000,"100k-150k","150k+")))</f>
        <v>&lt;50k</v>
      </c>
      <c r="O379" s="1" t="str">
        <f>IF(tbl_data[[#This Row],[Price_USD]]&gt;=87089,"High",
IF(tbl_data[[#This Row],[Price_USD]]&gt;=56807,"Mid","Low"))</f>
        <v>High</v>
      </c>
      <c r="P379" s="1" t="str">
        <f>IF(tbl_data[[#This Row],[Transmission]]="Automatic","Auto","Manual")</f>
        <v>Auto</v>
      </c>
      <c r="Q379" s="1" t="str">
        <f>IFERROR(IF(VALUE(tbl_data[[#This Row],[Engine_CC]])=0,"",VALUE(tbl_data[[#This Row],[Price_USD]])/VALUE(tbl_data[[#This Row],[Engine_CC]])),"")</f>
        <v/>
      </c>
      <c r="R379" s="1" t="str">
        <f>TRIM(tbl_data[[#This Row],[Brand]])</f>
        <v>Honda</v>
      </c>
      <c r="S379" s="1">
        <f>_xlfn.NUMBERVALUE(tbl_data[[#This Row],[Price_USD]],".",",")</f>
        <v>71467.789999999994</v>
      </c>
    </row>
    <row r="380" spans="1:19" x14ac:dyDescent="0.3">
      <c r="A380">
        <v>379</v>
      </c>
      <c r="B380" t="s">
        <v>39</v>
      </c>
      <c r="C380">
        <v>2007</v>
      </c>
      <c r="D380">
        <v>129447</v>
      </c>
      <c r="E380" t="s">
        <v>31</v>
      </c>
      <c r="F380" t="s">
        <v>14</v>
      </c>
      <c r="G380" t="s">
        <v>26</v>
      </c>
      <c r="H380">
        <v>954</v>
      </c>
      <c r="I380" t="s">
        <v>1139</v>
      </c>
      <c r="J380" t="s">
        <v>1140</v>
      </c>
      <c r="K380">
        <v>7</v>
      </c>
      <c r="L380" t="s">
        <v>1141</v>
      </c>
      <c r="M380" s="1" t="str">
        <f>TEXT(DATE(tbl_data[[#This Row],[Model_Year]],1,1),"yyyy")</f>
        <v>2007</v>
      </c>
      <c r="N380" s="1" t="str">
        <f>IF(tbl_data[[#This Row],[Kilometers_Driven]]&lt;50000,"&lt;50k",
IF(tbl_data[[#This Row],[Kilometers_Driven]]&lt;100000,"50k-100k",
IF(tbl_data[[#This Row],[Kilometers_Driven]]&lt;150000,"100k-150k","150k+")))</f>
        <v>100k-150k</v>
      </c>
      <c r="O380" s="1" t="str">
        <f>IF(tbl_data[[#This Row],[Price_USD]]&gt;=87089,"High",
IF(tbl_data[[#This Row],[Price_USD]]&gt;=56807,"Mid","Low"))</f>
        <v>High</v>
      </c>
      <c r="P380" s="1" t="str">
        <f>IF(tbl_data[[#This Row],[Transmission]]="Automatic","Auto","Manual")</f>
        <v>Manual</v>
      </c>
      <c r="Q380" s="1" t="str">
        <f>IFERROR(IF(VALUE(tbl_data[[#This Row],[Engine_CC]])=0,"",VALUE(tbl_data[[#This Row],[Price_USD]])/VALUE(tbl_data[[#This Row],[Engine_CC]])),"")</f>
        <v/>
      </c>
      <c r="R380" s="1" t="str">
        <f>TRIM(tbl_data[[#This Row],[Brand]])</f>
        <v>Volkswagen</v>
      </c>
      <c r="S380" s="1">
        <f>_xlfn.NUMBERVALUE(tbl_data[[#This Row],[Price_USD]],".",",")</f>
        <v>46259.32</v>
      </c>
    </row>
    <row r="381" spans="1:19" x14ac:dyDescent="0.3">
      <c r="A381">
        <v>380</v>
      </c>
      <c r="B381" t="s">
        <v>43</v>
      </c>
      <c r="C381">
        <v>2022</v>
      </c>
      <c r="D381">
        <v>125029</v>
      </c>
      <c r="E381" t="s">
        <v>44</v>
      </c>
      <c r="F381" t="s">
        <v>14</v>
      </c>
      <c r="G381" t="s">
        <v>15</v>
      </c>
      <c r="H381">
        <v>4294</v>
      </c>
      <c r="I381" t="s">
        <v>1142</v>
      </c>
      <c r="J381" t="s">
        <v>1143</v>
      </c>
      <c r="K381">
        <v>4</v>
      </c>
      <c r="L381" t="s">
        <v>1144</v>
      </c>
      <c r="M381" s="1" t="str">
        <f>TEXT(DATE(tbl_data[[#This Row],[Model_Year]],1,1),"yyyy")</f>
        <v>2022</v>
      </c>
      <c r="N381" s="1" t="str">
        <f>IF(tbl_data[[#This Row],[Kilometers_Driven]]&lt;50000,"&lt;50k",
IF(tbl_data[[#This Row],[Kilometers_Driven]]&lt;100000,"50k-100k",
IF(tbl_data[[#This Row],[Kilometers_Driven]]&lt;150000,"100k-150k","150k+")))</f>
        <v>100k-150k</v>
      </c>
      <c r="O381" s="1" t="str">
        <f>IF(tbl_data[[#This Row],[Price_USD]]&gt;=87089,"High",
IF(tbl_data[[#This Row],[Price_USD]]&gt;=56807,"Mid","Low"))</f>
        <v>High</v>
      </c>
      <c r="P381" s="1" t="str">
        <f>IF(tbl_data[[#This Row],[Transmission]]="Automatic","Auto","Manual")</f>
        <v>Manual</v>
      </c>
      <c r="Q381" s="1" t="str">
        <f>IFERROR(IF(VALUE(tbl_data[[#This Row],[Engine_CC]])=0,"",VALUE(tbl_data[[#This Row],[Price_USD]])/VALUE(tbl_data[[#This Row],[Engine_CC]])),"")</f>
        <v/>
      </c>
      <c r="R381" s="1" t="str">
        <f>TRIM(tbl_data[[#This Row],[Brand]])</f>
        <v>Ford</v>
      </c>
      <c r="S381" s="1">
        <f>_xlfn.NUMBERVALUE(tbl_data[[#This Row],[Price_USD]],".",",")</f>
        <v>59868.73</v>
      </c>
    </row>
    <row r="382" spans="1:19" x14ac:dyDescent="0.3">
      <c r="A382">
        <v>381</v>
      </c>
      <c r="B382" t="s">
        <v>92</v>
      </c>
      <c r="C382">
        <v>2022</v>
      </c>
      <c r="D382">
        <v>184830</v>
      </c>
      <c r="E382" t="s">
        <v>44</v>
      </c>
      <c r="F382" t="s">
        <v>14</v>
      </c>
      <c r="G382" t="s">
        <v>32</v>
      </c>
      <c r="H382">
        <v>1704</v>
      </c>
      <c r="I382" t="s">
        <v>1145</v>
      </c>
      <c r="J382" t="s">
        <v>1071</v>
      </c>
      <c r="K382">
        <v>6</v>
      </c>
      <c r="L382" t="s">
        <v>1146</v>
      </c>
      <c r="M382" s="1" t="str">
        <f>TEXT(DATE(tbl_data[[#This Row],[Model_Year]],1,1),"yyyy")</f>
        <v>2022</v>
      </c>
      <c r="N382" s="1" t="str">
        <f>IF(tbl_data[[#This Row],[Kilometers_Driven]]&lt;50000,"&lt;50k",
IF(tbl_data[[#This Row],[Kilometers_Driven]]&lt;100000,"50k-100k",
IF(tbl_data[[#This Row],[Kilometers_Driven]]&lt;150000,"100k-150k","150k+")))</f>
        <v>150k+</v>
      </c>
      <c r="O382" s="1" t="str">
        <f>IF(tbl_data[[#This Row],[Price_USD]]&gt;=87089,"High",
IF(tbl_data[[#This Row],[Price_USD]]&gt;=56807,"Mid","Low"))</f>
        <v>High</v>
      </c>
      <c r="P382" s="1" t="str">
        <f>IF(tbl_data[[#This Row],[Transmission]]="Automatic","Auto","Manual")</f>
        <v>Manual</v>
      </c>
      <c r="Q382" s="1" t="str">
        <f>IFERROR(IF(VALUE(tbl_data[[#This Row],[Engine_CC]])=0,"",VALUE(tbl_data[[#This Row],[Price_USD]])/VALUE(tbl_data[[#This Row],[Engine_CC]])),"")</f>
        <v/>
      </c>
      <c r="R382" s="1" t="str">
        <f>TRIM(tbl_data[[#This Row],[Brand]])</f>
        <v>Toyota</v>
      </c>
      <c r="S382" s="1">
        <f>_xlfn.NUMBERVALUE(tbl_data[[#This Row],[Price_USD]],".",",")</f>
        <v>39712.51</v>
      </c>
    </row>
    <row r="383" spans="1:19" x14ac:dyDescent="0.3">
      <c r="A383">
        <v>382</v>
      </c>
      <c r="B383" t="s">
        <v>25</v>
      </c>
      <c r="C383">
        <v>2021</v>
      </c>
      <c r="D383">
        <v>81272</v>
      </c>
      <c r="E383" t="s">
        <v>44</v>
      </c>
      <c r="F383" t="s">
        <v>14</v>
      </c>
      <c r="G383" t="s">
        <v>32</v>
      </c>
      <c r="H383">
        <v>2069</v>
      </c>
      <c r="I383" t="s">
        <v>1147</v>
      </c>
      <c r="J383" t="s">
        <v>1148</v>
      </c>
      <c r="K383">
        <v>7</v>
      </c>
      <c r="L383" t="s">
        <v>1149</v>
      </c>
      <c r="M383" s="1" t="str">
        <f>TEXT(DATE(tbl_data[[#This Row],[Model_Year]],1,1),"yyyy")</f>
        <v>2021</v>
      </c>
      <c r="N383" s="1" t="str">
        <f>IF(tbl_data[[#This Row],[Kilometers_Driven]]&lt;50000,"&lt;50k",
IF(tbl_data[[#This Row],[Kilometers_Driven]]&lt;100000,"50k-100k",
IF(tbl_data[[#This Row],[Kilometers_Driven]]&lt;150000,"100k-150k","150k+")))</f>
        <v>50k-100k</v>
      </c>
      <c r="O383" s="1" t="str">
        <f>IF(tbl_data[[#This Row],[Price_USD]]&gt;=87089,"High",
IF(tbl_data[[#This Row],[Price_USD]]&gt;=56807,"Mid","Low"))</f>
        <v>High</v>
      </c>
      <c r="P383" s="1" t="str">
        <f>IF(tbl_data[[#This Row],[Transmission]]="Automatic","Auto","Manual")</f>
        <v>Manual</v>
      </c>
      <c r="Q383" s="1" t="str">
        <f>IFERROR(IF(VALUE(tbl_data[[#This Row],[Engine_CC]])=0,"",VALUE(tbl_data[[#This Row],[Price_USD]])/VALUE(tbl_data[[#This Row],[Engine_CC]])),"")</f>
        <v/>
      </c>
      <c r="R383" s="1" t="str">
        <f>TRIM(tbl_data[[#This Row],[Brand]])</f>
        <v>Kia</v>
      </c>
      <c r="S383" s="1">
        <f>_xlfn.NUMBERVALUE(tbl_data[[#This Row],[Price_USD]],".",",")</f>
        <v>19595.79</v>
      </c>
    </row>
    <row r="384" spans="1:19" x14ac:dyDescent="0.3">
      <c r="A384">
        <v>383</v>
      </c>
      <c r="B384" t="s">
        <v>43</v>
      </c>
      <c r="C384">
        <v>2007</v>
      </c>
      <c r="D384">
        <v>42643</v>
      </c>
      <c r="E384" t="s">
        <v>44</v>
      </c>
      <c r="F384" t="s">
        <v>14</v>
      </c>
      <c r="G384" t="s">
        <v>26</v>
      </c>
      <c r="H384">
        <v>1204</v>
      </c>
      <c r="I384" t="s">
        <v>1150</v>
      </c>
      <c r="J384" t="s">
        <v>1151</v>
      </c>
      <c r="K384">
        <v>2</v>
      </c>
      <c r="L384" t="s">
        <v>1152</v>
      </c>
      <c r="M384" s="1" t="str">
        <f>TEXT(DATE(tbl_data[[#This Row],[Model_Year]],1,1),"yyyy")</f>
        <v>2007</v>
      </c>
      <c r="N384" s="1" t="str">
        <f>IF(tbl_data[[#This Row],[Kilometers_Driven]]&lt;50000,"&lt;50k",
IF(tbl_data[[#This Row],[Kilometers_Driven]]&lt;100000,"50k-100k",
IF(tbl_data[[#This Row],[Kilometers_Driven]]&lt;150000,"100k-150k","150k+")))</f>
        <v>&lt;50k</v>
      </c>
      <c r="O384" s="1" t="str">
        <f>IF(tbl_data[[#This Row],[Price_USD]]&gt;=87089,"High",
IF(tbl_data[[#This Row],[Price_USD]]&gt;=56807,"Mid","Low"))</f>
        <v>High</v>
      </c>
      <c r="P384" s="1" t="str">
        <f>IF(tbl_data[[#This Row],[Transmission]]="Automatic","Auto","Manual")</f>
        <v>Manual</v>
      </c>
      <c r="Q384" s="1" t="str">
        <f>IFERROR(IF(VALUE(tbl_data[[#This Row],[Engine_CC]])=0,"",VALUE(tbl_data[[#This Row],[Price_USD]])/VALUE(tbl_data[[#This Row],[Engine_CC]])),"")</f>
        <v/>
      </c>
      <c r="R384" s="1" t="str">
        <f>TRIM(tbl_data[[#This Row],[Brand]])</f>
        <v>Ford</v>
      </c>
      <c r="S384" s="1">
        <f>_xlfn.NUMBERVALUE(tbl_data[[#This Row],[Price_USD]],".",",")</f>
        <v>28014.74</v>
      </c>
    </row>
    <row r="385" spans="1:19" x14ac:dyDescent="0.3">
      <c r="A385">
        <v>384</v>
      </c>
      <c r="B385" t="s">
        <v>39</v>
      </c>
      <c r="C385">
        <v>2007</v>
      </c>
      <c r="D385">
        <v>186480</v>
      </c>
      <c r="E385" t="s">
        <v>13</v>
      </c>
      <c r="F385" t="s">
        <v>21</v>
      </c>
      <c r="G385" t="s">
        <v>15</v>
      </c>
      <c r="H385">
        <v>1643</v>
      </c>
      <c r="I385" t="s">
        <v>1153</v>
      </c>
      <c r="J385" t="s">
        <v>1154</v>
      </c>
      <c r="K385">
        <v>4</v>
      </c>
      <c r="L385" t="s">
        <v>1155</v>
      </c>
      <c r="M385" s="1" t="str">
        <f>TEXT(DATE(tbl_data[[#This Row],[Model_Year]],1,1),"yyyy")</f>
        <v>2007</v>
      </c>
      <c r="N385" s="1" t="str">
        <f>IF(tbl_data[[#This Row],[Kilometers_Driven]]&lt;50000,"&lt;50k",
IF(tbl_data[[#This Row],[Kilometers_Driven]]&lt;100000,"50k-100k",
IF(tbl_data[[#This Row],[Kilometers_Driven]]&lt;150000,"100k-150k","150k+")))</f>
        <v>150k+</v>
      </c>
      <c r="O385" s="1" t="str">
        <f>IF(tbl_data[[#This Row],[Price_USD]]&gt;=87089,"High",
IF(tbl_data[[#This Row],[Price_USD]]&gt;=56807,"Mid","Low"))</f>
        <v>High</v>
      </c>
      <c r="P385" s="1" t="str">
        <f>IF(tbl_data[[#This Row],[Transmission]]="Automatic","Auto","Manual")</f>
        <v>Auto</v>
      </c>
      <c r="Q385" s="1" t="str">
        <f>IFERROR(IF(VALUE(tbl_data[[#This Row],[Engine_CC]])=0,"",VALUE(tbl_data[[#This Row],[Price_USD]])/VALUE(tbl_data[[#This Row],[Engine_CC]])),"")</f>
        <v/>
      </c>
      <c r="R385" s="1" t="str">
        <f>TRIM(tbl_data[[#This Row],[Brand]])</f>
        <v>Volkswagen</v>
      </c>
      <c r="S385" s="1">
        <f>_xlfn.NUMBERVALUE(tbl_data[[#This Row],[Price_USD]],".",",")</f>
        <v>15345.1</v>
      </c>
    </row>
    <row r="386" spans="1:19" x14ac:dyDescent="0.3">
      <c r="A386">
        <v>385</v>
      </c>
      <c r="B386" t="s">
        <v>12</v>
      </c>
      <c r="C386">
        <v>2010</v>
      </c>
      <c r="D386">
        <v>48950</v>
      </c>
      <c r="E386" t="s">
        <v>13</v>
      </c>
      <c r="F386" t="s">
        <v>14</v>
      </c>
      <c r="G386" t="s">
        <v>26</v>
      </c>
      <c r="H386">
        <v>2582</v>
      </c>
      <c r="I386" t="s">
        <v>1156</v>
      </c>
      <c r="J386" t="s">
        <v>849</v>
      </c>
      <c r="K386">
        <v>6</v>
      </c>
      <c r="L386" t="s">
        <v>1157</v>
      </c>
      <c r="M386" s="1" t="str">
        <f>TEXT(DATE(tbl_data[[#This Row],[Model_Year]],1,1),"yyyy")</f>
        <v>2010</v>
      </c>
      <c r="N386" s="1" t="str">
        <f>IF(tbl_data[[#This Row],[Kilometers_Driven]]&lt;50000,"&lt;50k",
IF(tbl_data[[#This Row],[Kilometers_Driven]]&lt;100000,"50k-100k",
IF(tbl_data[[#This Row],[Kilometers_Driven]]&lt;150000,"100k-150k","150k+")))</f>
        <v>&lt;50k</v>
      </c>
      <c r="O386" s="1" t="str">
        <f>IF(tbl_data[[#This Row],[Price_USD]]&gt;=87089,"High",
IF(tbl_data[[#This Row],[Price_USD]]&gt;=56807,"Mid","Low"))</f>
        <v>High</v>
      </c>
      <c r="P386" s="1" t="str">
        <f>IF(tbl_data[[#This Row],[Transmission]]="Automatic","Auto","Manual")</f>
        <v>Manual</v>
      </c>
      <c r="Q386" s="1" t="str">
        <f>IFERROR(IF(VALUE(tbl_data[[#This Row],[Engine_CC]])=0,"",VALUE(tbl_data[[#This Row],[Price_USD]])/VALUE(tbl_data[[#This Row],[Engine_CC]])),"")</f>
        <v/>
      </c>
      <c r="R386" s="1" t="str">
        <f>TRIM(tbl_data[[#This Row],[Brand]])</f>
        <v>Audi</v>
      </c>
      <c r="S386" s="1">
        <f>_xlfn.NUMBERVALUE(tbl_data[[#This Row],[Price_USD]],".",",")</f>
        <v>82919.14</v>
      </c>
    </row>
    <row r="387" spans="1:19" x14ac:dyDescent="0.3">
      <c r="A387">
        <v>386</v>
      </c>
      <c r="B387" t="s">
        <v>39</v>
      </c>
      <c r="C387">
        <v>2017</v>
      </c>
      <c r="D387">
        <v>192921</v>
      </c>
      <c r="E387" t="s">
        <v>20</v>
      </c>
      <c r="F387" t="s">
        <v>14</v>
      </c>
      <c r="G387" t="s">
        <v>15</v>
      </c>
      <c r="H387">
        <v>2364</v>
      </c>
      <c r="I387" t="s">
        <v>1158</v>
      </c>
      <c r="J387" t="s">
        <v>1159</v>
      </c>
      <c r="K387">
        <v>2</v>
      </c>
      <c r="L387" t="s">
        <v>1160</v>
      </c>
      <c r="M387" s="1" t="str">
        <f>TEXT(DATE(tbl_data[[#This Row],[Model_Year]],1,1),"yyyy")</f>
        <v>2017</v>
      </c>
      <c r="N387" s="1" t="str">
        <f>IF(tbl_data[[#This Row],[Kilometers_Driven]]&lt;50000,"&lt;50k",
IF(tbl_data[[#This Row],[Kilometers_Driven]]&lt;100000,"50k-100k",
IF(tbl_data[[#This Row],[Kilometers_Driven]]&lt;150000,"100k-150k","150k+")))</f>
        <v>150k+</v>
      </c>
      <c r="O387" s="1" t="str">
        <f>IF(tbl_data[[#This Row],[Price_USD]]&gt;=87089,"High",
IF(tbl_data[[#This Row],[Price_USD]]&gt;=56807,"Mid","Low"))</f>
        <v>High</v>
      </c>
      <c r="P387" s="1" t="str">
        <f>IF(tbl_data[[#This Row],[Transmission]]="Automatic","Auto","Manual")</f>
        <v>Manual</v>
      </c>
      <c r="Q387" s="1" t="str">
        <f>IFERROR(IF(VALUE(tbl_data[[#This Row],[Engine_CC]])=0,"",VALUE(tbl_data[[#This Row],[Price_USD]])/VALUE(tbl_data[[#This Row],[Engine_CC]])),"")</f>
        <v/>
      </c>
      <c r="R387" s="1" t="str">
        <f>TRIM(tbl_data[[#This Row],[Brand]])</f>
        <v>Volkswagen</v>
      </c>
      <c r="S387" s="1">
        <f>_xlfn.NUMBERVALUE(tbl_data[[#This Row],[Price_USD]],".",",")</f>
        <v>80305.100000000006</v>
      </c>
    </row>
    <row r="388" spans="1:19" x14ac:dyDescent="0.3">
      <c r="A388">
        <v>387</v>
      </c>
      <c r="B388" t="s">
        <v>30</v>
      </c>
      <c r="C388">
        <v>2019</v>
      </c>
      <c r="D388">
        <v>105500</v>
      </c>
      <c r="E388" t="s">
        <v>31</v>
      </c>
      <c r="F388" t="s">
        <v>14</v>
      </c>
      <c r="G388" t="s">
        <v>15</v>
      </c>
      <c r="H388">
        <v>1984</v>
      </c>
      <c r="I388" t="s">
        <v>1161</v>
      </c>
      <c r="J388" t="s">
        <v>276</v>
      </c>
      <c r="K388">
        <v>4</v>
      </c>
      <c r="L388" t="s">
        <v>1162</v>
      </c>
      <c r="M388" s="1" t="str">
        <f>TEXT(DATE(tbl_data[[#This Row],[Model_Year]],1,1),"yyyy")</f>
        <v>2019</v>
      </c>
      <c r="N388" s="1" t="str">
        <f>IF(tbl_data[[#This Row],[Kilometers_Driven]]&lt;50000,"&lt;50k",
IF(tbl_data[[#This Row],[Kilometers_Driven]]&lt;100000,"50k-100k",
IF(tbl_data[[#This Row],[Kilometers_Driven]]&lt;150000,"100k-150k","150k+")))</f>
        <v>100k-150k</v>
      </c>
      <c r="O388" s="1" t="str">
        <f>IF(tbl_data[[#This Row],[Price_USD]]&gt;=87089,"High",
IF(tbl_data[[#This Row],[Price_USD]]&gt;=56807,"Mid","Low"))</f>
        <v>High</v>
      </c>
      <c r="P388" s="1" t="str">
        <f>IF(tbl_data[[#This Row],[Transmission]]="Automatic","Auto","Manual")</f>
        <v>Manual</v>
      </c>
      <c r="Q388" s="1" t="str">
        <f>IFERROR(IF(VALUE(tbl_data[[#This Row],[Engine_CC]])=0,"",VALUE(tbl_data[[#This Row],[Price_USD]])/VALUE(tbl_data[[#This Row],[Engine_CC]])),"")</f>
        <v/>
      </c>
      <c r="R388" s="1" t="str">
        <f>TRIM(tbl_data[[#This Row],[Brand]])</f>
        <v>Mercedes</v>
      </c>
      <c r="S388" s="1">
        <f>_xlfn.NUMBERVALUE(tbl_data[[#This Row],[Price_USD]],".",",")</f>
        <v>114220.95</v>
      </c>
    </row>
    <row r="389" spans="1:19" x14ac:dyDescent="0.3">
      <c r="A389">
        <v>388</v>
      </c>
      <c r="B389" t="s">
        <v>39</v>
      </c>
      <c r="C389">
        <v>2013</v>
      </c>
      <c r="D389">
        <v>164116</v>
      </c>
      <c r="E389" t="s">
        <v>44</v>
      </c>
      <c r="F389" t="s">
        <v>14</v>
      </c>
      <c r="G389" t="s">
        <v>32</v>
      </c>
      <c r="H389">
        <v>1546</v>
      </c>
      <c r="I389" t="s">
        <v>1163</v>
      </c>
      <c r="J389" t="s">
        <v>1164</v>
      </c>
      <c r="K389">
        <v>5</v>
      </c>
      <c r="L389" t="s">
        <v>1165</v>
      </c>
      <c r="M389" s="1" t="str">
        <f>TEXT(DATE(tbl_data[[#This Row],[Model_Year]],1,1),"yyyy")</f>
        <v>2013</v>
      </c>
      <c r="N389" s="1" t="str">
        <f>IF(tbl_data[[#This Row],[Kilometers_Driven]]&lt;50000,"&lt;50k",
IF(tbl_data[[#This Row],[Kilometers_Driven]]&lt;100000,"50k-100k",
IF(tbl_data[[#This Row],[Kilometers_Driven]]&lt;150000,"100k-150k","150k+")))</f>
        <v>150k+</v>
      </c>
      <c r="O389" s="1" t="str">
        <f>IF(tbl_data[[#This Row],[Price_USD]]&gt;=87089,"High",
IF(tbl_data[[#This Row],[Price_USD]]&gt;=56807,"Mid","Low"))</f>
        <v>High</v>
      </c>
      <c r="P389" s="1" t="str">
        <f>IF(tbl_data[[#This Row],[Transmission]]="Automatic","Auto","Manual")</f>
        <v>Manual</v>
      </c>
      <c r="Q389" s="1" t="str">
        <f>IFERROR(IF(VALUE(tbl_data[[#This Row],[Engine_CC]])=0,"",VALUE(tbl_data[[#This Row],[Price_USD]])/VALUE(tbl_data[[#This Row],[Engine_CC]])),"")</f>
        <v/>
      </c>
      <c r="R389" s="1" t="str">
        <f>TRIM(tbl_data[[#This Row],[Brand]])</f>
        <v>Volkswagen</v>
      </c>
      <c r="S389" s="1">
        <f>_xlfn.NUMBERVALUE(tbl_data[[#This Row],[Price_USD]],".",",")</f>
        <v>88372.37</v>
      </c>
    </row>
    <row r="390" spans="1:19" x14ac:dyDescent="0.3">
      <c r="A390">
        <v>389</v>
      </c>
      <c r="B390" t="s">
        <v>30</v>
      </c>
      <c r="C390">
        <v>2008</v>
      </c>
      <c r="D390">
        <v>130588</v>
      </c>
      <c r="E390" t="s">
        <v>13</v>
      </c>
      <c r="F390" t="s">
        <v>14</v>
      </c>
      <c r="G390" t="s">
        <v>32</v>
      </c>
      <c r="H390">
        <v>2525</v>
      </c>
      <c r="I390" t="s">
        <v>1166</v>
      </c>
      <c r="J390" t="s">
        <v>1167</v>
      </c>
      <c r="K390">
        <v>2</v>
      </c>
      <c r="L390" t="s">
        <v>1168</v>
      </c>
      <c r="M390" s="1" t="str">
        <f>TEXT(DATE(tbl_data[[#This Row],[Model_Year]],1,1),"yyyy")</f>
        <v>2008</v>
      </c>
      <c r="N390" s="1" t="str">
        <f>IF(tbl_data[[#This Row],[Kilometers_Driven]]&lt;50000,"&lt;50k",
IF(tbl_data[[#This Row],[Kilometers_Driven]]&lt;100000,"50k-100k",
IF(tbl_data[[#This Row],[Kilometers_Driven]]&lt;150000,"100k-150k","150k+")))</f>
        <v>100k-150k</v>
      </c>
      <c r="O390" s="1" t="str">
        <f>IF(tbl_data[[#This Row],[Price_USD]]&gt;=87089,"High",
IF(tbl_data[[#This Row],[Price_USD]]&gt;=56807,"Mid","Low"))</f>
        <v>High</v>
      </c>
      <c r="P390" s="1" t="str">
        <f>IF(tbl_data[[#This Row],[Transmission]]="Automatic","Auto","Manual")</f>
        <v>Manual</v>
      </c>
      <c r="Q390" s="1" t="str">
        <f>IFERROR(IF(VALUE(tbl_data[[#This Row],[Engine_CC]])=0,"",VALUE(tbl_data[[#This Row],[Price_USD]])/VALUE(tbl_data[[#This Row],[Engine_CC]])),"")</f>
        <v/>
      </c>
      <c r="R390" s="1" t="str">
        <f>TRIM(tbl_data[[#This Row],[Brand]])</f>
        <v>Mercedes</v>
      </c>
      <c r="S390" s="1">
        <f>_xlfn.NUMBERVALUE(tbl_data[[#This Row],[Price_USD]],".",",")</f>
        <v>9089.36</v>
      </c>
    </row>
    <row r="391" spans="1:19" x14ac:dyDescent="0.3">
      <c r="A391">
        <v>390</v>
      </c>
      <c r="B391" t="s">
        <v>12</v>
      </c>
      <c r="C391">
        <v>2018</v>
      </c>
      <c r="D391">
        <v>20997</v>
      </c>
      <c r="E391" t="s">
        <v>31</v>
      </c>
      <c r="F391" t="s">
        <v>21</v>
      </c>
      <c r="G391" t="s">
        <v>15</v>
      </c>
      <c r="H391">
        <v>3988</v>
      </c>
      <c r="I391" t="s">
        <v>1169</v>
      </c>
      <c r="J391" t="s">
        <v>1170</v>
      </c>
      <c r="K391">
        <v>7</v>
      </c>
      <c r="L391" t="s">
        <v>1171</v>
      </c>
      <c r="M391" s="1" t="str">
        <f>TEXT(DATE(tbl_data[[#This Row],[Model_Year]],1,1),"yyyy")</f>
        <v>2018</v>
      </c>
      <c r="N391" s="1" t="str">
        <f>IF(tbl_data[[#This Row],[Kilometers_Driven]]&lt;50000,"&lt;50k",
IF(tbl_data[[#This Row],[Kilometers_Driven]]&lt;100000,"50k-100k",
IF(tbl_data[[#This Row],[Kilometers_Driven]]&lt;150000,"100k-150k","150k+")))</f>
        <v>&lt;50k</v>
      </c>
      <c r="O391" s="1" t="str">
        <f>IF(tbl_data[[#This Row],[Price_USD]]&gt;=87089,"High",
IF(tbl_data[[#This Row],[Price_USD]]&gt;=56807,"Mid","Low"))</f>
        <v>High</v>
      </c>
      <c r="P391" s="1" t="str">
        <f>IF(tbl_data[[#This Row],[Transmission]]="Automatic","Auto","Manual")</f>
        <v>Auto</v>
      </c>
      <c r="Q391" s="1" t="str">
        <f>IFERROR(IF(VALUE(tbl_data[[#This Row],[Engine_CC]])=0,"",VALUE(tbl_data[[#This Row],[Price_USD]])/VALUE(tbl_data[[#This Row],[Engine_CC]])),"")</f>
        <v/>
      </c>
      <c r="R391" s="1" t="str">
        <f>TRIM(tbl_data[[#This Row],[Brand]])</f>
        <v>Audi</v>
      </c>
      <c r="S391" s="1">
        <f>_xlfn.NUMBERVALUE(tbl_data[[#This Row],[Price_USD]],".",",")</f>
        <v>106456.69</v>
      </c>
    </row>
    <row r="392" spans="1:19" x14ac:dyDescent="0.3">
      <c r="A392">
        <v>391</v>
      </c>
      <c r="B392" t="s">
        <v>102</v>
      </c>
      <c r="C392">
        <v>2009</v>
      </c>
      <c r="D392">
        <v>84751</v>
      </c>
      <c r="E392" t="s">
        <v>31</v>
      </c>
      <c r="F392" t="s">
        <v>14</v>
      </c>
      <c r="G392" t="s">
        <v>26</v>
      </c>
      <c r="H392">
        <v>1070</v>
      </c>
      <c r="I392" t="s">
        <v>1172</v>
      </c>
      <c r="J392" t="s">
        <v>665</v>
      </c>
      <c r="K392">
        <v>6</v>
      </c>
      <c r="L392" t="s">
        <v>1173</v>
      </c>
      <c r="M392" s="1" t="str">
        <f>TEXT(DATE(tbl_data[[#This Row],[Model_Year]],1,1),"yyyy")</f>
        <v>2009</v>
      </c>
      <c r="N392" s="1" t="str">
        <f>IF(tbl_data[[#This Row],[Kilometers_Driven]]&lt;50000,"&lt;50k",
IF(tbl_data[[#This Row],[Kilometers_Driven]]&lt;100000,"50k-100k",
IF(tbl_data[[#This Row],[Kilometers_Driven]]&lt;150000,"100k-150k","150k+")))</f>
        <v>50k-100k</v>
      </c>
      <c r="O392" s="1" t="str">
        <f>IF(tbl_data[[#This Row],[Price_USD]]&gt;=87089,"High",
IF(tbl_data[[#This Row],[Price_USD]]&gt;=56807,"Mid","Low"))</f>
        <v>High</v>
      </c>
      <c r="P392" s="1" t="str">
        <f>IF(tbl_data[[#This Row],[Transmission]]="Automatic","Auto","Manual")</f>
        <v>Manual</v>
      </c>
      <c r="Q392" s="1" t="str">
        <f>IFERROR(IF(VALUE(tbl_data[[#This Row],[Engine_CC]])=0,"",VALUE(tbl_data[[#This Row],[Price_USD]])/VALUE(tbl_data[[#This Row],[Engine_CC]])),"")</f>
        <v/>
      </c>
      <c r="R392" s="1" t="str">
        <f>TRIM(tbl_data[[#This Row],[Brand]])</f>
        <v>Nissan</v>
      </c>
      <c r="S392" s="1">
        <f>_xlfn.NUMBERVALUE(tbl_data[[#This Row],[Price_USD]],".",",")</f>
        <v>103932.99</v>
      </c>
    </row>
    <row r="393" spans="1:19" x14ac:dyDescent="0.3">
      <c r="A393">
        <v>392</v>
      </c>
      <c r="B393" t="s">
        <v>30</v>
      </c>
      <c r="C393">
        <v>2006</v>
      </c>
      <c r="D393">
        <v>103605</v>
      </c>
      <c r="E393" t="s">
        <v>13</v>
      </c>
      <c r="F393" t="s">
        <v>14</v>
      </c>
      <c r="G393" t="s">
        <v>32</v>
      </c>
      <c r="H393">
        <v>4756</v>
      </c>
      <c r="I393" t="s">
        <v>1174</v>
      </c>
      <c r="J393" t="s">
        <v>1175</v>
      </c>
      <c r="K393">
        <v>4</v>
      </c>
      <c r="L393" t="s">
        <v>1176</v>
      </c>
      <c r="M393" s="1" t="str">
        <f>TEXT(DATE(tbl_data[[#This Row],[Model_Year]],1,1),"yyyy")</f>
        <v>2006</v>
      </c>
      <c r="N393" s="1" t="str">
        <f>IF(tbl_data[[#This Row],[Kilometers_Driven]]&lt;50000,"&lt;50k",
IF(tbl_data[[#This Row],[Kilometers_Driven]]&lt;100000,"50k-100k",
IF(tbl_data[[#This Row],[Kilometers_Driven]]&lt;150000,"100k-150k","150k+")))</f>
        <v>100k-150k</v>
      </c>
      <c r="O393" s="1" t="str">
        <f>IF(tbl_data[[#This Row],[Price_USD]]&gt;=87089,"High",
IF(tbl_data[[#This Row],[Price_USD]]&gt;=56807,"Mid","Low"))</f>
        <v>High</v>
      </c>
      <c r="P393" s="1" t="str">
        <f>IF(tbl_data[[#This Row],[Transmission]]="Automatic","Auto","Manual")</f>
        <v>Manual</v>
      </c>
      <c r="Q393" s="1" t="str">
        <f>IFERROR(IF(VALUE(tbl_data[[#This Row],[Engine_CC]])=0,"",VALUE(tbl_data[[#This Row],[Price_USD]])/VALUE(tbl_data[[#This Row],[Engine_CC]])),"")</f>
        <v/>
      </c>
      <c r="R393" s="1" t="str">
        <f>TRIM(tbl_data[[#This Row],[Brand]])</f>
        <v>Mercedes</v>
      </c>
      <c r="S393" s="1">
        <f>_xlfn.NUMBERVALUE(tbl_data[[#This Row],[Price_USD]],".",",")</f>
        <v>54868.480000000003</v>
      </c>
    </row>
    <row r="394" spans="1:19" x14ac:dyDescent="0.3">
      <c r="A394">
        <v>393</v>
      </c>
      <c r="B394" t="s">
        <v>92</v>
      </c>
      <c r="C394">
        <v>2015</v>
      </c>
      <c r="D394">
        <v>159983</v>
      </c>
      <c r="E394" t="s">
        <v>44</v>
      </c>
      <c r="F394" t="s">
        <v>14</v>
      </c>
      <c r="G394" t="s">
        <v>26</v>
      </c>
      <c r="H394">
        <v>971</v>
      </c>
      <c r="I394" t="s">
        <v>1177</v>
      </c>
      <c r="J394" t="s">
        <v>1178</v>
      </c>
      <c r="K394">
        <v>2</v>
      </c>
      <c r="L394" t="s">
        <v>1179</v>
      </c>
      <c r="M394" s="1" t="str">
        <f>TEXT(DATE(tbl_data[[#This Row],[Model_Year]],1,1),"yyyy")</f>
        <v>2015</v>
      </c>
      <c r="N394" s="1" t="str">
        <f>IF(tbl_data[[#This Row],[Kilometers_Driven]]&lt;50000,"&lt;50k",
IF(tbl_data[[#This Row],[Kilometers_Driven]]&lt;100000,"50k-100k",
IF(tbl_data[[#This Row],[Kilometers_Driven]]&lt;150000,"100k-150k","150k+")))</f>
        <v>150k+</v>
      </c>
      <c r="O394" s="1" t="str">
        <f>IF(tbl_data[[#This Row],[Price_USD]]&gt;=87089,"High",
IF(tbl_data[[#This Row],[Price_USD]]&gt;=56807,"Mid","Low"))</f>
        <v>High</v>
      </c>
      <c r="P394" s="1" t="str">
        <f>IF(tbl_data[[#This Row],[Transmission]]="Automatic","Auto","Manual")</f>
        <v>Manual</v>
      </c>
      <c r="Q394" s="1" t="str">
        <f>IFERROR(IF(VALUE(tbl_data[[#This Row],[Engine_CC]])=0,"",VALUE(tbl_data[[#This Row],[Price_USD]])/VALUE(tbl_data[[#This Row],[Engine_CC]])),"")</f>
        <v/>
      </c>
      <c r="R394" s="1" t="str">
        <f>TRIM(tbl_data[[#This Row],[Brand]])</f>
        <v>Toyota</v>
      </c>
      <c r="S394" s="1">
        <f>_xlfn.NUMBERVALUE(tbl_data[[#This Row],[Price_USD]],".",",")</f>
        <v>71545.98</v>
      </c>
    </row>
    <row r="395" spans="1:19" x14ac:dyDescent="0.3">
      <c r="A395">
        <v>394</v>
      </c>
      <c r="B395" t="s">
        <v>39</v>
      </c>
      <c r="C395">
        <v>2013</v>
      </c>
      <c r="D395">
        <v>60533</v>
      </c>
      <c r="E395" t="s">
        <v>20</v>
      </c>
      <c r="F395" t="s">
        <v>21</v>
      </c>
      <c r="G395" t="s">
        <v>32</v>
      </c>
      <c r="H395">
        <v>1073</v>
      </c>
      <c r="I395" t="s">
        <v>1180</v>
      </c>
      <c r="J395" t="s">
        <v>1181</v>
      </c>
      <c r="K395">
        <v>5</v>
      </c>
      <c r="L395" t="s">
        <v>1182</v>
      </c>
      <c r="M395" s="1" t="str">
        <f>TEXT(DATE(tbl_data[[#This Row],[Model_Year]],1,1),"yyyy")</f>
        <v>2013</v>
      </c>
      <c r="N395" s="1" t="str">
        <f>IF(tbl_data[[#This Row],[Kilometers_Driven]]&lt;50000,"&lt;50k",
IF(tbl_data[[#This Row],[Kilometers_Driven]]&lt;100000,"50k-100k",
IF(tbl_data[[#This Row],[Kilometers_Driven]]&lt;150000,"100k-150k","150k+")))</f>
        <v>50k-100k</v>
      </c>
      <c r="O395" s="1" t="str">
        <f>IF(tbl_data[[#This Row],[Price_USD]]&gt;=87089,"High",
IF(tbl_data[[#This Row],[Price_USD]]&gt;=56807,"Mid","Low"))</f>
        <v>High</v>
      </c>
      <c r="P395" s="1" t="str">
        <f>IF(tbl_data[[#This Row],[Transmission]]="Automatic","Auto","Manual")</f>
        <v>Auto</v>
      </c>
      <c r="Q395" s="1" t="str">
        <f>IFERROR(IF(VALUE(tbl_data[[#This Row],[Engine_CC]])=0,"",VALUE(tbl_data[[#This Row],[Price_USD]])/VALUE(tbl_data[[#This Row],[Engine_CC]])),"")</f>
        <v/>
      </c>
      <c r="R395" s="1" t="str">
        <f>TRIM(tbl_data[[#This Row],[Brand]])</f>
        <v>Volkswagen</v>
      </c>
      <c r="S395" s="1">
        <f>_xlfn.NUMBERVALUE(tbl_data[[#This Row],[Price_USD]],".",",")</f>
        <v>117201.16</v>
      </c>
    </row>
    <row r="396" spans="1:19" x14ac:dyDescent="0.3">
      <c r="A396">
        <v>395</v>
      </c>
      <c r="B396" t="s">
        <v>39</v>
      </c>
      <c r="C396">
        <v>2007</v>
      </c>
      <c r="D396">
        <v>87566</v>
      </c>
      <c r="E396" t="s">
        <v>31</v>
      </c>
      <c r="F396" t="s">
        <v>21</v>
      </c>
      <c r="G396" t="s">
        <v>32</v>
      </c>
      <c r="H396">
        <v>3106</v>
      </c>
      <c r="I396" t="s">
        <v>1183</v>
      </c>
      <c r="J396" t="s">
        <v>698</v>
      </c>
      <c r="K396">
        <v>6</v>
      </c>
      <c r="L396" t="s">
        <v>1184</v>
      </c>
      <c r="M396" s="1" t="str">
        <f>TEXT(DATE(tbl_data[[#This Row],[Model_Year]],1,1),"yyyy")</f>
        <v>2007</v>
      </c>
      <c r="N396" s="1" t="str">
        <f>IF(tbl_data[[#This Row],[Kilometers_Driven]]&lt;50000,"&lt;50k",
IF(tbl_data[[#This Row],[Kilometers_Driven]]&lt;100000,"50k-100k",
IF(tbl_data[[#This Row],[Kilometers_Driven]]&lt;150000,"100k-150k","150k+")))</f>
        <v>50k-100k</v>
      </c>
      <c r="O396" s="1" t="str">
        <f>IF(tbl_data[[#This Row],[Price_USD]]&gt;=87089,"High",
IF(tbl_data[[#This Row],[Price_USD]]&gt;=56807,"Mid","Low"))</f>
        <v>High</v>
      </c>
      <c r="P396" s="1" t="str">
        <f>IF(tbl_data[[#This Row],[Transmission]]="Automatic","Auto","Manual")</f>
        <v>Auto</v>
      </c>
      <c r="Q396" s="1" t="str">
        <f>IFERROR(IF(VALUE(tbl_data[[#This Row],[Engine_CC]])=0,"",VALUE(tbl_data[[#This Row],[Price_USD]])/VALUE(tbl_data[[#This Row],[Engine_CC]])),"")</f>
        <v/>
      </c>
      <c r="R396" s="1" t="str">
        <f>TRIM(tbl_data[[#This Row],[Brand]])</f>
        <v>Volkswagen</v>
      </c>
      <c r="S396" s="1">
        <f>_xlfn.NUMBERVALUE(tbl_data[[#This Row],[Price_USD]],".",",")</f>
        <v>65279.61</v>
      </c>
    </row>
    <row r="397" spans="1:19" x14ac:dyDescent="0.3">
      <c r="A397">
        <v>396</v>
      </c>
      <c r="B397" t="s">
        <v>92</v>
      </c>
      <c r="C397">
        <v>2013</v>
      </c>
      <c r="D397">
        <v>150643</v>
      </c>
      <c r="E397" t="s">
        <v>20</v>
      </c>
      <c r="F397" t="s">
        <v>21</v>
      </c>
      <c r="G397" t="s">
        <v>26</v>
      </c>
      <c r="H397">
        <v>1958</v>
      </c>
      <c r="I397" t="s">
        <v>1185</v>
      </c>
      <c r="J397" t="s">
        <v>1186</v>
      </c>
      <c r="K397">
        <v>6</v>
      </c>
      <c r="L397" t="s">
        <v>1187</v>
      </c>
      <c r="M397" s="1" t="str">
        <f>TEXT(DATE(tbl_data[[#This Row],[Model_Year]],1,1),"yyyy")</f>
        <v>2013</v>
      </c>
      <c r="N397" s="1" t="str">
        <f>IF(tbl_data[[#This Row],[Kilometers_Driven]]&lt;50000,"&lt;50k",
IF(tbl_data[[#This Row],[Kilometers_Driven]]&lt;100000,"50k-100k",
IF(tbl_data[[#This Row],[Kilometers_Driven]]&lt;150000,"100k-150k","150k+")))</f>
        <v>150k+</v>
      </c>
      <c r="O397" s="1" t="str">
        <f>IF(tbl_data[[#This Row],[Price_USD]]&gt;=87089,"High",
IF(tbl_data[[#This Row],[Price_USD]]&gt;=56807,"Mid","Low"))</f>
        <v>High</v>
      </c>
      <c r="P397" s="1" t="str">
        <f>IF(tbl_data[[#This Row],[Transmission]]="Automatic","Auto","Manual")</f>
        <v>Auto</v>
      </c>
      <c r="Q397" s="1" t="str">
        <f>IFERROR(IF(VALUE(tbl_data[[#This Row],[Engine_CC]])=0,"",VALUE(tbl_data[[#This Row],[Price_USD]])/VALUE(tbl_data[[#This Row],[Engine_CC]])),"")</f>
        <v/>
      </c>
      <c r="R397" s="1" t="str">
        <f>TRIM(tbl_data[[#This Row],[Brand]])</f>
        <v>Toyota</v>
      </c>
      <c r="S397" s="1">
        <f>_xlfn.NUMBERVALUE(tbl_data[[#This Row],[Price_USD]],".",",")</f>
        <v>108922.65</v>
      </c>
    </row>
    <row r="398" spans="1:19" x14ac:dyDescent="0.3">
      <c r="A398">
        <v>397</v>
      </c>
      <c r="B398" t="s">
        <v>76</v>
      </c>
      <c r="C398">
        <v>2007</v>
      </c>
      <c r="D398">
        <v>113255</v>
      </c>
      <c r="E398" t="s">
        <v>44</v>
      </c>
      <c r="F398" t="s">
        <v>14</v>
      </c>
      <c r="G398" t="s">
        <v>32</v>
      </c>
      <c r="H398">
        <v>2506</v>
      </c>
      <c r="I398" t="s">
        <v>1188</v>
      </c>
      <c r="J398" t="s">
        <v>1189</v>
      </c>
      <c r="K398">
        <v>2</v>
      </c>
      <c r="L398" t="s">
        <v>1190</v>
      </c>
      <c r="M398" s="1" t="str">
        <f>TEXT(DATE(tbl_data[[#This Row],[Model_Year]],1,1),"yyyy")</f>
        <v>2007</v>
      </c>
      <c r="N398" s="1" t="str">
        <f>IF(tbl_data[[#This Row],[Kilometers_Driven]]&lt;50000,"&lt;50k",
IF(tbl_data[[#This Row],[Kilometers_Driven]]&lt;100000,"50k-100k",
IF(tbl_data[[#This Row],[Kilometers_Driven]]&lt;150000,"100k-150k","150k+")))</f>
        <v>100k-150k</v>
      </c>
      <c r="O398" s="1" t="str">
        <f>IF(tbl_data[[#This Row],[Price_USD]]&gt;=87089,"High",
IF(tbl_data[[#This Row],[Price_USD]]&gt;=56807,"Mid","Low"))</f>
        <v>High</v>
      </c>
      <c r="P398" s="1" t="str">
        <f>IF(tbl_data[[#This Row],[Transmission]]="Automatic","Auto","Manual")</f>
        <v>Manual</v>
      </c>
      <c r="Q398" s="1" t="str">
        <f>IFERROR(IF(VALUE(tbl_data[[#This Row],[Engine_CC]])=0,"",VALUE(tbl_data[[#This Row],[Price_USD]])/VALUE(tbl_data[[#This Row],[Engine_CC]])),"")</f>
        <v/>
      </c>
      <c r="R398" s="1" t="str">
        <f>TRIM(tbl_data[[#This Row],[Brand]])</f>
        <v>Honda</v>
      </c>
      <c r="S398" s="1">
        <f>_xlfn.NUMBERVALUE(tbl_data[[#This Row],[Price_USD]],".",",")</f>
        <v>12715.53</v>
      </c>
    </row>
    <row r="399" spans="1:19" x14ac:dyDescent="0.3">
      <c r="A399">
        <v>398</v>
      </c>
      <c r="B399" t="s">
        <v>69</v>
      </c>
      <c r="C399">
        <v>2006</v>
      </c>
      <c r="D399">
        <v>194013</v>
      </c>
      <c r="E399" t="s">
        <v>44</v>
      </c>
      <c r="F399" t="s">
        <v>21</v>
      </c>
      <c r="G399" t="s">
        <v>32</v>
      </c>
      <c r="H399">
        <v>2571</v>
      </c>
      <c r="I399" t="s">
        <v>1191</v>
      </c>
      <c r="J399" t="s">
        <v>617</v>
      </c>
      <c r="K399">
        <v>5</v>
      </c>
      <c r="L399" t="s">
        <v>1192</v>
      </c>
      <c r="M399" s="1" t="str">
        <f>TEXT(DATE(tbl_data[[#This Row],[Model_Year]],1,1),"yyyy")</f>
        <v>2006</v>
      </c>
      <c r="N399" s="1" t="str">
        <f>IF(tbl_data[[#This Row],[Kilometers_Driven]]&lt;50000,"&lt;50k",
IF(tbl_data[[#This Row],[Kilometers_Driven]]&lt;100000,"50k-100k",
IF(tbl_data[[#This Row],[Kilometers_Driven]]&lt;150000,"100k-150k","150k+")))</f>
        <v>150k+</v>
      </c>
      <c r="O399" s="1" t="str">
        <f>IF(tbl_data[[#This Row],[Price_USD]]&gt;=87089,"High",
IF(tbl_data[[#This Row],[Price_USD]]&gt;=56807,"Mid","Low"))</f>
        <v>High</v>
      </c>
      <c r="P399" s="1" t="str">
        <f>IF(tbl_data[[#This Row],[Transmission]]="Automatic","Auto","Manual")</f>
        <v>Auto</v>
      </c>
      <c r="Q399" s="1" t="str">
        <f>IFERROR(IF(VALUE(tbl_data[[#This Row],[Engine_CC]])=0,"",VALUE(tbl_data[[#This Row],[Price_USD]])/VALUE(tbl_data[[#This Row],[Engine_CC]])),"")</f>
        <v/>
      </c>
      <c r="R399" s="1" t="str">
        <f>TRIM(tbl_data[[#This Row],[Brand]])</f>
        <v>Hyundai</v>
      </c>
      <c r="S399" s="1">
        <f>_xlfn.NUMBERVALUE(tbl_data[[#This Row],[Price_USD]],".",",")</f>
        <v>25353.07</v>
      </c>
    </row>
    <row r="400" spans="1:19" x14ac:dyDescent="0.3">
      <c r="A400">
        <v>399</v>
      </c>
      <c r="B400" t="s">
        <v>102</v>
      </c>
      <c r="C400">
        <v>2016</v>
      </c>
      <c r="D400">
        <v>63005</v>
      </c>
      <c r="E400" t="s">
        <v>20</v>
      </c>
      <c r="F400" t="s">
        <v>14</v>
      </c>
      <c r="G400" t="s">
        <v>26</v>
      </c>
      <c r="H400">
        <v>1221</v>
      </c>
      <c r="I400" t="s">
        <v>1193</v>
      </c>
      <c r="J400" t="s">
        <v>1194</v>
      </c>
      <c r="K400">
        <v>4</v>
      </c>
      <c r="L400" t="s">
        <v>1195</v>
      </c>
      <c r="M400" s="1" t="str">
        <f>TEXT(DATE(tbl_data[[#This Row],[Model_Year]],1,1),"yyyy")</f>
        <v>2016</v>
      </c>
      <c r="N400" s="1" t="str">
        <f>IF(tbl_data[[#This Row],[Kilometers_Driven]]&lt;50000,"&lt;50k",
IF(tbl_data[[#This Row],[Kilometers_Driven]]&lt;100000,"50k-100k",
IF(tbl_data[[#This Row],[Kilometers_Driven]]&lt;150000,"100k-150k","150k+")))</f>
        <v>50k-100k</v>
      </c>
      <c r="O400" s="1" t="str">
        <f>IF(tbl_data[[#This Row],[Price_USD]]&gt;=87089,"High",
IF(tbl_data[[#This Row],[Price_USD]]&gt;=56807,"Mid","Low"))</f>
        <v>High</v>
      </c>
      <c r="P400" s="1" t="str">
        <f>IF(tbl_data[[#This Row],[Transmission]]="Automatic","Auto","Manual")</f>
        <v>Manual</v>
      </c>
      <c r="Q400" s="1" t="str">
        <f>IFERROR(IF(VALUE(tbl_data[[#This Row],[Engine_CC]])=0,"",VALUE(tbl_data[[#This Row],[Price_USD]])/VALUE(tbl_data[[#This Row],[Engine_CC]])),"")</f>
        <v/>
      </c>
      <c r="R400" s="1" t="str">
        <f>TRIM(tbl_data[[#This Row],[Brand]])</f>
        <v>Nissan</v>
      </c>
      <c r="S400" s="1">
        <f>_xlfn.NUMBERVALUE(tbl_data[[#This Row],[Price_USD]],".",",")</f>
        <v>54568.33</v>
      </c>
    </row>
    <row r="401" spans="1:19" x14ac:dyDescent="0.3">
      <c r="A401">
        <v>400</v>
      </c>
      <c r="B401" t="s">
        <v>25</v>
      </c>
      <c r="C401">
        <v>2014</v>
      </c>
      <c r="D401">
        <v>194784</v>
      </c>
      <c r="E401" t="s">
        <v>44</v>
      </c>
      <c r="F401" t="s">
        <v>14</v>
      </c>
      <c r="G401" t="s">
        <v>32</v>
      </c>
      <c r="H401">
        <v>2009</v>
      </c>
      <c r="I401" t="s">
        <v>1196</v>
      </c>
      <c r="J401" t="s">
        <v>1197</v>
      </c>
      <c r="K401">
        <v>2</v>
      </c>
      <c r="L401" t="s">
        <v>1198</v>
      </c>
      <c r="M401" s="1" t="str">
        <f>TEXT(DATE(tbl_data[[#This Row],[Model_Year]],1,1),"yyyy")</f>
        <v>2014</v>
      </c>
      <c r="N401" s="1" t="str">
        <f>IF(tbl_data[[#This Row],[Kilometers_Driven]]&lt;50000,"&lt;50k",
IF(tbl_data[[#This Row],[Kilometers_Driven]]&lt;100000,"50k-100k",
IF(tbl_data[[#This Row],[Kilometers_Driven]]&lt;150000,"100k-150k","150k+")))</f>
        <v>150k+</v>
      </c>
      <c r="O401" s="1" t="str">
        <f>IF(tbl_data[[#This Row],[Price_USD]]&gt;=87089,"High",
IF(tbl_data[[#This Row],[Price_USD]]&gt;=56807,"Mid","Low"))</f>
        <v>High</v>
      </c>
      <c r="P401" s="1" t="str">
        <f>IF(tbl_data[[#This Row],[Transmission]]="Automatic","Auto","Manual")</f>
        <v>Manual</v>
      </c>
      <c r="Q401" s="1" t="str">
        <f>IFERROR(IF(VALUE(tbl_data[[#This Row],[Engine_CC]])=0,"",VALUE(tbl_data[[#This Row],[Price_USD]])/VALUE(tbl_data[[#This Row],[Engine_CC]])),"")</f>
        <v/>
      </c>
      <c r="R401" s="1" t="str">
        <f>TRIM(tbl_data[[#This Row],[Brand]])</f>
        <v>Kia</v>
      </c>
      <c r="S401" s="1">
        <f>_xlfn.NUMBERVALUE(tbl_data[[#This Row],[Price_USD]],".",",")</f>
        <v>71416.55</v>
      </c>
    </row>
    <row r="402" spans="1:19" x14ac:dyDescent="0.3">
      <c r="A402">
        <v>401</v>
      </c>
      <c r="B402" t="s">
        <v>30</v>
      </c>
      <c r="C402">
        <v>2013</v>
      </c>
      <c r="D402">
        <v>48541</v>
      </c>
      <c r="E402" t="s">
        <v>31</v>
      </c>
      <c r="F402" t="s">
        <v>21</v>
      </c>
      <c r="G402" t="s">
        <v>32</v>
      </c>
      <c r="H402">
        <v>1690</v>
      </c>
      <c r="I402" t="s">
        <v>1199</v>
      </c>
      <c r="J402" t="s">
        <v>1200</v>
      </c>
      <c r="K402">
        <v>4</v>
      </c>
      <c r="L402" t="s">
        <v>1201</v>
      </c>
      <c r="M402" s="1" t="str">
        <f>TEXT(DATE(tbl_data[[#This Row],[Model_Year]],1,1),"yyyy")</f>
        <v>2013</v>
      </c>
      <c r="N402" s="1" t="str">
        <f>IF(tbl_data[[#This Row],[Kilometers_Driven]]&lt;50000,"&lt;50k",
IF(tbl_data[[#This Row],[Kilometers_Driven]]&lt;100000,"50k-100k",
IF(tbl_data[[#This Row],[Kilometers_Driven]]&lt;150000,"100k-150k","150k+")))</f>
        <v>&lt;50k</v>
      </c>
      <c r="O402" s="1" t="str">
        <f>IF(tbl_data[[#This Row],[Price_USD]]&gt;=87089,"High",
IF(tbl_data[[#This Row],[Price_USD]]&gt;=56807,"Mid","Low"))</f>
        <v>High</v>
      </c>
      <c r="P402" s="1" t="str">
        <f>IF(tbl_data[[#This Row],[Transmission]]="Automatic","Auto","Manual")</f>
        <v>Auto</v>
      </c>
      <c r="Q402" s="1" t="str">
        <f>IFERROR(IF(VALUE(tbl_data[[#This Row],[Engine_CC]])=0,"",VALUE(tbl_data[[#This Row],[Price_USD]])/VALUE(tbl_data[[#This Row],[Engine_CC]])),"")</f>
        <v/>
      </c>
      <c r="R402" s="1" t="str">
        <f>TRIM(tbl_data[[#This Row],[Brand]])</f>
        <v>Mercedes</v>
      </c>
      <c r="S402" s="1">
        <f>_xlfn.NUMBERVALUE(tbl_data[[#This Row],[Price_USD]],".",",")</f>
        <v>98498.66</v>
      </c>
    </row>
    <row r="403" spans="1:19" x14ac:dyDescent="0.3">
      <c r="A403">
        <v>402</v>
      </c>
      <c r="B403" t="s">
        <v>92</v>
      </c>
      <c r="C403">
        <v>2019</v>
      </c>
      <c r="D403">
        <v>28387</v>
      </c>
      <c r="E403" t="s">
        <v>20</v>
      </c>
      <c r="F403" t="s">
        <v>14</v>
      </c>
      <c r="G403" t="s">
        <v>32</v>
      </c>
      <c r="H403">
        <v>4067</v>
      </c>
      <c r="I403" t="s">
        <v>1202</v>
      </c>
      <c r="J403" t="s">
        <v>1203</v>
      </c>
      <c r="K403">
        <v>6</v>
      </c>
      <c r="L403" t="s">
        <v>1204</v>
      </c>
      <c r="M403" s="1" t="str">
        <f>TEXT(DATE(tbl_data[[#This Row],[Model_Year]],1,1),"yyyy")</f>
        <v>2019</v>
      </c>
      <c r="N403" s="1" t="str">
        <f>IF(tbl_data[[#This Row],[Kilometers_Driven]]&lt;50000,"&lt;50k",
IF(tbl_data[[#This Row],[Kilometers_Driven]]&lt;100000,"50k-100k",
IF(tbl_data[[#This Row],[Kilometers_Driven]]&lt;150000,"100k-150k","150k+")))</f>
        <v>&lt;50k</v>
      </c>
      <c r="O403" s="1" t="str">
        <f>IF(tbl_data[[#This Row],[Price_USD]]&gt;=87089,"High",
IF(tbl_data[[#This Row],[Price_USD]]&gt;=56807,"Mid","Low"))</f>
        <v>High</v>
      </c>
      <c r="P403" s="1" t="str">
        <f>IF(tbl_data[[#This Row],[Transmission]]="Automatic","Auto","Manual")</f>
        <v>Manual</v>
      </c>
      <c r="Q403" s="1" t="str">
        <f>IFERROR(IF(VALUE(tbl_data[[#This Row],[Engine_CC]])=0,"",VALUE(tbl_data[[#This Row],[Price_USD]])/VALUE(tbl_data[[#This Row],[Engine_CC]])),"")</f>
        <v/>
      </c>
      <c r="R403" s="1" t="str">
        <f>TRIM(tbl_data[[#This Row],[Brand]])</f>
        <v>Toyota</v>
      </c>
      <c r="S403" s="1">
        <f>_xlfn.NUMBERVALUE(tbl_data[[#This Row],[Price_USD]],".",",")</f>
        <v>118626.67</v>
      </c>
    </row>
    <row r="404" spans="1:19" x14ac:dyDescent="0.3">
      <c r="A404">
        <v>403</v>
      </c>
      <c r="B404" t="s">
        <v>12</v>
      </c>
      <c r="C404">
        <v>2012</v>
      </c>
      <c r="D404">
        <v>98980</v>
      </c>
      <c r="E404" t="s">
        <v>44</v>
      </c>
      <c r="F404" t="s">
        <v>14</v>
      </c>
      <c r="G404" t="s">
        <v>26</v>
      </c>
      <c r="H404">
        <v>2273</v>
      </c>
      <c r="I404" t="s">
        <v>1205</v>
      </c>
      <c r="J404" t="s">
        <v>1206</v>
      </c>
      <c r="K404">
        <v>4</v>
      </c>
      <c r="L404" t="s">
        <v>1207</v>
      </c>
      <c r="M404" s="1" t="str">
        <f>TEXT(DATE(tbl_data[[#This Row],[Model_Year]],1,1),"yyyy")</f>
        <v>2012</v>
      </c>
      <c r="N404" s="1" t="str">
        <f>IF(tbl_data[[#This Row],[Kilometers_Driven]]&lt;50000,"&lt;50k",
IF(tbl_data[[#This Row],[Kilometers_Driven]]&lt;100000,"50k-100k",
IF(tbl_data[[#This Row],[Kilometers_Driven]]&lt;150000,"100k-150k","150k+")))</f>
        <v>50k-100k</v>
      </c>
      <c r="O404" s="1" t="str">
        <f>IF(tbl_data[[#This Row],[Price_USD]]&gt;=87089,"High",
IF(tbl_data[[#This Row],[Price_USD]]&gt;=56807,"Mid","Low"))</f>
        <v>High</v>
      </c>
      <c r="P404" s="1" t="str">
        <f>IF(tbl_data[[#This Row],[Transmission]]="Automatic","Auto","Manual")</f>
        <v>Manual</v>
      </c>
      <c r="Q404" s="1" t="str">
        <f>IFERROR(IF(VALUE(tbl_data[[#This Row],[Engine_CC]])=0,"",VALUE(tbl_data[[#This Row],[Price_USD]])/VALUE(tbl_data[[#This Row],[Engine_CC]])),"")</f>
        <v/>
      </c>
      <c r="R404" s="1" t="str">
        <f>TRIM(tbl_data[[#This Row],[Brand]])</f>
        <v>Audi</v>
      </c>
      <c r="S404" s="1">
        <f>_xlfn.NUMBERVALUE(tbl_data[[#This Row],[Price_USD]],".",",")</f>
        <v>48495.63</v>
      </c>
    </row>
    <row r="405" spans="1:19" x14ac:dyDescent="0.3">
      <c r="A405">
        <v>404</v>
      </c>
      <c r="B405" t="s">
        <v>30</v>
      </c>
      <c r="C405">
        <v>2009</v>
      </c>
      <c r="D405">
        <v>184980</v>
      </c>
      <c r="E405" t="s">
        <v>20</v>
      </c>
      <c r="F405" t="s">
        <v>14</v>
      </c>
      <c r="G405" t="s">
        <v>15</v>
      </c>
      <c r="H405">
        <v>4043</v>
      </c>
      <c r="I405" t="s">
        <v>1208</v>
      </c>
      <c r="J405" t="s">
        <v>1209</v>
      </c>
      <c r="K405">
        <v>5</v>
      </c>
      <c r="L405" t="s">
        <v>1210</v>
      </c>
      <c r="M405" s="1" t="str">
        <f>TEXT(DATE(tbl_data[[#This Row],[Model_Year]],1,1),"yyyy")</f>
        <v>2009</v>
      </c>
      <c r="N405" s="1" t="str">
        <f>IF(tbl_data[[#This Row],[Kilometers_Driven]]&lt;50000,"&lt;50k",
IF(tbl_data[[#This Row],[Kilometers_Driven]]&lt;100000,"50k-100k",
IF(tbl_data[[#This Row],[Kilometers_Driven]]&lt;150000,"100k-150k","150k+")))</f>
        <v>150k+</v>
      </c>
      <c r="O405" s="1" t="str">
        <f>IF(tbl_data[[#This Row],[Price_USD]]&gt;=87089,"High",
IF(tbl_data[[#This Row],[Price_USD]]&gt;=56807,"Mid","Low"))</f>
        <v>High</v>
      </c>
      <c r="P405" s="1" t="str">
        <f>IF(tbl_data[[#This Row],[Transmission]]="Automatic","Auto","Manual")</f>
        <v>Manual</v>
      </c>
      <c r="Q405" s="1" t="str">
        <f>IFERROR(IF(VALUE(tbl_data[[#This Row],[Engine_CC]])=0,"",VALUE(tbl_data[[#This Row],[Price_USD]])/VALUE(tbl_data[[#This Row],[Engine_CC]])),"")</f>
        <v/>
      </c>
      <c r="R405" s="1" t="str">
        <f>TRIM(tbl_data[[#This Row],[Brand]])</f>
        <v>Mercedes</v>
      </c>
      <c r="S405" s="1">
        <f>_xlfn.NUMBERVALUE(tbl_data[[#This Row],[Price_USD]],".",",")</f>
        <v>8547.6299999999992</v>
      </c>
    </row>
    <row r="406" spans="1:19" x14ac:dyDescent="0.3">
      <c r="A406">
        <v>405</v>
      </c>
      <c r="B406" t="s">
        <v>69</v>
      </c>
      <c r="C406">
        <v>2015</v>
      </c>
      <c r="D406">
        <v>90457</v>
      </c>
      <c r="E406" t="s">
        <v>31</v>
      </c>
      <c r="F406" t="s">
        <v>21</v>
      </c>
      <c r="G406" t="s">
        <v>26</v>
      </c>
      <c r="H406">
        <v>2981</v>
      </c>
      <c r="I406" t="s">
        <v>1211</v>
      </c>
      <c r="J406" t="s">
        <v>1212</v>
      </c>
      <c r="K406">
        <v>7</v>
      </c>
      <c r="L406" t="s">
        <v>1213</v>
      </c>
      <c r="M406" s="1" t="str">
        <f>TEXT(DATE(tbl_data[[#This Row],[Model_Year]],1,1),"yyyy")</f>
        <v>2015</v>
      </c>
      <c r="N406" s="1" t="str">
        <f>IF(tbl_data[[#This Row],[Kilometers_Driven]]&lt;50000,"&lt;50k",
IF(tbl_data[[#This Row],[Kilometers_Driven]]&lt;100000,"50k-100k",
IF(tbl_data[[#This Row],[Kilometers_Driven]]&lt;150000,"100k-150k","150k+")))</f>
        <v>50k-100k</v>
      </c>
      <c r="O406" s="1" t="str">
        <f>IF(tbl_data[[#This Row],[Price_USD]]&gt;=87089,"High",
IF(tbl_data[[#This Row],[Price_USD]]&gt;=56807,"Mid","Low"))</f>
        <v>High</v>
      </c>
      <c r="P406" s="1" t="str">
        <f>IF(tbl_data[[#This Row],[Transmission]]="Automatic","Auto","Manual")</f>
        <v>Auto</v>
      </c>
      <c r="Q406" s="1" t="str">
        <f>IFERROR(IF(VALUE(tbl_data[[#This Row],[Engine_CC]])=0,"",VALUE(tbl_data[[#This Row],[Price_USD]])/VALUE(tbl_data[[#This Row],[Engine_CC]])),"")</f>
        <v/>
      </c>
      <c r="R406" s="1" t="str">
        <f>TRIM(tbl_data[[#This Row],[Brand]])</f>
        <v>Hyundai</v>
      </c>
      <c r="S406" s="1">
        <f>_xlfn.NUMBERVALUE(tbl_data[[#This Row],[Price_USD]],".",",")</f>
        <v>96737.07</v>
      </c>
    </row>
    <row r="407" spans="1:19" x14ac:dyDescent="0.3">
      <c r="A407">
        <v>406</v>
      </c>
      <c r="B407" t="s">
        <v>12</v>
      </c>
      <c r="C407">
        <v>2006</v>
      </c>
      <c r="D407">
        <v>149129</v>
      </c>
      <c r="E407" t="s">
        <v>44</v>
      </c>
      <c r="F407" t="s">
        <v>14</v>
      </c>
      <c r="G407" t="s">
        <v>15</v>
      </c>
      <c r="H407">
        <v>2249</v>
      </c>
      <c r="I407" t="s">
        <v>1214</v>
      </c>
      <c r="J407" t="s">
        <v>653</v>
      </c>
      <c r="K407">
        <v>5</v>
      </c>
      <c r="L407" t="s">
        <v>1215</v>
      </c>
      <c r="M407" s="1" t="str">
        <f>TEXT(DATE(tbl_data[[#This Row],[Model_Year]],1,1),"yyyy")</f>
        <v>2006</v>
      </c>
      <c r="N407" s="1" t="str">
        <f>IF(tbl_data[[#This Row],[Kilometers_Driven]]&lt;50000,"&lt;50k",
IF(tbl_data[[#This Row],[Kilometers_Driven]]&lt;100000,"50k-100k",
IF(tbl_data[[#This Row],[Kilometers_Driven]]&lt;150000,"100k-150k","150k+")))</f>
        <v>100k-150k</v>
      </c>
      <c r="O407" s="1" t="str">
        <f>IF(tbl_data[[#This Row],[Price_USD]]&gt;=87089,"High",
IF(tbl_data[[#This Row],[Price_USD]]&gt;=56807,"Mid","Low"))</f>
        <v>High</v>
      </c>
      <c r="P407" s="1" t="str">
        <f>IF(tbl_data[[#This Row],[Transmission]]="Automatic","Auto","Manual")</f>
        <v>Manual</v>
      </c>
      <c r="Q407" s="1" t="str">
        <f>IFERROR(IF(VALUE(tbl_data[[#This Row],[Engine_CC]])=0,"",VALUE(tbl_data[[#This Row],[Price_USD]])/VALUE(tbl_data[[#This Row],[Engine_CC]])),"")</f>
        <v/>
      </c>
      <c r="R407" s="1" t="str">
        <f>TRIM(tbl_data[[#This Row],[Brand]])</f>
        <v>Audi</v>
      </c>
      <c r="S407" s="1">
        <f>_xlfn.NUMBERVALUE(tbl_data[[#This Row],[Price_USD]],".",",")</f>
        <v>73712.539999999994</v>
      </c>
    </row>
    <row r="408" spans="1:19" x14ac:dyDescent="0.3">
      <c r="A408">
        <v>407</v>
      </c>
      <c r="B408" t="s">
        <v>43</v>
      </c>
      <c r="C408">
        <v>2019</v>
      </c>
      <c r="D408">
        <v>69028</v>
      </c>
      <c r="E408" t="s">
        <v>31</v>
      </c>
      <c r="F408" t="s">
        <v>14</v>
      </c>
      <c r="G408" t="s">
        <v>32</v>
      </c>
      <c r="H408">
        <v>3896</v>
      </c>
      <c r="I408" t="s">
        <v>1216</v>
      </c>
      <c r="J408" t="s">
        <v>1217</v>
      </c>
      <c r="K408">
        <v>4</v>
      </c>
      <c r="L408" t="s">
        <v>1218</v>
      </c>
      <c r="M408" s="1" t="str">
        <f>TEXT(DATE(tbl_data[[#This Row],[Model_Year]],1,1),"yyyy")</f>
        <v>2019</v>
      </c>
      <c r="N408" s="1" t="str">
        <f>IF(tbl_data[[#This Row],[Kilometers_Driven]]&lt;50000,"&lt;50k",
IF(tbl_data[[#This Row],[Kilometers_Driven]]&lt;100000,"50k-100k",
IF(tbl_data[[#This Row],[Kilometers_Driven]]&lt;150000,"100k-150k","150k+")))</f>
        <v>50k-100k</v>
      </c>
      <c r="O408" s="1" t="str">
        <f>IF(tbl_data[[#This Row],[Price_USD]]&gt;=87089,"High",
IF(tbl_data[[#This Row],[Price_USD]]&gt;=56807,"Mid","Low"))</f>
        <v>High</v>
      </c>
      <c r="P408" s="1" t="str">
        <f>IF(tbl_data[[#This Row],[Transmission]]="Automatic","Auto","Manual")</f>
        <v>Manual</v>
      </c>
      <c r="Q408" s="1" t="str">
        <f>IFERROR(IF(VALUE(tbl_data[[#This Row],[Engine_CC]])=0,"",VALUE(tbl_data[[#This Row],[Price_USD]])/VALUE(tbl_data[[#This Row],[Engine_CC]])),"")</f>
        <v/>
      </c>
      <c r="R408" s="1" t="str">
        <f>TRIM(tbl_data[[#This Row],[Brand]])</f>
        <v>Ford</v>
      </c>
      <c r="S408" s="1">
        <f>_xlfn.NUMBERVALUE(tbl_data[[#This Row],[Price_USD]],".",",")</f>
        <v>26229.51</v>
      </c>
    </row>
    <row r="409" spans="1:19" x14ac:dyDescent="0.3">
      <c r="A409">
        <v>408</v>
      </c>
      <c r="B409" t="s">
        <v>39</v>
      </c>
      <c r="C409">
        <v>2010</v>
      </c>
      <c r="D409">
        <v>124246</v>
      </c>
      <c r="E409" t="s">
        <v>44</v>
      </c>
      <c r="F409" t="s">
        <v>21</v>
      </c>
      <c r="G409" t="s">
        <v>15</v>
      </c>
      <c r="H409">
        <v>4056</v>
      </c>
      <c r="I409" t="s">
        <v>1219</v>
      </c>
      <c r="J409" t="s">
        <v>1220</v>
      </c>
      <c r="K409">
        <v>2</v>
      </c>
      <c r="L409" t="s">
        <v>1221</v>
      </c>
      <c r="M409" s="1" t="str">
        <f>TEXT(DATE(tbl_data[[#This Row],[Model_Year]],1,1),"yyyy")</f>
        <v>2010</v>
      </c>
      <c r="N409" s="1" t="str">
        <f>IF(tbl_data[[#This Row],[Kilometers_Driven]]&lt;50000,"&lt;50k",
IF(tbl_data[[#This Row],[Kilometers_Driven]]&lt;100000,"50k-100k",
IF(tbl_data[[#This Row],[Kilometers_Driven]]&lt;150000,"100k-150k","150k+")))</f>
        <v>100k-150k</v>
      </c>
      <c r="O409" s="1" t="str">
        <f>IF(tbl_data[[#This Row],[Price_USD]]&gt;=87089,"High",
IF(tbl_data[[#This Row],[Price_USD]]&gt;=56807,"Mid","Low"))</f>
        <v>High</v>
      </c>
      <c r="P409" s="1" t="str">
        <f>IF(tbl_data[[#This Row],[Transmission]]="Automatic","Auto","Manual")</f>
        <v>Auto</v>
      </c>
      <c r="Q409" s="1" t="str">
        <f>IFERROR(IF(VALUE(tbl_data[[#This Row],[Engine_CC]])=0,"",VALUE(tbl_data[[#This Row],[Price_USD]])/VALUE(tbl_data[[#This Row],[Engine_CC]])),"")</f>
        <v/>
      </c>
      <c r="R409" s="1" t="str">
        <f>TRIM(tbl_data[[#This Row],[Brand]])</f>
        <v>Volkswagen</v>
      </c>
      <c r="S409" s="1">
        <f>_xlfn.NUMBERVALUE(tbl_data[[#This Row],[Price_USD]],".",",")</f>
        <v>60894.93</v>
      </c>
    </row>
    <row r="410" spans="1:19" x14ac:dyDescent="0.3">
      <c r="A410">
        <v>409</v>
      </c>
      <c r="B410" t="s">
        <v>43</v>
      </c>
      <c r="C410">
        <v>2012</v>
      </c>
      <c r="D410">
        <v>60731</v>
      </c>
      <c r="E410" t="s">
        <v>13</v>
      </c>
      <c r="F410" t="s">
        <v>14</v>
      </c>
      <c r="G410" t="s">
        <v>26</v>
      </c>
      <c r="H410">
        <v>3956</v>
      </c>
      <c r="I410" t="s">
        <v>1222</v>
      </c>
      <c r="J410" t="s">
        <v>1223</v>
      </c>
      <c r="K410">
        <v>6</v>
      </c>
      <c r="L410" t="s">
        <v>1224</v>
      </c>
      <c r="M410" s="1" t="str">
        <f>TEXT(DATE(tbl_data[[#This Row],[Model_Year]],1,1),"yyyy")</f>
        <v>2012</v>
      </c>
      <c r="N410" s="1" t="str">
        <f>IF(tbl_data[[#This Row],[Kilometers_Driven]]&lt;50000,"&lt;50k",
IF(tbl_data[[#This Row],[Kilometers_Driven]]&lt;100000,"50k-100k",
IF(tbl_data[[#This Row],[Kilometers_Driven]]&lt;150000,"100k-150k","150k+")))</f>
        <v>50k-100k</v>
      </c>
      <c r="O410" s="1" t="str">
        <f>IF(tbl_data[[#This Row],[Price_USD]]&gt;=87089,"High",
IF(tbl_data[[#This Row],[Price_USD]]&gt;=56807,"Mid","Low"))</f>
        <v>High</v>
      </c>
      <c r="P410" s="1" t="str">
        <f>IF(tbl_data[[#This Row],[Transmission]]="Automatic","Auto","Manual")</f>
        <v>Manual</v>
      </c>
      <c r="Q410" s="1" t="str">
        <f>IFERROR(IF(VALUE(tbl_data[[#This Row],[Engine_CC]])=0,"",VALUE(tbl_data[[#This Row],[Price_USD]])/VALUE(tbl_data[[#This Row],[Engine_CC]])),"")</f>
        <v/>
      </c>
      <c r="R410" s="1" t="str">
        <f>TRIM(tbl_data[[#This Row],[Brand]])</f>
        <v>Ford</v>
      </c>
      <c r="S410" s="1">
        <f>_xlfn.NUMBERVALUE(tbl_data[[#This Row],[Price_USD]],".",",")</f>
        <v>89850.3</v>
      </c>
    </row>
    <row r="411" spans="1:19" x14ac:dyDescent="0.3">
      <c r="A411">
        <v>410</v>
      </c>
      <c r="B411" t="s">
        <v>30</v>
      </c>
      <c r="C411">
        <v>2009</v>
      </c>
      <c r="D411">
        <v>160930</v>
      </c>
      <c r="E411" t="s">
        <v>44</v>
      </c>
      <c r="F411" t="s">
        <v>14</v>
      </c>
      <c r="G411" t="s">
        <v>26</v>
      </c>
      <c r="H411">
        <v>2390</v>
      </c>
      <c r="I411" t="s">
        <v>1225</v>
      </c>
      <c r="J411" t="s">
        <v>1226</v>
      </c>
      <c r="K411">
        <v>7</v>
      </c>
      <c r="L411" t="s">
        <v>1227</v>
      </c>
      <c r="M411" s="1" t="str">
        <f>TEXT(DATE(tbl_data[[#This Row],[Model_Year]],1,1),"yyyy")</f>
        <v>2009</v>
      </c>
      <c r="N411" s="1" t="str">
        <f>IF(tbl_data[[#This Row],[Kilometers_Driven]]&lt;50000,"&lt;50k",
IF(tbl_data[[#This Row],[Kilometers_Driven]]&lt;100000,"50k-100k",
IF(tbl_data[[#This Row],[Kilometers_Driven]]&lt;150000,"100k-150k","150k+")))</f>
        <v>150k+</v>
      </c>
      <c r="O411" s="1" t="str">
        <f>IF(tbl_data[[#This Row],[Price_USD]]&gt;=87089,"High",
IF(tbl_data[[#This Row],[Price_USD]]&gt;=56807,"Mid","Low"))</f>
        <v>High</v>
      </c>
      <c r="P411" s="1" t="str">
        <f>IF(tbl_data[[#This Row],[Transmission]]="Automatic","Auto","Manual")</f>
        <v>Manual</v>
      </c>
      <c r="Q411" s="1" t="str">
        <f>IFERROR(IF(VALUE(tbl_data[[#This Row],[Engine_CC]])=0,"",VALUE(tbl_data[[#This Row],[Price_USD]])/VALUE(tbl_data[[#This Row],[Engine_CC]])),"")</f>
        <v/>
      </c>
      <c r="R411" s="1" t="str">
        <f>TRIM(tbl_data[[#This Row],[Brand]])</f>
        <v>Mercedes</v>
      </c>
      <c r="S411" s="1">
        <f>_xlfn.NUMBERVALUE(tbl_data[[#This Row],[Price_USD]],".",",")</f>
        <v>93138.18</v>
      </c>
    </row>
    <row r="412" spans="1:19" x14ac:dyDescent="0.3">
      <c r="A412">
        <v>411</v>
      </c>
      <c r="B412" t="s">
        <v>69</v>
      </c>
      <c r="C412">
        <v>2020</v>
      </c>
      <c r="D412">
        <v>184761</v>
      </c>
      <c r="E412" t="s">
        <v>20</v>
      </c>
      <c r="F412" t="s">
        <v>21</v>
      </c>
      <c r="G412" t="s">
        <v>32</v>
      </c>
      <c r="H412">
        <v>4781</v>
      </c>
      <c r="I412" t="s">
        <v>1228</v>
      </c>
      <c r="J412" t="s">
        <v>1229</v>
      </c>
      <c r="K412">
        <v>2</v>
      </c>
      <c r="L412" t="s">
        <v>1230</v>
      </c>
      <c r="M412" s="1" t="str">
        <f>TEXT(DATE(tbl_data[[#This Row],[Model_Year]],1,1),"yyyy")</f>
        <v>2020</v>
      </c>
      <c r="N412" s="1" t="str">
        <f>IF(tbl_data[[#This Row],[Kilometers_Driven]]&lt;50000,"&lt;50k",
IF(tbl_data[[#This Row],[Kilometers_Driven]]&lt;100000,"50k-100k",
IF(tbl_data[[#This Row],[Kilometers_Driven]]&lt;150000,"100k-150k","150k+")))</f>
        <v>150k+</v>
      </c>
      <c r="O412" s="1" t="str">
        <f>IF(tbl_data[[#This Row],[Price_USD]]&gt;=87089,"High",
IF(tbl_data[[#This Row],[Price_USD]]&gt;=56807,"Mid","Low"))</f>
        <v>High</v>
      </c>
      <c r="P412" s="1" t="str">
        <f>IF(tbl_data[[#This Row],[Transmission]]="Automatic","Auto","Manual")</f>
        <v>Auto</v>
      </c>
      <c r="Q412" s="1" t="str">
        <f>IFERROR(IF(VALUE(tbl_data[[#This Row],[Engine_CC]])=0,"",VALUE(tbl_data[[#This Row],[Price_USD]])/VALUE(tbl_data[[#This Row],[Engine_CC]])),"")</f>
        <v/>
      </c>
      <c r="R412" s="1" t="str">
        <f>TRIM(tbl_data[[#This Row],[Brand]])</f>
        <v>Hyundai</v>
      </c>
      <c r="S412" s="1">
        <f>_xlfn.NUMBERVALUE(tbl_data[[#This Row],[Price_USD]],".",",")</f>
        <v>61455.35</v>
      </c>
    </row>
    <row r="413" spans="1:19" x14ac:dyDescent="0.3">
      <c r="A413">
        <v>412</v>
      </c>
      <c r="B413" t="s">
        <v>102</v>
      </c>
      <c r="C413">
        <v>2022</v>
      </c>
      <c r="D413">
        <v>49638</v>
      </c>
      <c r="E413" t="s">
        <v>44</v>
      </c>
      <c r="F413" t="s">
        <v>14</v>
      </c>
      <c r="G413" t="s">
        <v>15</v>
      </c>
      <c r="H413">
        <v>2235</v>
      </c>
      <c r="I413" t="s">
        <v>1231</v>
      </c>
      <c r="J413" t="s">
        <v>1232</v>
      </c>
      <c r="K413">
        <v>2</v>
      </c>
      <c r="L413" t="s">
        <v>1233</v>
      </c>
      <c r="M413" s="1" t="str">
        <f>TEXT(DATE(tbl_data[[#This Row],[Model_Year]],1,1),"yyyy")</f>
        <v>2022</v>
      </c>
      <c r="N413" s="1" t="str">
        <f>IF(tbl_data[[#This Row],[Kilometers_Driven]]&lt;50000,"&lt;50k",
IF(tbl_data[[#This Row],[Kilometers_Driven]]&lt;100000,"50k-100k",
IF(tbl_data[[#This Row],[Kilometers_Driven]]&lt;150000,"100k-150k","150k+")))</f>
        <v>&lt;50k</v>
      </c>
      <c r="O413" s="1" t="str">
        <f>IF(tbl_data[[#This Row],[Price_USD]]&gt;=87089,"High",
IF(tbl_data[[#This Row],[Price_USD]]&gt;=56807,"Mid","Low"))</f>
        <v>High</v>
      </c>
      <c r="P413" s="1" t="str">
        <f>IF(tbl_data[[#This Row],[Transmission]]="Automatic","Auto","Manual")</f>
        <v>Manual</v>
      </c>
      <c r="Q413" s="1" t="str">
        <f>IFERROR(IF(VALUE(tbl_data[[#This Row],[Engine_CC]])=0,"",VALUE(tbl_data[[#This Row],[Price_USD]])/VALUE(tbl_data[[#This Row],[Engine_CC]])),"")</f>
        <v/>
      </c>
      <c r="R413" s="1" t="str">
        <f>TRIM(tbl_data[[#This Row],[Brand]])</f>
        <v>Nissan</v>
      </c>
      <c r="S413" s="1">
        <f>_xlfn.NUMBERVALUE(tbl_data[[#This Row],[Price_USD]],".",",")</f>
        <v>38710.1</v>
      </c>
    </row>
    <row r="414" spans="1:19" x14ac:dyDescent="0.3">
      <c r="A414">
        <v>413</v>
      </c>
      <c r="B414" t="s">
        <v>30</v>
      </c>
      <c r="C414">
        <v>2010</v>
      </c>
      <c r="D414">
        <v>182558</v>
      </c>
      <c r="E414" t="s">
        <v>31</v>
      </c>
      <c r="F414" t="s">
        <v>14</v>
      </c>
      <c r="G414" t="s">
        <v>32</v>
      </c>
      <c r="H414">
        <v>1023</v>
      </c>
      <c r="I414" t="s">
        <v>1234</v>
      </c>
      <c r="J414" t="s">
        <v>1235</v>
      </c>
      <c r="K414">
        <v>5</v>
      </c>
      <c r="L414" t="s">
        <v>1236</v>
      </c>
      <c r="M414" s="1" t="str">
        <f>TEXT(DATE(tbl_data[[#This Row],[Model_Year]],1,1),"yyyy")</f>
        <v>2010</v>
      </c>
      <c r="N414" s="1" t="str">
        <f>IF(tbl_data[[#This Row],[Kilometers_Driven]]&lt;50000,"&lt;50k",
IF(tbl_data[[#This Row],[Kilometers_Driven]]&lt;100000,"50k-100k",
IF(tbl_data[[#This Row],[Kilometers_Driven]]&lt;150000,"100k-150k","150k+")))</f>
        <v>150k+</v>
      </c>
      <c r="O414" s="1" t="str">
        <f>IF(tbl_data[[#This Row],[Price_USD]]&gt;=87089,"High",
IF(tbl_data[[#This Row],[Price_USD]]&gt;=56807,"Mid","Low"))</f>
        <v>High</v>
      </c>
      <c r="P414" s="1" t="str">
        <f>IF(tbl_data[[#This Row],[Transmission]]="Automatic","Auto","Manual")</f>
        <v>Manual</v>
      </c>
      <c r="Q414" s="1" t="str">
        <f>IFERROR(IF(VALUE(tbl_data[[#This Row],[Engine_CC]])=0,"",VALUE(tbl_data[[#This Row],[Price_USD]])/VALUE(tbl_data[[#This Row],[Engine_CC]])),"")</f>
        <v/>
      </c>
      <c r="R414" s="1" t="str">
        <f>TRIM(tbl_data[[#This Row],[Brand]])</f>
        <v>Mercedes</v>
      </c>
      <c r="S414" s="1">
        <f>_xlfn.NUMBERVALUE(tbl_data[[#This Row],[Price_USD]],".",",")</f>
        <v>116927.88</v>
      </c>
    </row>
    <row r="415" spans="1:19" x14ac:dyDescent="0.3">
      <c r="A415">
        <v>414</v>
      </c>
      <c r="B415" t="s">
        <v>92</v>
      </c>
      <c r="C415">
        <v>2009</v>
      </c>
      <c r="D415">
        <v>25567</v>
      </c>
      <c r="E415" t="s">
        <v>31</v>
      </c>
      <c r="F415" t="s">
        <v>14</v>
      </c>
      <c r="G415" t="s">
        <v>32</v>
      </c>
      <c r="H415">
        <v>1019</v>
      </c>
      <c r="I415" t="s">
        <v>1237</v>
      </c>
      <c r="J415" t="s">
        <v>785</v>
      </c>
      <c r="K415">
        <v>4</v>
      </c>
      <c r="L415" t="s">
        <v>1238</v>
      </c>
      <c r="M415" s="1" t="str">
        <f>TEXT(DATE(tbl_data[[#This Row],[Model_Year]],1,1),"yyyy")</f>
        <v>2009</v>
      </c>
      <c r="N415" s="1" t="str">
        <f>IF(tbl_data[[#This Row],[Kilometers_Driven]]&lt;50000,"&lt;50k",
IF(tbl_data[[#This Row],[Kilometers_Driven]]&lt;100000,"50k-100k",
IF(tbl_data[[#This Row],[Kilometers_Driven]]&lt;150000,"100k-150k","150k+")))</f>
        <v>&lt;50k</v>
      </c>
      <c r="O415" s="1" t="str">
        <f>IF(tbl_data[[#This Row],[Price_USD]]&gt;=87089,"High",
IF(tbl_data[[#This Row],[Price_USD]]&gt;=56807,"Mid","Low"))</f>
        <v>High</v>
      </c>
      <c r="P415" s="1" t="str">
        <f>IF(tbl_data[[#This Row],[Transmission]]="Automatic","Auto","Manual")</f>
        <v>Manual</v>
      </c>
      <c r="Q415" s="1" t="str">
        <f>IFERROR(IF(VALUE(tbl_data[[#This Row],[Engine_CC]])=0,"",VALUE(tbl_data[[#This Row],[Price_USD]])/VALUE(tbl_data[[#This Row],[Engine_CC]])),"")</f>
        <v/>
      </c>
      <c r="R415" s="1" t="str">
        <f>TRIM(tbl_data[[#This Row],[Brand]])</f>
        <v>Toyota</v>
      </c>
      <c r="S415" s="1">
        <f>_xlfn.NUMBERVALUE(tbl_data[[#This Row],[Price_USD]],".",",")</f>
        <v>80613.429999999993</v>
      </c>
    </row>
    <row r="416" spans="1:19" x14ac:dyDescent="0.3">
      <c r="A416">
        <v>415</v>
      </c>
      <c r="B416" t="s">
        <v>19</v>
      </c>
      <c r="C416">
        <v>2020</v>
      </c>
      <c r="D416">
        <v>165811</v>
      </c>
      <c r="E416" t="s">
        <v>44</v>
      </c>
      <c r="F416" t="s">
        <v>14</v>
      </c>
      <c r="G416" t="s">
        <v>26</v>
      </c>
      <c r="H416">
        <v>2454</v>
      </c>
      <c r="I416" t="s">
        <v>1239</v>
      </c>
      <c r="J416" t="s">
        <v>1240</v>
      </c>
      <c r="K416">
        <v>5</v>
      </c>
      <c r="L416" t="s">
        <v>1241</v>
      </c>
      <c r="M416" s="1" t="str">
        <f>TEXT(DATE(tbl_data[[#This Row],[Model_Year]],1,1),"yyyy")</f>
        <v>2020</v>
      </c>
      <c r="N416" s="1" t="str">
        <f>IF(tbl_data[[#This Row],[Kilometers_Driven]]&lt;50000,"&lt;50k",
IF(tbl_data[[#This Row],[Kilometers_Driven]]&lt;100000,"50k-100k",
IF(tbl_data[[#This Row],[Kilometers_Driven]]&lt;150000,"100k-150k","150k+")))</f>
        <v>150k+</v>
      </c>
      <c r="O416" s="1" t="str">
        <f>IF(tbl_data[[#This Row],[Price_USD]]&gt;=87089,"High",
IF(tbl_data[[#This Row],[Price_USD]]&gt;=56807,"Mid","Low"))</f>
        <v>High</v>
      </c>
      <c r="P416" s="1" t="str">
        <f>IF(tbl_data[[#This Row],[Transmission]]="Automatic","Auto","Manual")</f>
        <v>Manual</v>
      </c>
      <c r="Q416" s="1" t="str">
        <f>IFERROR(IF(VALUE(tbl_data[[#This Row],[Engine_CC]])=0,"",VALUE(tbl_data[[#This Row],[Price_USD]])/VALUE(tbl_data[[#This Row],[Engine_CC]])),"")</f>
        <v/>
      </c>
      <c r="R416" s="1" t="str">
        <f>TRIM(tbl_data[[#This Row],[Brand]])</f>
        <v>BMW</v>
      </c>
      <c r="S416" s="1">
        <f>_xlfn.NUMBERVALUE(tbl_data[[#This Row],[Price_USD]],".",",")</f>
        <v>50763.79</v>
      </c>
    </row>
    <row r="417" spans="1:19" x14ac:dyDescent="0.3">
      <c r="A417">
        <v>416</v>
      </c>
      <c r="B417" t="s">
        <v>30</v>
      </c>
      <c r="C417">
        <v>2017</v>
      </c>
      <c r="D417">
        <v>62804</v>
      </c>
      <c r="E417" t="s">
        <v>20</v>
      </c>
      <c r="F417" t="s">
        <v>14</v>
      </c>
      <c r="G417" t="s">
        <v>15</v>
      </c>
      <c r="H417">
        <v>1064</v>
      </c>
      <c r="I417" t="s">
        <v>1242</v>
      </c>
      <c r="J417" t="s">
        <v>1243</v>
      </c>
      <c r="K417">
        <v>4</v>
      </c>
      <c r="L417" t="s">
        <v>1244</v>
      </c>
      <c r="M417" s="1" t="str">
        <f>TEXT(DATE(tbl_data[[#This Row],[Model_Year]],1,1),"yyyy")</f>
        <v>2017</v>
      </c>
      <c r="N417" s="1" t="str">
        <f>IF(tbl_data[[#This Row],[Kilometers_Driven]]&lt;50000,"&lt;50k",
IF(tbl_data[[#This Row],[Kilometers_Driven]]&lt;100000,"50k-100k",
IF(tbl_data[[#This Row],[Kilometers_Driven]]&lt;150000,"100k-150k","150k+")))</f>
        <v>50k-100k</v>
      </c>
      <c r="O417" s="1" t="str">
        <f>IF(tbl_data[[#This Row],[Price_USD]]&gt;=87089,"High",
IF(tbl_data[[#This Row],[Price_USD]]&gt;=56807,"Mid","Low"))</f>
        <v>High</v>
      </c>
      <c r="P417" s="1" t="str">
        <f>IF(tbl_data[[#This Row],[Transmission]]="Automatic","Auto","Manual")</f>
        <v>Manual</v>
      </c>
      <c r="Q417" s="1" t="str">
        <f>IFERROR(IF(VALUE(tbl_data[[#This Row],[Engine_CC]])=0,"",VALUE(tbl_data[[#This Row],[Price_USD]])/VALUE(tbl_data[[#This Row],[Engine_CC]])),"")</f>
        <v/>
      </c>
      <c r="R417" s="1" t="str">
        <f>TRIM(tbl_data[[#This Row],[Brand]])</f>
        <v>Mercedes</v>
      </c>
      <c r="S417" s="1">
        <f>_xlfn.NUMBERVALUE(tbl_data[[#This Row],[Price_USD]],".",",")</f>
        <v>35814.199999999997</v>
      </c>
    </row>
    <row r="418" spans="1:19" x14ac:dyDescent="0.3">
      <c r="A418">
        <v>417</v>
      </c>
      <c r="B418" t="s">
        <v>39</v>
      </c>
      <c r="C418">
        <v>2009</v>
      </c>
      <c r="D418">
        <v>113821</v>
      </c>
      <c r="E418" t="s">
        <v>13</v>
      </c>
      <c r="F418" t="s">
        <v>21</v>
      </c>
      <c r="G418" t="s">
        <v>15</v>
      </c>
      <c r="H418">
        <v>1753</v>
      </c>
      <c r="I418" t="s">
        <v>1245</v>
      </c>
      <c r="J418" t="s">
        <v>1246</v>
      </c>
      <c r="K418">
        <v>5</v>
      </c>
      <c r="L418" t="s">
        <v>1247</v>
      </c>
      <c r="M418" s="1" t="str">
        <f>TEXT(DATE(tbl_data[[#This Row],[Model_Year]],1,1),"yyyy")</f>
        <v>2009</v>
      </c>
      <c r="N418" s="1" t="str">
        <f>IF(tbl_data[[#This Row],[Kilometers_Driven]]&lt;50000,"&lt;50k",
IF(tbl_data[[#This Row],[Kilometers_Driven]]&lt;100000,"50k-100k",
IF(tbl_data[[#This Row],[Kilometers_Driven]]&lt;150000,"100k-150k","150k+")))</f>
        <v>100k-150k</v>
      </c>
      <c r="O418" s="1" t="str">
        <f>IF(tbl_data[[#This Row],[Price_USD]]&gt;=87089,"High",
IF(tbl_data[[#This Row],[Price_USD]]&gt;=56807,"Mid","Low"))</f>
        <v>High</v>
      </c>
      <c r="P418" s="1" t="str">
        <f>IF(tbl_data[[#This Row],[Transmission]]="Automatic","Auto","Manual")</f>
        <v>Auto</v>
      </c>
      <c r="Q418" s="1" t="str">
        <f>IFERROR(IF(VALUE(tbl_data[[#This Row],[Engine_CC]])=0,"",VALUE(tbl_data[[#This Row],[Price_USD]])/VALUE(tbl_data[[#This Row],[Engine_CC]])),"")</f>
        <v/>
      </c>
      <c r="R418" s="1" t="str">
        <f>TRIM(tbl_data[[#This Row],[Brand]])</f>
        <v>Volkswagen</v>
      </c>
      <c r="S418" s="1">
        <f>_xlfn.NUMBERVALUE(tbl_data[[#This Row],[Price_USD]],".",",")</f>
        <v>88539.05</v>
      </c>
    </row>
    <row r="419" spans="1:19" x14ac:dyDescent="0.3">
      <c r="A419">
        <v>418</v>
      </c>
      <c r="B419" t="s">
        <v>39</v>
      </c>
      <c r="C419">
        <v>2017</v>
      </c>
      <c r="D419">
        <v>8754</v>
      </c>
      <c r="E419" t="s">
        <v>20</v>
      </c>
      <c r="F419" t="s">
        <v>21</v>
      </c>
      <c r="G419" t="s">
        <v>15</v>
      </c>
      <c r="H419">
        <v>4533</v>
      </c>
      <c r="I419" t="s">
        <v>1248</v>
      </c>
      <c r="J419" t="s">
        <v>1249</v>
      </c>
      <c r="K419">
        <v>2</v>
      </c>
      <c r="L419" t="s">
        <v>1250</v>
      </c>
      <c r="M419" s="1" t="str">
        <f>TEXT(DATE(tbl_data[[#This Row],[Model_Year]],1,1),"yyyy")</f>
        <v>2017</v>
      </c>
      <c r="N419" s="1" t="str">
        <f>IF(tbl_data[[#This Row],[Kilometers_Driven]]&lt;50000,"&lt;50k",
IF(tbl_data[[#This Row],[Kilometers_Driven]]&lt;100000,"50k-100k",
IF(tbl_data[[#This Row],[Kilometers_Driven]]&lt;150000,"100k-150k","150k+")))</f>
        <v>&lt;50k</v>
      </c>
      <c r="O419" s="1" t="str">
        <f>IF(tbl_data[[#This Row],[Price_USD]]&gt;=87089,"High",
IF(tbl_data[[#This Row],[Price_USD]]&gt;=56807,"Mid","Low"))</f>
        <v>High</v>
      </c>
      <c r="P419" s="1" t="str">
        <f>IF(tbl_data[[#This Row],[Transmission]]="Automatic","Auto","Manual")</f>
        <v>Auto</v>
      </c>
      <c r="Q419" s="1" t="str">
        <f>IFERROR(IF(VALUE(tbl_data[[#This Row],[Engine_CC]])=0,"",VALUE(tbl_data[[#This Row],[Price_USD]])/VALUE(tbl_data[[#This Row],[Engine_CC]])),"")</f>
        <v/>
      </c>
      <c r="R419" s="1" t="str">
        <f>TRIM(tbl_data[[#This Row],[Brand]])</f>
        <v>Volkswagen</v>
      </c>
      <c r="S419" s="1">
        <f>_xlfn.NUMBERVALUE(tbl_data[[#This Row],[Price_USD]],".",",")</f>
        <v>31335.46</v>
      </c>
    </row>
    <row r="420" spans="1:19" x14ac:dyDescent="0.3">
      <c r="A420">
        <v>419</v>
      </c>
      <c r="B420" t="s">
        <v>30</v>
      </c>
      <c r="C420">
        <v>2021</v>
      </c>
      <c r="D420">
        <v>32044</v>
      </c>
      <c r="E420" t="s">
        <v>13</v>
      </c>
      <c r="F420" t="s">
        <v>21</v>
      </c>
      <c r="G420" t="s">
        <v>15</v>
      </c>
      <c r="H420">
        <v>3574</v>
      </c>
      <c r="I420" t="s">
        <v>1251</v>
      </c>
      <c r="J420" t="s">
        <v>1252</v>
      </c>
      <c r="K420">
        <v>6</v>
      </c>
      <c r="L420" t="s">
        <v>1253</v>
      </c>
      <c r="M420" s="1" t="str">
        <f>TEXT(DATE(tbl_data[[#This Row],[Model_Year]],1,1),"yyyy")</f>
        <v>2021</v>
      </c>
      <c r="N420" s="1" t="str">
        <f>IF(tbl_data[[#This Row],[Kilometers_Driven]]&lt;50000,"&lt;50k",
IF(tbl_data[[#This Row],[Kilometers_Driven]]&lt;100000,"50k-100k",
IF(tbl_data[[#This Row],[Kilometers_Driven]]&lt;150000,"100k-150k","150k+")))</f>
        <v>&lt;50k</v>
      </c>
      <c r="O420" s="1" t="str">
        <f>IF(tbl_data[[#This Row],[Price_USD]]&gt;=87089,"High",
IF(tbl_data[[#This Row],[Price_USD]]&gt;=56807,"Mid","Low"))</f>
        <v>High</v>
      </c>
      <c r="P420" s="1" t="str">
        <f>IF(tbl_data[[#This Row],[Transmission]]="Automatic","Auto","Manual")</f>
        <v>Auto</v>
      </c>
      <c r="Q420" s="1" t="str">
        <f>IFERROR(IF(VALUE(tbl_data[[#This Row],[Engine_CC]])=0,"",VALUE(tbl_data[[#This Row],[Price_USD]])/VALUE(tbl_data[[#This Row],[Engine_CC]])),"")</f>
        <v/>
      </c>
      <c r="R420" s="1" t="str">
        <f>TRIM(tbl_data[[#This Row],[Brand]])</f>
        <v>Mercedes</v>
      </c>
      <c r="S420" s="1">
        <f>_xlfn.NUMBERVALUE(tbl_data[[#This Row],[Price_USD]],".",",")</f>
        <v>23090.07</v>
      </c>
    </row>
    <row r="421" spans="1:19" x14ac:dyDescent="0.3">
      <c r="A421">
        <v>420</v>
      </c>
      <c r="B421" t="s">
        <v>12</v>
      </c>
      <c r="C421">
        <v>2022</v>
      </c>
      <c r="D421">
        <v>72260</v>
      </c>
      <c r="E421" t="s">
        <v>31</v>
      </c>
      <c r="F421" t="s">
        <v>21</v>
      </c>
      <c r="G421" t="s">
        <v>32</v>
      </c>
      <c r="H421">
        <v>3924</v>
      </c>
      <c r="I421" t="s">
        <v>1254</v>
      </c>
      <c r="J421" t="s">
        <v>1255</v>
      </c>
      <c r="K421">
        <v>4</v>
      </c>
      <c r="L421" t="s">
        <v>1256</v>
      </c>
      <c r="M421" s="1" t="str">
        <f>TEXT(DATE(tbl_data[[#This Row],[Model_Year]],1,1),"yyyy")</f>
        <v>2022</v>
      </c>
      <c r="N421" s="1" t="str">
        <f>IF(tbl_data[[#This Row],[Kilometers_Driven]]&lt;50000,"&lt;50k",
IF(tbl_data[[#This Row],[Kilometers_Driven]]&lt;100000,"50k-100k",
IF(tbl_data[[#This Row],[Kilometers_Driven]]&lt;150000,"100k-150k","150k+")))</f>
        <v>50k-100k</v>
      </c>
      <c r="O421" s="1" t="str">
        <f>IF(tbl_data[[#This Row],[Price_USD]]&gt;=87089,"High",
IF(tbl_data[[#This Row],[Price_USD]]&gt;=56807,"Mid","Low"))</f>
        <v>High</v>
      </c>
      <c r="P421" s="1" t="str">
        <f>IF(tbl_data[[#This Row],[Transmission]]="Automatic","Auto","Manual")</f>
        <v>Auto</v>
      </c>
      <c r="Q421" s="1" t="str">
        <f>IFERROR(IF(VALUE(tbl_data[[#This Row],[Engine_CC]])=0,"",VALUE(tbl_data[[#This Row],[Price_USD]])/VALUE(tbl_data[[#This Row],[Engine_CC]])),"")</f>
        <v/>
      </c>
      <c r="R421" s="1" t="str">
        <f>TRIM(tbl_data[[#This Row],[Brand]])</f>
        <v>Audi</v>
      </c>
      <c r="S421" s="1">
        <f>_xlfn.NUMBERVALUE(tbl_data[[#This Row],[Price_USD]],".",",")</f>
        <v>64990.57</v>
      </c>
    </row>
    <row r="422" spans="1:19" x14ac:dyDescent="0.3">
      <c r="A422">
        <v>421</v>
      </c>
      <c r="B422" t="s">
        <v>19</v>
      </c>
      <c r="C422">
        <v>2012</v>
      </c>
      <c r="D422">
        <v>71912</v>
      </c>
      <c r="E422" t="s">
        <v>20</v>
      </c>
      <c r="F422" t="s">
        <v>14</v>
      </c>
      <c r="G422" t="s">
        <v>32</v>
      </c>
      <c r="H422">
        <v>1279</v>
      </c>
      <c r="I422" t="s">
        <v>1257</v>
      </c>
      <c r="J422" t="s">
        <v>1258</v>
      </c>
      <c r="K422">
        <v>7</v>
      </c>
      <c r="L422" t="s">
        <v>1259</v>
      </c>
      <c r="M422" s="1" t="str">
        <f>TEXT(DATE(tbl_data[[#This Row],[Model_Year]],1,1),"yyyy")</f>
        <v>2012</v>
      </c>
      <c r="N422" s="1" t="str">
        <f>IF(tbl_data[[#This Row],[Kilometers_Driven]]&lt;50000,"&lt;50k",
IF(tbl_data[[#This Row],[Kilometers_Driven]]&lt;100000,"50k-100k",
IF(tbl_data[[#This Row],[Kilometers_Driven]]&lt;150000,"100k-150k","150k+")))</f>
        <v>50k-100k</v>
      </c>
      <c r="O422" s="1" t="str">
        <f>IF(tbl_data[[#This Row],[Price_USD]]&gt;=87089,"High",
IF(tbl_data[[#This Row],[Price_USD]]&gt;=56807,"Mid","Low"))</f>
        <v>High</v>
      </c>
      <c r="P422" s="1" t="str">
        <f>IF(tbl_data[[#This Row],[Transmission]]="Automatic","Auto","Manual")</f>
        <v>Manual</v>
      </c>
      <c r="Q422" s="1" t="str">
        <f>IFERROR(IF(VALUE(tbl_data[[#This Row],[Engine_CC]])=0,"",VALUE(tbl_data[[#This Row],[Price_USD]])/VALUE(tbl_data[[#This Row],[Engine_CC]])),"")</f>
        <v/>
      </c>
      <c r="R422" s="1" t="str">
        <f>TRIM(tbl_data[[#This Row],[Brand]])</f>
        <v>BMW</v>
      </c>
      <c r="S422" s="1">
        <f>_xlfn.NUMBERVALUE(tbl_data[[#This Row],[Price_USD]],".",",")</f>
        <v>36928.519999999997</v>
      </c>
    </row>
    <row r="423" spans="1:19" x14ac:dyDescent="0.3">
      <c r="A423">
        <v>422</v>
      </c>
      <c r="B423" t="s">
        <v>92</v>
      </c>
      <c r="C423">
        <v>2017</v>
      </c>
      <c r="D423">
        <v>13706</v>
      </c>
      <c r="E423" t="s">
        <v>13</v>
      </c>
      <c r="F423" t="s">
        <v>14</v>
      </c>
      <c r="G423" t="s">
        <v>26</v>
      </c>
      <c r="H423">
        <v>4314</v>
      </c>
      <c r="I423" t="s">
        <v>581</v>
      </c>
      <c r="J423" t="s">
        <v>1260</v>
      </c>
      <c r="K423">
        <v>7</v>
      </c>
      <c r="L423" t="s">
        <v>1261</v>
      </c>
      <c r="M423" s="1" t="str">
        <f>TEXT(DATE(tbl_data[[#This Row],[Model_Year]],1,1),"yyyy")</f>
        <v>2017</v>
      </c>
      <c r="N423" s="1" t="str">
        <f>IF(tbl_data[[#This Row],[Kilometers_Driven]]&lt;50000,"&lt;50k",
IF(tbl_data[[#This Row],[Kilometers_Driven]]&lt;100000,"50k-100k",
IF(tbl_data[[#This Row],[Kilometers_Driven]]&lt;150000,"100k-150k","150k+")))</f>
        <v>&lt;50k</v>
      </c>
      <c r="O423" s="1" t="str">
        <f>IF(tbl_data[[#This Row],[Price_USD]]&gt;=87089,"High",
IF(tbl_data[[#This Row],[Price_USD]]&gt;=56807,"Mid","Low"))</f>
        <v>High</v>
      </c>
      <c r="P423" s="1" t="str">
        <f>IF(tbl_data[[#This Row],[Transmission]]="Automatic","Auto","Manual")</f>
        <v>Manual</v>
      </c>
      <c r="Q423" s="1" t="str">
        <f>IFERROR(IF(VALUE(tbl_data[[#This Row],[Engine_CC]])=0,"",VALUE(tbl_data[[#This Row],[Price_USD]])/VALUE(tbl_data[[#This Row],[Engine_CC]])),"")</f>
        <v/>
      </c>
      <c r="R423" s="1" t="str">
        <f>TRIM(tbl_data[[#This Row],[Brand]])</f>
        <v>Toyota</v>
      </c>
      <c r="S423" s="1">
        <f>_xlfn.NUMBERVALUE(tbl_data[[#This Row],[Price_USD]],".",",")</f>
        <v>76581.899999999994</v>
      </c>
    </row>
    <row r="424" spans="1:19" x14ac:dyDescent="0.3">
      <c r="A424">
        <v>423</v>
      </c>
      <c r="B424" t="s">
        <v>30</v>
      </c>
      <c r="C424">
        <v>2023</v>
      </c>
      <c r="D424">
        <v>13894</v>
      </c>
      <c r="E424" t="s">
        <v>44</v>
      </c>
      <c r="F424" t="s">
        <v>14</v>
      </c>
      <c r="G424" t="s">
        <v>32</v>
      </c>
      <c r="H424">
        <v>2153</v>
      </c>
      <c r="I424" t="s">
        <v>1262</v>
      </c>
      <c r="J424" t="s">
        <v>496</v>
      </c>
      <c r="K424">
        <v>2</v>
      </c>
      <c r="L424" t="s">
        <v>1263</v>
      </c>
      <c r="M424" s="1" t="str">
        <f>TEXT(DATE(tbl_data[[#This Row],[Model_Year]],1,1),"yyyy")</f>
        <v>2023</v>
      </c>
      <c r="N424" s="1" t="str">
        <f>IF(tbl_data[[#This Row],[Kilometers_Driven]]&lt;50000,"&lt;50k",
IF(tbl_data[[#This Row],[Kilometers_Driven]]&lt;100000,"50k-100k",
IF(tbl_data[[#This Row],[Kilometers_Driven]]&lt;150000,"100k-150k","150k+")))</f>
        <v>&lt;50k</v>
      </c>
      <c r="O424" s="1" t="str">
        <f>IF(tbl_data[[#This Row],[Price_USD]]&gt;=87089,"High",
IF(tbl_data[[#This Row],[Price_USD]]&gt;=56807,"Mid","Low"))</f>
        <v>High</v>
      </c>
      <c r="P424" s="1" t="str">
        <f>IF(tbl_data[[#This Row],[Transmission]]="Automatic","Auto","Manual")</f>
        <v>Manual</v>
      </c>
      <c r="Q424" s="1" t="str">
        <f>IFERROR(IF(VALUE(tbl_data[[#This Row],[Engine_CC]])=0,"",VALUE(tbl_data[[#This Row],[Price_USD]])/VALUE(tbl_data[[#This Row],[Engine_CC]])),"")</f>
        <v/>
      </c>
      <c r="R424" s="1" t="str">
        <f>TRIM(tbl_data[[#This Row],[Brand]])</f>
        <v>Mercedes</v>
      </c>
      <c r="S424" s="1">
        <f>_xlfn.NUMBERVALUE(tbl_data[[#This Row],[Price_USD]],".",",")</f>
        <v>16798.82</v>
      </c>
    </row>
    <row r="425" spans="1:19" x14ac:dyDescent="0.3">
      <c r="A425">
        <v>424</v>
      </c>
      <c r="B425" t="s">
        <v>12</v>
      </c>
      <c r="C425">
        <v>2007</v>
      </c>
      <c r="D425">
        <v>154109</v>
      </c>
      <c r="E425" t="s">
        <v>31</v>
      </c>
      <c r="F425" t="s">
        <v>14</v>
      </c>
      <c r="G425" t="s">
        <v>32</v>
      </c>
      <c r="H425">
        <v>4122</v>
      </c>
      <c r="I425" t="s">
        <v>1264</v>
      </c>
      <c r="J425" t="s">
        <v>1265</v>
      </c>
      <c r="K425">
        <v>5</v>
      </c>
      <c r="L425" t="s">
        <v>1266</v>
      </c>
      <c r="M425" s="1" t="str">
        <f>TEXT(DATE(tbl_data[[#This Row],[Model_Year]],1,1),"yyyy")</f>
        <v>2007</v>
      </c>
      <c r="N425" s="1" t="str">
        <f>IF(tbl_data[[#This Row],[Kilometers_Driven]]&lt;50000,"&lt;50k",
IF(tbl_data[[#This Row],[Kilometers_Driven]]&lt;100000,"50k-100k",
IF(tbl_data[[#This Row],[Kilometers_Driven]]&lt;150000,"100k-150k","150k+")))</f>
        <v>150k+</v>
      </c>
      <c r="O425" s="1" t="str">
        <f>IF(tbl_data[[#This Row],[Price_USD]]&gt;=87089,"High",
IF(tbl_data[[#This Row],[Price_USD]]&gt;=56807,"Mid","Low"))</f>
        <v>High</v>
      </c>
      <c r="P425" s="1" t="str">
        <f>IF(tbl_data[[#This Row],[Transmission]]="Automatic","Auto","Manual")</f>
        <v>Manual</v>
      </c>
      <c r="Q425" s="1" t="str">
        <f>IFERROR(IF(VALUE(tbl_data[[#This Row],[Engine_CC]])=0,"",VALUE(tbl_data[[#This Row],[Price_USD]])/VALUE(tbl_data[[#This Row],[Engine_CC]])),"")</f>
        <v/>
      </c>
      <c r="R425" s="1" t="str">
        <f>TRIM(tbl_data[[#This Row],[Brand]])</f>
        <v>Audi</v>
      </c>
      <c r="S425" s="1">
        <f>_xlfn.NUMBERVALUE(tbl_data[[#This Row],[Price_USD]],".",",")</f>
        <v>79628.11</v>
      </c>
    </row>
    <row r="426" spans="1:19" x14ac:dyDescent="0.3">
      <c r="A426">
        <v>425</v>
      </c>
      <c r="B426" t="s">
        <v>39</v>
      </c>
      <c r="C426">
        <v>2012</v>
      </c>
      <c r="D426">
        <v>88986</v>
      </c>
      <c r="E426" t="s">
        <v>44</v>
      </c>
      <c r="F426" t="s">
        <v>14</v>
      </c>
      <c r="G426" t="s">
        <v>26</v>
      </c>
      <c r="H426">
        <v>4678</v>
      </c>
      <c r="I426" t="s">
        <v>1267</v>
      </c>
      <c r="J426" t="s">
        <v>1268</v>
      </c>
      <c r="K426">
        <v>5</v>
      </c>
      <c r="L426" t="s">
        <v>1269</v>
      </c>
      <c r="M426" s="1" t="str">
        <f>TEXT(DATE(tbl_data[[#This Row],[Model_Year]],1,1),"yyyy")</f>
        <v>2012</v>
      </c>
      <c r="N426" s="1" t="str">
        <f>IF(tbl_data[[#This Row],[Kilometers_Driven]]&lt;50000,"&lt;50k",
IF(tbl_data[[#This Row],[Kilometers_Driven]]&lt;100000,"50k-100k",
IF(tbl_data[[#This Row],[Kilometers_Driven]]&lt;150000,"100k-150k","150k+")))</f>
        <v>50k-100k</v>
      </c>
      <c r="O426" s="1" t="str">
        <f>IF(tbl_data[[#This Row],[Price_USD]]&gt;=87089,"High",
IF(tbl_data[[#This Row],[Price_USD]]&gt;=56807,"Mid","Low"))</f>
        <v>High</v>
      </c>
      <c r="P426" s="1" t="str">
        <f>IF(tbl_data[[#This Row],[Transmission]]="Automatic","Auto","Manual")</f>
        <v>Manual</v>
      </c>
      <c r="Q426" s="1" t="str">
        <f>IFERROR(IF(VALUE(tbl_data[[#This Row],[Engine_CC]])=0,"",VALUE(tbl_data[[#This Row],[Price_USD]])/VALUE(tbl_data[[#This Row],[Engine_CC]])),"")</f>
        <v/>
      </c>
      <c r="R426" s="1" t="str">
        <f>TRIM(tbl_data[[#This Row],[Brand]])</f>
        <v>Volkswagen</v>
      </c>
      <c r="S426" s="1">
        <f>_xlfn.NUMBERVALUE(tbl_data[[#This Row],[Price_USD]],".",",")</f>
        <v>36145.69</v>
      </c>
    </row>
    <row r="427" spans="1:19" x14ac:dyDescent="0.3">
      <c r="A427">
        <v>426</v>
      </c>
      <c r="B427" t="s">
        <v>39</v>
      </c>
      <c r="C427">
        <v>2006</v>
      </c>
      <c r="D427">
        <v>86942</v>
      </c>
      <c r="E427" t="s">
        <v>31</v>
      </c>
      <c r="F427" t="s">
        <v>21</v>
      </c>
      <c r="G427" t="s">
        <v>26</v>
      </c>
      <c r="H427">
        <v>1689</v>
      </c>
      <c r="I427" t="s">
        <v>1270</v>
      </c>
      <c r="J427" t="s">
        <v>223</v>
      </c>
      <c r="K427">
        <v>2</v>
      </c>
      <c r="L427" t="s">
        <v>1271</v>
      </c>
      <c r="M427" s="1" t="str">
        <f>TEXT(DATE(tbl_data[[#This Row],[Model_Year]],1,1),"yyyy")</f>
        <v>2006</v>
      </c>
      <c r="N427" s="1" t="str">
        <f>IF(tbl_data[[#This Row],[Kilometers_Driven]]&lt;50000,"&lt;50k",
IF(tbl_data[[#This Row],[Kilometers_Driven]]&lt;100000,"50k-100k",
IF(tbl_data[[#This Row],[Kilometers_Driven]]&lt;150000,"100k-150k","150k+")))</f>
        <v>50k-100k</v>
      </c>
      <c r="O427" s="1" t="str">
        <f>IF(tbl_data[[#This Row],[Price_USD]]&gt;=87089,"High",
IF(tbl_data[[#This Row],[Price_USD]]&gt;=56807,"Mid","Low"))</f>
        <v>High</v>
      </c>
      <c r="P427" s="1" t="str">
        <f>IF(tbl_data[[#This Row],[Transmission]]="Automatic","Auto","Manual")</f>
        <v>Auto</v>
      </c>
      <c r="Q427" s="1" t="str">
        <f>IFERROR(IF(VALUE(tbl_data[[#This Row],[Engine_CC]])=0,"",VALUE(tbl_data[[#This Row],[Price_USD]])/VALUE(tbl_data[[#This Row],[Engine_CC]])),"")</f>
        <v/>
      </c>
      <c r="R427" s="1" t="str">
        <f>TRIM(tbl_data[[#This Row],[Brand]])</f>
        <v>Volkswagen</v>
      </c>
      <c r="S427" s="1">
        <f>_xlfn.NUMBERVALUE(tbl_data[[#This Row],[Price_USD]],".",",")</f>
        <v>3028.42</v>
      </c>
    </row>
    <row r="428" spans="1:19" x14ac:dyDescent="0.3">
      <c r="A428">
        <v>427</v>
      </c>
      <c r="B428" t="s">
        <v>69</v>
      </c>
      <c r="C428">
        <v>2012</v>
      </c>
      <c r="D428">
        <v>187684</v>
      </c>
      <c r="E428" t="s">
        <v>20</v>
      </c>
      <c r="F428" t="s">
        <v>21</v>
      </c>
      <c r="G428" t="s">
        <v>26</v>
      </c>
      <c r="H428">
        <v>4654</v>
      </c>
      <c r="I428" t="s">
        <v>1272</v>
      </c>
      <c r="J428" t="s">
        <v>979</v>
      </c>
      <c r="K428">
        <v>7</v>
      </c>
      <c r="L428" t="s">
        <v>1273</v>
      </c>
      <c r="M428" s="1" t="str">
        <f>TEXT(DATE(tbl_data[[#This Row],[Model_Year]],1,1),"yyyy")</f>
        <v>2012</v>
      </c>
      <c r="N428" s="1" t="str">
        <f>IF(tbl_data[[#This Row],[Kilometers_Driven]]&lt;50000,"&lt;50k",
IF(tbl_data[[#This Row],[Kilometers_Driven]]&lt;100000,"50k-100k",
IF(tbl_data[[#This Row],[Kilometers_Driven]]&lt;150000,"100k-150k","150k+")))</f>
        <v>150k+</v>
      </c>
      <c r="O428" s="1" t="str">
        <f>IF(tbl_data[[#This Row],[Price_USD]]&gt;=87089,"High",
IF(tbl_data[[#This Row],[Price_USD]]&gt;=56807,"Mid","Low"))</f>
        <v>High</v>
      </c>
      <c r="P428" s="1" t="str">
        <f>IF(tbl_data[[#This Row],[Transmission]]="Automatic","Auto","Manual")</f>
        <v>Auto</v>
      </c>
      <c r="Q428" s="1" t="str">
        <f>IFERROR(IF(VALUE(tbl_data[[#This Row],[Engine_CC]])=0,"",VALUE(tbl_data[[#This Row],[Price_USD]])/VALUE(tbl_data[[#This Row],[Engine_CC]])),"")</f>
        <v/>
      </c>
      <c r="R428" s="1" t="str">
        <f>TRIM(tbl_data[[#This Row],[Brand]])</f>
        <v>Hyundai</v>
      </c>
      <c r="S428" s="1">
        <f>_xlfn.NUMBERVALUE(tbl_data[[#This Row],[Price_USD]],".",",")</f>
        <v>17851.52</v>
      </c>
    </row>
    <row r="429" spans="1:19" x14ac:dyDescent="0.3">
      <c r="A429">
        <v>428</v>
      </c>
      <c r="B429" t="s">
        <v>30</v>
      </c>
      <c r="C429">
        <v>2017</v>
      </c>
      <c r="D429">
        <v>34725</v>
      </c>
      <c r="E429" t="s">
        <v>20</v>
      </c>
      <c r="F429" t="s">
        <v>14</v>
      </c>
      <c r="G429" t="s">
        <v>32</v>
      </c>
      <c r="H429">
        <v>1724</v>
      </c>
      <c r="I429" t="s">
        <v>1274</v>
      </c>
      <c r="J429" t="s">
        <v>1275</v>
      </c>
      <c r="K429">
        <v>7</v>
      </c>
      <c r="L429" t="s">
        <v>1276</v>
      </c>
      <c r="M429" s="1" t="str">
        <f>TEXT(DATE(tbl_data[[#This Row],[Model_Year]],1,1),"yyyy")</f>
        <v>2017</v>
      </c>
      <c r="N429" s="1" t="str">
        <f>IF(tbl_data[[#This Row],[Kilometers_Driven]]&lt;50000,"&lt;50k",
IF(tbl_data[[#This Row],[Kilometers_Driven]]&lt;100000,"50k-100k",
IF(tbl_data[[#This Row],[Kilometers_Driven]]&lt;150000,"100k-150k","150k+")))</f>
        <v>&lt;50k</v>
      </c>
      <c r="O429" s="1" t="str">
        <f>IF(tbl_data[[#This Row],[Price_USD]]&gt;=87089,"High",
IF(tbl_data[[#This Row],[Price_USD]]&gt;=56807,"Mid","Low"))</f>
        <v>High</v>
      </c>
      <c r="P429" s="1" t="str">
        <f>IF(tbl_data[[#This Row],[Transmission]]="Automatic","Auto","Manual")</f>
        <v>Manual</v>
      </c>
      <c r="Q429" s="1" t="str">
        <f>IFERROR(IF(VALUE(tbl_data[[#This Row],[Engine_CC]])=0,"",VALUE(tbl_data[[#This Row],[Price_USD]])/VALUE(tbl_data[[#This Row],[Engine_CC]])),"")</f>
        <v/>
      </c>
      <c r="R429" s="1" t="str">
        <f>TRIM(tbl_data[[#This Row],[Brand]])</f>
        <v>Mercedes</v>
      </c>
      <c r="S429" s="1">
        <f>_xlfn.NUMBERVALUE(tbl_data[[#This Row],[Price_USD]],".",",")</f>
        <v>112233</v>
      </c>
    </row>
    <row r="430" spans="1:19" x14ac:dyDescent="0.3">
      <c r="A430">
        <v>429</v>
      </c>
      <c r="B430" t="s">
        <v>19</v>
      </c>
      <c r="C430">
        <v>2017</v>
      </c>
      <c r="D430">
        <v>141998</v>
      </c>
      <c r="E430" t="s">
        <v>31</v>
      </c>
      <c r="F430" t="s">
        <v>14</v>
      </c>
      <c r="G430" t="s">
        <v>32</v>
      </c>
      <c r="H430">
        <v>2970</v>
      </c>
      <c r="I430" t="s">
        <v>1277</v>
      </c>
      <c r="J430" t="s">
        <v>1278</v>
      </c>
      <c r="K430">
        <v>5</v>
      </c>
      <c r="L430" t="s">
        <v>1279</v>
      </c>
      <c r="M430" s="1" t="str">
        <f>TEXT(DATE(tbl_data[[#This Row],[Model_Year]],1,1),"yyyy")</f>
        <v>2017</v>
      </c>
      <c r="N430" s="1" t="str">
        <f>IF(tbl_data[[#This Row],[Kilometers_Driven]]&lt;50000,"&lt;50k",
IF(tbl_data[[#This Row],[Kilometers_Driven]]&lt;100000,"50k-100k",
IF(tbl_data[[#This Row],[Kilometers_Driven]]&lt;150000,"100k-150k","150k+")))</f>
        <v>100k-150k</v>
      </c>
      <c r="O430" s="1" t="str">
        <f>IF(tbl_data[[#This Row],[Price_USD]]&gt;=87089,"High",
IF(tbl_data[[#This Row],[Price_USD]]&gt;=56807,"Mid","Low"))</f>
        <v>High</v>
      </c>
      <c r="P430" s="1" t="str">
        <f>IF(tbl_data[[#This Row],[Transmission]]="Automatic","Auto","Manual")</f>
        <v>Manual</v>
      </c>
      <c r="Q430" s="1" t="str">
        <f>IFERROR(IF(VALUE(tbl_data[[#This Row],[Engine_CC]])=0,"",VALUE(tbl_data[[#This Row],[Price_USD]])/VALUE(tbl_data[[#This Row],[Engine_CC]])),"")</f>
        <v/>
      </c>
      <c r="R430" s="1" t="str">
        <f>TRIM(tbl_data[[#This Row],[Brand]])</f>
        <v>BMW</v>
      </c>
      <c r="S430" s="1">
        <f>_xlfn.NUMBERVALUE(tbl_data[[#This Row],[Price_USD]],".",",")</f>
        <v>104480.49</v>
      </c>
    </row>
    <row r="431" spans="1:19" x14ac:dyDescent="0.3">
      <c r="A431">
        <v>430</v>
      </c>
      <c r="B431" t="s">
        <v>76</v>
      </c>
      <c r="C431">
        <v>2005</v>
      </c>
      <c r="D431">
        <v>109555</v>
      </c>
      <c r="E431" t="s">
        <v>31</v>
      </c>
      <c r="F431" t="s">
        <v>14</v>
      </c>
      <c r="G431" t="s">
        <v>26</v>
      </c>
      <c r="H431">
        <v>2702</v>
      </c>
      <c r="I431" t="s">
        <v>1280</v>
      </c>
      <c r="J431" t="s">
        <v>1281</v>
      </c>
      <c r="K431">
        <v>4</v>
      </c>
      <c r="L431" t="s">
        <v>1282</v>
      </c>
      <c r="M431" s="1" t="str">
        <f>TEXT(DATE(tbl_data[[#This Row],[Model_Year]],1,1),"yyyy")</f>
        <v>2005</v>
      </c>
      <c r="N431" s="1" t="str">
        <f>IF(tbl_data[[#This Row],[Kilometers_Driven]]&lt;50000,"&lt;50k",
IF(tbl_data[[#This Row],[Kilometers_Driven]]&lt;100000,"50k-100k",
IF(tbl_data[[#This Row],[Kilometers_Driven]]&lt;150000,"100k-150k","150k+")))</f>
        <v>100k-150k</v>
      </c>
      <c r="O431" s="1" t="str">
        <f>IF(tbl_data[[#This Row],[Price_USD]]&gt;=87089,"High",
IF(tbl_data[[#This Row],[Price_USD]]&gt;=56807,"Mid","Low"))</f>
        <v>High</v>
      </c>
      <c r="P431" s="1" t="str">
        <f>IF(tbl_data[[#This Row],[Transmission]]="Automatic","Auto","Manual")</f>
        <v>Manual</v>
      </c>
      <c r="Q431" s="1" t="str">
        <f>IFERROR(IF(VALUE(tbl_data[[#This Row],[Engine_CC]])=0,"",VALUE(tbl_data[[#This Row],[Price_USD]])/VALUE(tbl_data[[#This Row],[Engine_CC]])),"")</f>
        <v/>
      </c>
      <c r="R431" s="1" t="str">
        <f>TRIM(tbl_data[[#This Row],[Brand]])</f>
        <v>Honda</v>
      </c>
      <c r="S431" s="1">
        <f>_xlfn.NUMBERVALUE(tbl_data[[#This Row],[Price_USD]],".",",")</f>
        <v>30332.26</v>
      </c>
    </row>
    <row r="432" spans="1:19" x14ac:dyDescent="0.3">
      <c r="A432">
        <v>431</v>
      </c>
      <c r="B432" t="s">
        <v>19</v>
      </c>
      <c r="C432">
        <v>2010</v>
      </c>
      <c r="D432">
        <v>14496</v>
      </c>
      <c r="E432" t="s">
        <v>31</v>
      </c>
      <c r="F432" t="s">
        <v>21</v>
      </c>
      <c r="G432" t="s">
        <v>26</v>
      </c>
      <c r="H432">
        <v>3195</v>
      </c>
      <c r="I432" t="s">
        <v>1283</v>
      </c>
      <c r="J432" t="s">
        <v>1284</v>
      </c>
      <c r="K432">
        <v>6</v>
      </c>
      <c r="L432" t="s">
        <v>1285</v>
      </c>
      <c r="M432" s="1" t="str">
        <f>TEXT(DATE(tbl_data[[#This Row],[Model_Year]],1,1),"yyyy")</f>
        <v>2010</v>
      </c>
      <c r="N432" s="1" t="str">
        <f>IF(tbl_data[[#This Row],[Kilometers_Driven]]&lt;50000,"&lt;50k",
IF(tbl_data[[#This Row],[Kilometers_Driven]]&lt;100000,"50k-100k",
IF(tbl_data[[#This Row],[Kilometers_Driven]]&lt;150000,"100k-150k","150k+")))</f>
        <v>&lt;50k</v>
      </c>
      <c r="O432" s="1" t="str">
        <f>IF(tbl_data[[#This Row],[Price_USD]]&gt;=87089,"High",
IF(tbl_data[[#This Row],[Price_USD]]&gt;=56807,"Mid","Low"))</f>
        <v>High</v>
      </c>
      <c r="P432" s="1" t="str">
        <f>IF(tbl_data[[#This Row],[Transmission]]="Automatic","Auto","Manual")</f>
        <v>Auto</v>
      </c>
      <c r="Q432" s="1" t="str">
        <f>IFERROR(IF(VALUE(tbl_data[[#This Row],[Engine_CC]])=0,"",VALUE(tbl_data[[#This Row],[Price_USD]])/VALUE(tbl_data[[#This Row],[Engine_CC]])),"")</f>
        <v/>
      </c>
      <c r="R432" s="1" t="str">
        <f>TRIM(tbl_data[[#This Row],[Brand]])</f>
        <v>BMW</v>
      </c>
      <c r="S432" s="1">
        <f>_xlfn.NUMBERVALUE(tbl_data[[#This Row],[Price_USD]],".",",")</f>
        <v>94069.51</v>
      </c>
    </row>
    <row r="433" spans="1:19" x14ac:dyDescent="0.3">
      <c r="A433">
        <v>432</v>
      </c>
      <c r="B433" t="s">
        <v>39</v>
      </c>
      <c r="C433">
        <v>2023</v>
      </c>
      <c r="D433">
        <v>61447</v>
      </c>
      <c r="E433" t="s">
        <v>20</v>
      </c>
      <c r="F433" t="s">
        <v>14</v>
      </c>
      <c r="G433" t="s">
        <v>26</v>
      </c>
      <c r="H433">
        <v>828</v>
      </c>
      <c r="I433" t="s">
        <v>1286</v>
      </c>
      <c r="J433" t="s">
        <v>1287</v>
      </c>
      <c r="K433">
        <v>4</v>
      </c>
      <c r="L433" t="s">
        <v>1288</v>
      </c>
      <c r="M433" s="1" t="str">
        <f>TEXT(DATE(tbl_data[[#This Row],[Model_Year]],1,1),"yyyy")</f>
        <v>2023</v>
      </c>
      <c r="N433" s="1" t="str">
        <f>IF(tbl_data[[#This Row],[Kilometers_Driven]]&lt;50000,"&lt;50k",
IF(tbl_data[[#This Row],[Kilometers_Driven]]&lt;100000,"50k-100k",
IF(tbl_data[[#This Row],[Kilometers_Driven]]&lt;150000,"100k-150k","150k+")))</f>
        <v>50k-100k</v>
      </c>
      <c r="O433" s="1" t="str">
        <f>IF(tbl_data[[#This Row],[Price_USD]]&gt;=87089,"High",
IF(tbl_data[[#This Row],[Price_USD]]&gt;=56807,"Mid","Low"))</f>
        <v>High</v>
      </c>
      <c r="P433" s="1" t="str">
        <f>IF(tbl_data[[#This Row],[Transmission]]="Automatic","Auto","Manual")</f>
        <v>Manual</v>
      </c>
      <c r="Q433" s="1" t="str">
        <f>IFERROR(IF(VALUE(tbl_data[[#This Row],[Engine_CC]])=0,"",VALUE(tbl_data[[#This Row],[Price_USD]])/VALUE(tbl_data[[#This Row],[Engine_CC]])),"")</f>
        <v/>
      </c>
      <c r="R433" s="1" t="str">
        <f>TRIM(tbl_data[[#This Row],[Brand]])</f>
        <v>Volkswagen</v>
      </c>
      <c r="S433" s="1">
        <f>_xlfn.NUMBERVALUE(tbl_data[[#This Row],[Price_USD]],".",",")</f>
        <v>74202.880000000005</v>
      </c>
    </row>
    <row r="434" spans="1:19" x14ac:dyDescent="0.3">
      <c r="A434">
        <v>433</v>
      </c>
      <c r="B434" t="s">
        <v>39</v>
      </c>
      <c r="C434">
        <v>2020</v>
      </c>
      <c r="D434">
        <v>106604</v>
      </c>
      <c r="E434" t="s">
        <v>13</v>
      </c>
      <c r="F434" t="s">
        <v>14</v>
      </c>
      <c r="G434" t="s">
        <v>32</v>
      </c>
      <c r="H434">
        <v>834</v>
      </c>
      <c r="I434" t="s">
        <v>1289</v>
      </c>
      <c r="J434" t="s">
        <v>1290</v>
      </c>
      <c r="K434">
        <v>7</v>
      </c>
      <c r="L434" t="s">
        <v>1291</v>
      </c>
      <c r="M434" s="1" t="str">
        <f>TEXT(DATE(tbl_data[[#This Row],[Model_Year]],1,1),"yyyy")</f>
        <v>2020</v>
      </c>
      <c r="N434" s="1" t="str">
        <f>IF(tbl_data[[#This Row],[Kilometers_Driven]]&lt;50000,"&lt;50k",
IF(tbl_data[[#This Row],[Kilometers_Driven]]&lt;100000,"50k-100k",
IF(tbl_data[[#This Row],[Kilometers_Driven]]&lt;150000,"100k-150k","150k+")))</f>
        <v>100k-150k</v>
      </c>
      <c r="O434" s="1" t="str">
        <f>IF(tbl_data[[#This Row],[Price_USD]]&gt;=87089,"High",
IF(tbl_data[[#This Row],[Price_USD]]&gt;=56807,"Mid","Low"))</f>
        <v>High</v>
      </c>
      <c r="P434" s="1" t="str">
        <f>IF(tbl_data[[#This Row],[Transmission]]="Automatic","Auto","Manual")</f>
        <v>Manual</v>
      </c>
      <c r="Q434" s="1" t="str">
        <f>IFERROR(IF(VALUE(tbl_data[[#This Row],[Engine_CC]])=0,"",VALUE(tbl_data[[#This Row],[Price_USD]])/VALUE(tbl_data[[#This Row],[Engine_CC]])),"")</f>
        <v/>
      </c>
      <c r="R434" s="1" t="str">
        <f>TRIM(tbl_data[[#This Row],[Brand]])</f>
        <v>Volkswagen</v>
      </c>
      <c r="S434" s="1">
        <f>_xlfn.NUMBERVALUE(tbl_data[[#This Row],[Price_USD]],".",",")</f>
        <v>116595.85</v>
      </c>
    </row>
    <row r="435" spans="1:19" x14ac:dyDescent="0.3">
      <c r="A435">
        <v>434</v>
      </c>
      <c r="B435" t="s">
        <v>43</v>
      </c>
      <c r="C435">
        <v>2012</v>
      </c>
      <c r="D435">
        <v>165878</v>
      </c>
      <c r="E435" t="s">
        <v>44</v>
      </c>
      <c r="F435" t="s">
        <v>14</v>
      </c>
      <c r="G435" t="s">
        <v>32</v>
      </c>
      <c r="H435">
        <v>4389</v>
      </c>
      <c r="I435" t="s">
        <v>1292</v>
      </c>
      <c r="J435" t="s">
        <v>1293</v>
      </c>
      <c r="K435">
        <v>4</v>
      </c>
      <c r="L435" t="s">
        <v>1294</v>
      </c>
      <c r="M435" s="1" t="str">
        <f>TEXT(DATE(tbl_data[[#This Row],[Model_Year]],1,1),"yyyy")</f>
        <v>2012</v>
      </c>
      <c r="N435" s="1" t="str">
        <f>IF(tbl_data[[#This Row],[Kilometers_Driven]]&lt;50000,"&lt;50k",
IF(tbl_data[[#This Row],[Kilometers_Driven]]&lt;100000,"50k-100k",
IF(tbl_data[[#This Row],[Kilometers_Driven]]&lt;150000,"100k-150k","150k+")))</f>
        <v>150k+</v>
      </c>
      <c r="O435" s="1" t="str">
        <f>IF(tbl_data[[#This Row],[Price_USD]]&gt;=87089,"High",
IF(tbl_data[[#This Row],[Price_USD]]&gt;=56807,"Mid","Low"))</f>
        <v>High</v>
      </c>
      <c r="P435" s="1" t="str">
        <f>IF(tbl_data[[#This Row],[Transmission]]="Automatic","Auto","Manual")</f>
        <v>Manual</v>
      </c>
      <c r="Q435" s="1" t="str">
        <f>IFERROR(IF(VALUE(tbl_data[[#This Row],[Engine_CC]])=0,"",VALUE(tbl_data[[#This Row],[Price_USD]])/VALUE(tbl_data[[#This Row],[Engine_CC]])),"")</f>
        <v/>
      </c>
      <c r="R435" s="1" t="str">
        <f>TRIM(tbl_data[[#This Row],[Brand]])</f>
        <v>Ford</v>
      </c>
      <c r="S435" s="1">
        <f>_xlfn.NUMBERVALUE(tbl_data[[#This Row],[Price_USD]],".",",")</f>
        <v>46711.86</v>
      </c>
    </row>
    <row r="436" spans="1:19" x14ac:dyDescent="0.3">
      <c r="A436">
        <v>435</v>
      </c>
      <c r="B436" t="s">
        <v>39</v>
      </c>
      <c r="C436">
        <v>2005</v>
      </c>
      <c r="D436">
        <v>93199</v>
      </c>
      <c r="E436" t="s">
        <v>44</v>
      </c>
      <c r="F436" t="s">
        <v>21</v>
      </c>
      <c r="G436" t="s">
        <v>15</v>
      </c>
      <c r="H436">
        <v>3470</v>
      </c>
      <c r="I436" t="s">
        <v>1295</v>
      </c>
      <c r="J436" t="s">
        <v>125</v>
      </c>
      <c r="K436">
        <v>6</v>
      </c>
      <c r="L436" t="s">
        <v>1296</v>
      </c>
      <c r="M436" s="1" t="str">
        <f>TEXT(DATE(tbl_data[[#This Row],[Model_Year]],1,1),"yyyy")</f>
        <v>2005</v>
      </c>
      <c r="N436" s="1" t="str">
        <f>IF(tbl_data[[#This Row],[Kilometers_Driven]]&lt;50000,"&lt;50k",
IF(tbl_data[[#This Row],[Kilometers_Driven]]&lt;100000,"50k-100k",
IF(tbl_data[[#This Row],[Kilometers_Driven]]&lt;150000,"100k-150k","150k+")))</f>
        <v>50k-100k</v>
      </c>
      <c r="O436" s="1" t="str">
        <f>IF(tbl_data[[#This Row],[Price_USD]]&gt;=87089,"High",
IF(tbl_data[[#This Row],[Price_USD]]&gt;=56807,"Mid","Low"))</f>
        <v>High</v>
      </c>
      <c r="P436" s="1" t="str">
        <f>IF(tbl_data[[#This Row],[Transmission]]="Automatic","Auto","Manual")</f>
        <v>Auto</v>
      </c>
      <c r="Q436" s="1" t="str">
        <f>IFERROR(IF(VALUE(tbl_data[[#This Row],[Engine_CC]])=0,"",VALUE(tbl_data[[#This Row],[Price_USD]])/VALUE(tbl_data[[#This Row],[Engine_CC]])),"")</f>
        <v/>
      </c>
      <c r="R436" s="1" t="str">
        <f>TRIM(tbl_data[[#This Row],[Brand]])</f>
        <v>Volkswagen</v>
      </c>
      <c r="S436" s="1">
        <f>_xlfn.NUMBERVALUE(tbl_data[[#This Row],[Price_USD]],".",",")</f>
        <v>82730.89</v>
      </c>
    </row>
    <row r="437" spans="1:19" x14ac:dyDescent="0.3">
      <c r="A437">
        <v>436</v>
      </c>
      <c r="B437" t="s">
        <v>92</v>
      </c>
      <c r="C437">
        <v>2020</v>
      </c>
      <c r="D437">
        <v>46321</v>
      </c>
      <c r="E437" t="s">
        <v>20</v>
      </c>
      <c r="F437" t="s">
        <v>14</v>
      </c>
      <c r="G437" t="s">
        <v>32</v>
      </c>
      <c r="H437">
        <v>4165</v>
      </c>
      <c r="I437" t="s">
        <v>1297</v>
      </c>
      <c r="J437" t="s">
        <v>300</v>
      </c>
      <c r="K437">
        <v>4</v>
      </c>
      <c r="L437" t="s">
        <v>1298</v>
      </c>
      <c r="M437" s="1" t="str">
        <f>TEXT(DATE(tbl_data[[#This Row],[Model_Year]],1,1),"yyyy")</f>
        <v>2020</v>
      </c>
      <c r="N437" s="1" t="str">
        <f>IF(tbl_data[[#This Row],[Kilometers_Driven]]&lt;50000,"&lt;50k",
IF(tbl_data[[#This Row],[Kilometers_Driven]]&lt;100000,"50k-100k",
IF(tbl_data[[#This Row],[Kilometers_Driven]]&lt;150000,"100k-150k","150k+")))</f>
        <v>&lt;50k</v>
      </c>
      <c r="O437" s="1" t="str">
        <f>IF(tbl_data[[#This Row],[Price_USD]]&gt;=87089,"High",
IF(tbl_data[[#This Row],[Price_USD]]&gt;=56807,"Mid","Low"))</f>
        <v>High</v>
      </c>
      <c r="P437" s="1" t="str">
        <f>IF(tbl_data[[#This Row],[Transmission]]="Automatic","Auto","Manual")</f>
        <v>Manual</v>
      </c>
      <c r="Q437" s="1" t="str">
        <f>IFERROR(IF(VALUE(tbl_data[[#This Row],[Engine_CC]])=0,"",VALUE(tbl_data[[#This Row],[Price_USD]])/VALUE(tbl_data[[#This Row],[Engine_CC]])),"")</f>
        <v/>
      </c>
      <c r="R437" s="1" t="str">
        <f>TRIM(tbl_data[[#This Row],[Brand]])</f>
        <v>Toyota</v>
      </c>
      <c r="S437" s="1">
        <f>_xlfn.NUMBERVALUE(tbl_data[[#This Row],[Price_USD]],".",",")</f>
        <v>10433.68</v>
      </c>
    </row>
    <row r="438" spans="1:19" x14ac:dyDescent="0.3">
      <c r="A438">
        <v>437</v>
      </c>
      <c r="B438" t="s">
        <v>25</v>
      </c>
      <c r="C438">
        <v>2013</v>
      </c>
      <c r="D438">
        <v>158728</v>
      </c>
      <c r="E438" t="s">
        <v>44</v>
      </c>
      <c r="F438" t="s">
        <v>21</v>
      </c>
      <c r="G438" t="s">
        <v>32</v>
      </c>
      <c r="H438">
        <v>1388</v>
      </c>
      <c r="I438" t="s">
        <v>1299</v>
      </c>
      <c r="J438" t="s">
        <v>1240</v>
      </c>
      <c r="K438">
        <v>4</v>
      </c>
      <c r="L438" t="s">
        <v>1300</v>
      </c>
      <c r="M438" s="1" t="str">
        <f>TEXT(DATE(tbl_data[[#This Row],[Model_Year]],1,1),"yyyy")</f>
        <v>2013</v>
      </c>
      <c r="N438" s="1" t="str">
        <f>IF(tbl_data[[#This Row],[Kilometers_Driven]]&lt;50000,"&lt;50k",
IF(tbl_data[[#This Row],[Kilometers_Driven]]&lt;100000,"50k-100k",
IF(tbl_data[[#This Row],[Kilometers_Driven]]&lt;150000,"100k-150k","150k+")))</f>
        <v>150k+</v>
      </c>
      <c r="O438" s="1" t="str">
        <f>IF(tbl_data[[#This Row],[Price_USD]]&gt;=87089,"High",
IF(tbl_data[[#This Row],[Price_USD]]&gt;=56807,"Mid","Low"))</f>
        <v>High</v>
      </c>
      <c r="P438" s="1" t="str">
        <f>IF(tbl_data[[#This Row],[Transmission]]="Automatic","Auto","Manual")</f>
        <v>Auto</v>
      </c>
      <c r="Q438" s="1" t="str">
        <f>IFERROR(IF(VALUE(tbl_data[[#This Row],[Engine_CC]])=0,"",VALUE(tbl_data[[#This Row],[Price_USD]])/VALUE(tbl_data[[#This Row],[Engine_CC]])),"")</f>
        <v/>
      </c>
      <c r="R438" s="1" t="str">
        <f>TRIM(tbl_data[[#This Row],[Brand]])</f>
        <v>Kia</v>
      </c>
      <c r="S438" s="1">
        <f>_xlfn.NUMBERVALUE(tbl_data[[#This Row],[Price_USD]],".",",")</f>
        <v>49360.94</v>
      </c>
    </row>
    <row r="439" spans="1:19" x14ac:dyDescent="0.3">
      <c r="A439">
        <v>438</v>
      </c>
      <c r="B439" t="s">
        <v>30</v>
      </c>
      <c r="C439">
        <v>2017</v>
      </c>
      <c r="D439">
        <v>60147</v>
      </c>
      <c r="E439" t="s">
        <v>31</v>
      </c>
      <c r="F439" t="s">
        <v>21</v>
      </c>
      <c r="G439" t="s">
        <v>32</v>
      </c>
      <c r="H439">
        <v>4018</v>
      </c>
      <c r="I439" t="s">
        <v>1301</v>
      </c>
      <c r="J439" t="s">
        <v>1302</v>
      </c>
      <c r="K439">
        <v>4</v>
      </c>
      <c r="L439" t="s">
        <v>1303</v>
      </c>
      <c r="M439" s="1" t="str">
        <f>TEXT(DATE(tbl_data[[#This Row],[Model_Year]],1,1),"yyyy")</f>
        <v>2017</v>
      </c>
      <c r="N439" s="1" t="str">
        <f>IF(tbl_data[[#This Row],[Kilometers_Driven]]&lt;50000,"&lt;50k",
IF(tbl_data[[#This Row],[Kilometers_Driven]]&lt;100000,"50k-100k",
IF(tbl_data[[#This Row],[Kilometers_Driven]]&lt;150000,"100k-150k","150k+")))</f>
        <v>50k-100k</v>
      </c>
      <c r="O439" s="1" t="str">
        <f>IF(tbl_data[[#This Row],[Price_USD]]&gt;=87089,"High",
IF(tbl_data[[#This Row],[Price_USD]]&gt;=56807,"Mid","Low"))</f>
        <v>High</v>
      </c>
      <c r="P439" s="1" t="str">
        <f>IF(tbl_data[[#This Row],[Transmission]]="Automatic","Auto","Manual")</f>
        <v>Auto</v>
      </c>
      <c r="Q439" s="1" t="str">
        <f>IFERROR(IF(VALUE(tbl_data[[#This Row],[Engine_CC]])=0,"",VALUE(tbl_data[[#This Row],[Price_USD]])/VALUE(tbl_data[[#This Row],[Engine_CC]])),"")</f>
        <v/>
      </c>
      <c r="R439" s="1" t="str">
        <f>TRIM(tbl_data[[#This Row],[Brand]])</f>
        <v>Mercedes</v>
      </c>
      <c r="S439" s="1">
        <f>_xlfn.NUMBERVALUE(tbl_data[[#This Row],[Price_USD]],".",",")</f>
        <v>115766.67</v>
      </c>
    </row>
    <row r="440" spans="1:19" x14ac:dyDescent="0.3">
      <c r="A440">
        <v>439</v>
      </c>
      <c r="B440" t="s">
        <v>19</v>
      </c>
      <c r="C440">
        <v>2015</v>
      </c>
      <c r="D440">
        <v>96396</v>
      </c>
      <c r="E440" t="s">
        <v>13</v>
      </c>
      <c r="F440" t="s">
        <v>21</v>
      </c>
      <c r="G440" t="s">
        <v>26</v>
      </c>
      <c r="H440">
        <v>3938</v>
      </c>
      <c r="I440" t="s">
        <v>1304</v>
      </c>
      <c r="J440" t="s">
        <v>1305</v>
      </c>
      <c r="K440">
        <v>4</v>
      </c>
      <c r="L440" t="s">
        <v>1306</v>
      </c>
      <c r="M440" s="1" t="str">
        <f>TEXT(DATE(tbl_data[[#This Row],[Model_Year]],1,1),"yyyy")</f>
        <v>2015</v>
      </c>
      <c r="N440" s="1" t="str">
        <f>IF(tbl_data[[#This Row],[Kilometers_Driven]]&lt;50000,"&lt;50k",
IF(tbl_data[[#This Row],[Kilometers_Driven]]&lt;100000,"50k-100k",
IF(tbl_data[[#This Row],[Kilometers_Driven]]&lt;150000,"100k-150k","150k+")))</f>
        <v>50k-100k</v>
      </c>
      <c r="O440" s="1" t="str">
        <f>IF(tbl_data[[#This Row],[Price_USD]]&gt;=87089,"High",
IF(tbl_data[[#This Row],[Price_USD]]&gt;=56807,"Mid","Low"))</f>
        <v>High</v>
      </c>
      <c r="P440" s="1" t="str">
        <f>IF(tbl_data[[#This Row],[Transmission]]="Automatic","Auto","Manual")</f>
        <v>Auto</v>
      </c>
      <c r="Q440" s="1" t="str">
        <f>IFERROR(IF(VALUE(tbl_data[[#This Row],[Engine_CC]])=0,"",VALUE(tbl_data[[#This Row],[Price_USD]])/VALUE(tbl_data[[#This Row],[Engine_CC]])),"")</f>
        <v/>
      </c>
      <c r="R440" s="1" t="str">
        <f>TRIM(tbl_data[[#This Row],[Brand]])</f>
        <v>BMW</v>
      </c>
      <c r="S440" s="1">
        <f>_xlfn.NUMBERVALUE(tbl_data[[#This Row],[Price_USD]],".",",")</f>
        <v>66060.759999999995</v>
      </c>
    </row>
    <row r="441" spans="1:19" x14ac:dyDescent="0.3">
      <c r="A441">
        <v>440</v>
      </c>
      <c r="B441" t="s">
        <v>25</v>
      </c>
      <c r="C441">
        <v>2017</v>
      </c>
      <c r="D441">
        <v>185738</v>
      </c>
      <c r="E441" t="s">
        <v>44</v>
      </c>
      <c r="F441" t="s">
        <v>21</v>
      </c>
      <c r="G441" t="s">
        <v>32</v>
      </c>
      <c r="H441">
        <v>1703</v>
      </c>
      <c r="I441" t="s">
        <v>1307</v>
      </c>
      <c r="J441" t="s">
        <v>1308</v>
      </c>
      <c r="K441">
        <v>2</v>
      </c>
      <c r="L441" t="s">
        <v>1309</v>
      </c>
      <c r="M441" s="1" t="str">
        <f>TEXT(DATE(tbl_data[[#This Row],[Model_Year]],1,1),"yyyy")</f>
        <v>2017</v>
      </c>
      <c r="N441" s="1" t="str">
        <f>IF(tbl_data[[#This Row],[Kilometers_Driven]]&lt;50000,"&lt;50k",
IF(tbl_data[[#This Row],[Kilometers_Driven]]&lt;100000,"50k-100k",
IF(tbl_data[[#This Row],[Kilometers_Driven]]&lt;150000,"100k-150k","150k+")))</f>
        <v>150k+</v>
      </c>
      <c r="O441" s="1" t="str">
        <f>IF(tbl_data[[#This Row],[Price_USD]]&gt;=87089,"High",
IF(tbl_data[[#This Row],[Price_USD]]&gt;=56807,"Mid","Low"))</f>
        <v>High</v>
      </c>
      <c r="P441" s="1" t="str">
        <f>IF(tbl_data[[#This Row],[Transmission]]="Automatic","Auto","Manual")</f>
        <v>Auto</v>
      </c>
      <c r="Q441" s="1" t="str">
        <f>IFERROR(IF(VALUE(tbl_data[[#This Row],[Engine_CC]])=0,"",VALUE(tbl_data[[#This Row],[Price_USD]])/VALUE(tbl_data[[#This Row],[Engine_CC]])),"")</f>
        <v/>
      </c>
      <c r="R441" s="1" t="str">
        <f>TRIM(tbl_data[[#This Row],[Brand]])</f>
        <v>Kia</v>
      </c>
      <c r="S441" s="1">
        <f>_xlfn.NUMBERVALUE(tbl_data[[#This Row],[Price_USD]],".",",")</f>
        <v>36681.9</v>
      </c>
    </row>
    <row r="442" spans="1:19" x14ac:dyDescent="0.3">
      <c r="A442">
        <v>441</v>
      </c>
      <c r="B442" t="s">
        <v>12</v>
      </c>
      <c r="C442">
        <v>2014</v>
      </c>
      <c r="D442">
        <v>43787</v>
      </c>
      <c r="E442" t="s">
        <v>13</v>
      </c>
      <c r="F442" t="s">
        <v>21</v>
      </c>
      <c r="G442" t="s">
        <v>26</v>
      </c>
      <c r="H442">
        <v>4886</v>
      </c>
      <c r="I442" t="s">
        <v>1310</v>
      </c>
      <c r="J442" t="s">
        <v>728</v>
      </c>
      <c r="K442">
        <v>7</v>
      </c>
      <c r="L442" t="s">
        <v>1311</v>
      </c>
      <c r="M442" s="1" t="str">
        <f>TEXT(DATE(tbl_data[[#This Row],[Model_Year]],1,1),"yyyy")</f>
        <v>2014</v>
      </c>
      <c r="N442" s="1" t="str">
        <f>IF(tbl_data[[#This Row],[Kilometers_Driven]]&lt;50000,"&lt;50k",
IF(tbl_data[[#This Row],[Kilometers_Driven]]&lt;100000,"50k-100k",
IF(tbl_data[[#This Row],[Kilometers_Driven]]&lt;150000,"100k-150k","150k+")))</f>
        <v>&lt;50k</v>
      </c>
      <c r="O442" s="1" t="str">
        <f>IF(tbl_data[[#This Row],[Price_USD]]&gt;=87089,"High",
IF(tbl_data[[#This Row],[Price_USD]]&gt;=56807,"Mid","Low"))</f>
        <v>High</v>
      </c>
      <c r="P442" s="1" t="str">
        <f>IF(tbl_data[[#This Row],[Transmission]]="Automatic","Auto","Manual")</f>
        <v>Auto</v>
      </c>
      <c r="Q442" s="1" t="str">
        <f>IFERROR(IF(VALUE(tbl_data[[#This Row],[Engine_CC]])=0,"",VALUE(tbl_data[[#This Row],[Price_USD]])/VALUE(tbl_data[[#This Row],[Engine_CC]])),"")</f>
        <v/>
      </c>
      <c r="R442" s="1" t="str">
        <f>TRIM(tbl_data[[#This Row],[Brand]])</f>
        <v>Audi</v>
      </c>
      <c r="S442" s="1">
        <f>_xlfn.NUMBERVALUE(tbl_data[[#This Row],[Price_USD]],".",",")</f>
        <v>17071.7</v>
      </c>
    </row>
    <row r="443" spans="1:19" x14ac:dyDescent="0.3">
      <c r="A443">
        <v>442</v>
      </c>
      <c r="B443" t="s">
        <v>76</v>
      </c>
      <c r="C443">
        <v>2008</v>
      </c>
      <c r="D443">
        <v>199018</v>
      </c>
      <c r="E443" t="s">
        <v>31</v>
      </c>
      <c r="F443" t="s">
        <v>21</v>
      </c>
      <c r="G443" t="s">
        <v>15</v>
      </c>
      <c r="H443">
        <v>2969</v>
      </c>
      <c r="I443" t="s">
        <v>1312</v>
      </c>
      <c r="J443" t="s">
        <v>1313</v>
      </c>
      <c r="K443">
        <v>6</v>
      </c>
      <c r="L443" t="s">
        <v>1314</v>
      </c>
      <c r="M443" s="1" t="str">
        <f>TEXT(DATE(tbl_data[[#This Row],[Model_Year]],1,1),"yyyy")</f>
        <v>2008</v>
      </c>
      <c r="N443" s="1" t="str">
        <f>IF(tbl_data[[#This Row],[Kilometers_Driven]]&lt;50000,"&lt;50k",
IF(tbl_data[[#This Row],[Kilometers_Driven]]&lt;100000,"50k-100k",
IF(tbl_data[[#This Row],[Kilometers_Driven]]&lt;150000,"100k-150k","150k+")))</f>
        <v>150k+</v>
      </c>
      <c r="O443" s="1" t="str">
        <f>IF(tbl_data[[#This Row],[Price_USD]]&gt;=87089,"High",
IF(tbl_data[[#This Row],[Price_USD]]&gt;=56807,"Mid","Low"))</f>
        <v>High</v>
      </c>
      <c r="P443" s="1" t="str">
        <f>IF(tbl_data[[#This Row],[Transmission]]="Automatic","Auto","Manual")</f>
        <v>Auto</v>
      </c>
      <c r="Q443" s="1" t="str">
        <f>IFERROR(IF(VALUE(tbl_data[[#This Row],[Engine_CC]])=0,"",VALUE(tbl_data[[#This Row],[Price_USD]])/VALUE(tbl_data[[#This Row],[Engine_CC]])),"")</f>
        <v/>
      </c>
      <c r="R443" s="1" t="str">
        <f>TRIM(tbl_data[[#This Row],[Brand]])</f>
        <v>Honda</v>
      </c>
      <c r="S443" s="1">
        <f>_xlfn.NUMBERVALUE(tbl_data[[#This Row],[Price_USD]],".",",")</f>
        <v>85312.82</v>
      </c>
    </row>
    <row r="444" spans="1:19" x14ac:dyDescent="0.3">
      <c r="A444">
        <v>443</v>
      </c>
      <c r="B444" t="s">
        <v>92</v>
      </c>
      <c r="C444">
        <v>2010</v>
      </c>
      <c r="D444">
        <v>26727</v>
      </c>
      <c r="E444" t="s">
        <v>44</v>
      </c>
      <c r="F444" t="s">
        <v>14</v>
      </c>
      <c r="G444" t="s">
        <v>15</v>
      </c>
      <c r="H444">
        <v>1139</v>
      </c>
      <c r="I444" t="s">
        <v>1315</v>
      </c>
      <c r="J444" t="s">
        <v>1316</v>
      </c>
      <c r="K444">
        <v>7</v>
      </c>
      <c r="L444" t="s">
        <v>1317</v>
      </c>
      <c r="M444" s="1" t="str">
        <f>TEXT(DATE(tbl_data[[#This Row],[Model_Year]],1,1),"yyyy")</f>
        <v>2010</v>
      </c>
      <c r="N444" s="1" t="str">
        <f>IF(tbl_data[[#This Row],[Kilometers_Driven]]&lt;50000,"&lt;50k",
IF(tbl_data[[#This Row],[Kilometers_Driven]]&lt;100000,"50k-100k",
IF(tbl_data[[#This Row],[Kilometers_Driven]]&lt;150000,"100k-150k","150k+")))</f>
        <v>&lt;50k</v>
      </c>
      <c r="O444" s="1" t="str">
        <f>IF(tbl_data[[#This Row],[Price_USD]]&gt;=87089,"High",
IF(tbl_data[[#This Row],[Price_USD]]&gt;=56807,"Mid","Low"))</f>
        <v>High</v>
      </c>
      <c r="P444" s="1" t="str">
        <f>IF(tbl_data[[#This Row],[Transmission]]="Automatic","Auto","Manual")</f>
        <v>Manual</v>
      </c>
      <c r="Q444" s="1" t="str">
        <f>IFERROR(IF(VALUE(tbl_data[[#This Row],[Engine_CC]])=0,"",VALUE(tbl_data[[#This Row],[Price_USD]])/VALUE(tbl_data[[#This Row],[Engine_CC]])),"")</f>
        <v/>
      </c>
      <c r="R444" s="1" t="str">
        <f>TRIM(tbl_data[[#This Row],[Brand]])</f>
        <v>Toyota</v>
      </c>
      <c r="S444" s="1">
        <f>_xlfn.NUMBERVALUE(tbl_data[[#This Row],[Price_USD]],".",",")</f>
        <v>78448.160000000003</v>
      </c>
    </row>
    <row r="445" spans="1:19" x14ac:dyDescent="0.3">
      <c r="A445">
        <v>444</v>
      </c>
      <c r="B445" t="s">
        <v>19</v>
      </c>
      <c r="C445">
        <v>2011</v>
      </c>
      <c r="D445">
        <v>100081</v>
      </c>
      <c r="E445" t="s">
        <v>20</v>
      </c>
      <c r="F445" t="s">
        <v>14</v>
      </c>
      <c r="G445" t="s">
        <v>26</v>
      </c>
      <c r="H445">
        <v>2514</v>
      </c>
      <c r="I445" t="s">
        <v>1318</v>
      </c>
      <c r="J445" t="s">
        <v>61</v>
      </c>
      <c r="K445">
        <v>2</v>
      </c>
      <c r="L445" t="s">
        <v>1319</v>
      </c>
      <c r="M445" s="1" t="str">
        <f>TEXT(DATE(tbl_data[[#This Row],[Model_Year]],1,1),"yyyy")</f>
        <v>2011</v>
      </c>
      <c r="N445" s="1" t="str">
        <f>IF(tbl_data[[#This Row],[Kilometers_Driven]]&lt;50000,"&lt;50k",
IF(tbl_data[[#This Row],[Kilometers_Driven]]&lt;100000,"50k-100k",
IF(tbl_data[[#This Row],[Kilometers_Driven]]&lt;150000,"100k-150k","150k+")))</f>
        <v>100k-150k</v>
      </c>
      <c r="O445" s="1" t="str">
        <f>IF(tbl_data[[#This Row],[Price_USD]]&gt;=87089,"High",
IF(tbl_data[[#This Row],[Price_USD]]&gt;=56807,"Mid","Low"))</f>
        <v>High</v>
      </c>
      <c r="P445" s="1" t="str">
        <f>IF(tbl_data[[#This Row],[Transmission]]="Automatic","Auto","Manual")</f>
        <v>Manual</v>
      </c>
      <c r="Q445" s="1" t="str">
        <f>IFERROR(IF(VALUE(tbl_data[[#This Row],[Engine_CC]])=0,"",VALUE(tbl_data[[#This Row],[Price_USD]])/VALUE(tbl_data[[#This Row],[Engine_CC]])),"")</f>
        <v/>
      </c>
      <c r="R445" s="1" t="str">
        <f>TRIM(tbl_data[[#This Row],[Brand]])</f>
        <v>BMW</v>
      </c>
      <c r="S445" s="1">
        <f>_xlfn.NUMBERVALUE(tbl_data[[#This Row],[Price_USD]],".",",")</f>
        <v>46750.83</v>
      </c>
    </row>
    <row r="446" spans="1:19" x14ac:dyDescent="0.3">
      <c r="A446">
        <v>445</v>
      </c>
      <c r="B446" t="s">
        <v>25</v>
      </c>
      <c r="C446">
        <v>2009</v>
      </c>
      <c r="D446">
        <v>127721</v>
      </c>
      <c r="E446" t="s">
        <v>13</v>
      </c>
      <c r="F446" t="s">
        <v>14</v>
      </c>
      <c r="G446" t="s">
        <v>26</v>
      </c>
      <c r="H446">
        <v>1356</v>
      </c>
      <c r="I446" t="s">
        <v>682</v>
      </c>
      <c r="J446" t="s">
        <v>1320</v>
      </c>
      <c r="K446">
        <v>2</v>
      </c>
      <c r="L446" t="s">
        <v>1321</v>
      </c>
      <c r="M446" s="1" t="str">
        <f>TEXT(DATE(tbl_data[[#This Row],[Model_Year]],1,1),"yyyy")</f>
        <v>2009</v>
      </c>
      <c r="N446" s="1" t="str">
        <f>IF(tbl_data[[#This Row],[Kilometers_Driven]]&lt;50000,"&lt;50k",
IF(tbl_data[[#This Row],[Kilometers_Driven]]&lt;100000,"50k-100k",
IF(tbl_data[[#This Row],[Kilometers_Driven]]&lt;150000,"100k-150k","150k+")))</f>
        <v>100k-150k</v>
      </c>
      <c r="O446" s="1" t="str">
        <f>IF(tbl_data[[#This Row],[Price_USD]]&gt;=87089,"High",
IF(tbl_data[[#This Row],[Price_USD]]&gt;=56807,"Mid","Low"))</f>
        <v>High</v>
      </c>
      <c r="P446" s="1" t="str">
        <f>IF(tbl_data[[#This Row],[Transmission]]="Automatic","Auto","Manual")</f>
        <v>Manual</v>
      </c>
      <c r="Q446" s="1" t="str">
        <f>IFERROR(IF(VALUE(tbl_data[[#This Row],[Engine_CC]])=0,"",VALUE(tbl_data[[#This Row],[Price_USD]])/VALUE(tbl_data[[#This Row],[Engine_CC]])),"")</f>
        <v/>
      </c>
      <c r="R446" s="1" t="str">
        <f>TRIM(tbl_data[[#This Row],[Brand]])</f>
        <v>Kia</v>
      </c>
      <c r="S446" s="1">
        <f>_xlfn.NUMBERVALUE(tbl_data[[#This Row],[Price_USD]],".",",")</f>
        <v>114260.14</v>
      </c>
    </row>
    <row r="447" spans="1:19" x14ac:dyDescent="0.3">
      <c r="A447">
        <v>446</v>
      </c>
      <c r="B447" t="s">
        <v>76</v>
      </c>
      <c r="C447">
        <v>2015</v>
      </c>
      <c r="D447">
        <v>73056</v>
      </c>
      <c r="E447" t="s">
        <v>31</v>
      </c>
      <c r="F447" t="s">
        <v>21</v>
      </c>
      <c r="G447" t="s">
        <v>26</v>
      </c>
      <c r="H447">
        <v>3887</v>
      </c>
      <c r="I447" t="s">
        <v>1322</v>
      </c>
      <c r="J447" t="s">
        <v>1323</v>
      </c>
      <c r="K447">
        <v>2</v>
      </c>
      <c r="L447" t="s">
        <v>1324</v>
      </c>
      <c r="M447" s="1" t="str">
        <f>TEXT(DATE(tbl_data[[#This Row],[Model_Year]],1,1),"yyyy")</f>
        <v>2015</v>
      </c>
      <c r="N447" s="1" t="str">
        <f>IF(tbl_data[[#This Row],[Kilometers_Driven]]&lt;50000,"&lt;50k",
IF(tbl_data[[#This Row],[Kilometers_Driven]]&lt;100000,"50k-100k",
IF(tbl_data[[#This Row],[Kilometers_Driven]]&lt;150000,"100k-150k","150k+")))</f>
        <v>50k-100k</v>
      </c>
      <c r="O447" s="1" t="str">
        <f>IF(tbl_data[[#This Row],[Price_USD]]&gt;=87089,"High",
IF(tbl_data[[#This Row],[Price_USD]]&gt;=56807,"Mid","Low"))</f>
        <v>High</v>
      </c>
      <c r="P447" s="1" t="str">
        <f>IF(tbl_data[[#This Row],[Transmission]]="Automatic","Auto","Manual")</f>
        <v>Auto</v>
      </c>
      <c r="Q447" s="1" t="str">
        <f>IFERROR(IF(VALUE(tbl_data[[#This Row],[Engine_CC]])=0,"",VALUE(tbl_data[[#This Row],[Price_USD]])/VALUE(tbl_data[[#This Row],[Engine_CC]])),"")</f>
        <v/>
      </c>
      <c r="R447" s="1" t="str">
        <f>TRIM(tbl_data[[#This Row],[Brand]])</f>
        <v>Honda</v>
      </c>
      <c r="S447" s="1">
        <f>_xlfn.NUMBERVALUE(tbl_data[[#This Row],[Price_USD]],".",",")</f>
        <v>5597.73</v>
      </c>
    </row>
    <row r="448" spans="1:19" x14ac:dyDescent="0.3">
      <c r="A448">
        <v>447</v>
      </c>
      <c r="B448" t="s">
        <v>43</v>
      </c>
      <c r="C448">
        <v>2017</v>
      </c>
      <c r="D448">
        <v>139153</v>
      </c>
      <c r="E448" t="s">
        <v>13</v>
      </c>
      <c r="F448" t="s">
        <v>14</v>
      </c>
      <c r="G448" t="s">
        <v>32</v>
      </c>
      <c r="H448">
        <v>4066</v>
      </c>
      <c r="I448" t="s">
        <v>1325</v>
      </c>
      <c r="J448" t="s">
        <v>1326</v>
      </c>
      <c r="K448">
        <v>2</v>
      </c>
      <c r="L448" t="s">
        <v>1327</v>
      </c>
      <c r="M448" s="1" t="str">
        <f>TEXT(DATE(tbl_data[[#This Row],[Model_Year]],1,1),"yyyy")</f>
        <v>2017</v>
      </c>
      <c r="N448" s="1" t="str">
        <f>IF(tbl_data[[#This Row],[Kilometers_Driven]]&lt;50000,"&lt;50k",
IF(tbl_data[[#This Row],[Kilometers_Driven]]&lt;100000,"50k-100k",
IF(tbl_data[[#This Row],[Kilometers_Driven]]&lt;150000,"100k-150k","150k+")))</f>
        <v>100k-150k</v>
      </c>
      <c r="O448" s="1" t="str">
        <f>IF(tbl_data[[#This Row],[Price_USD]]&gt;=87089,"High",
IF(tbl_data[[#This Row],[Price_USD]]&gt;=56807,"Mid","Low"))</f>
        <v>High</v>
      </c>
      <c r="P448" s="1" t="str">
        <f>IF(tbl_data[[#This Row],[Transmission]]="Automatic","Auto","Manual")</f>
        <v>Manual</v>
      </c>
      <c r="Q448" s="1" t="str">
        <f>IFERROR(IF(VALUE(tbl_data[[#This Row],[Engine_CC]])=0,"",VALUE(tbl_data[[#This Row],[Price_USD]])/VALUE(tbl_data[[#This Row],[Engine_CC]])),"")</f>
        <v/>
      </c>
      <c r="R448" s="1" t="str">
        <f>TRIM(tbl_data[[#This Row],[Brand]])</f>
        <v>Ford</v>
      </c>
      <c r="S448" s="1">
        <f>_xlfn.NUMBERVALUE(tbl_data[[#This Row],[Price_USD]],".",",")</f>
        <v>38535.69</v>
      </c>
    </row>
    <row r="449" spans="1:19" x14ac:dyDescent="0.3">
      <c r="A449">
        <v>448</v>
      </c>
      <c r="B449" t="s">
        <v>92</v>
      </c>
      <c r="C449">
        <v>2023</v>
      </c>
      <c r="D449">
        <v>170268</v>
      </c>
      <c r="E449" t="s">
        <v>44</v>
      </c>
      <c r="F449" t="s">
        <v>21</v>
      </c>
      <c r="G449" t="s">
        <v>15</v>
      </c>
      <c r="H449">
        <v>4367</v>
      </c>
      <c r="I449" t="s">
        <v>1328</v>
      </c>
      <c r="J449" t="s">
        <v>1329</v>
      </c>
      <c r="K449">
        <v>4</v>
      </c>
      <c r="L449" t="s">
        <v>1330</v>
      </c>
      <c r="M449" s="1" t="str">
        <f>TEXT(DATE(tbl_data[[#This Row],[Model_Year]],1,1),"yyyy")</f>
        <v>2023</v>
      </c>
      <c r="N449" s="1" t="str">
        <f>IF(tbl_data[[#This Row],[Kilometers_Driven]]&lt;50000,"&lt;50k",
IF(tbl_data[[#This Row],[Kilometers_Driven]]&lt;100000,"50k-100k",
IF(tbl_data[[#This Row],[Kilometers_Driven]]&lt;150000,"100k-150k","150k+")))</f>
        <v>150k+</v>
      </c>
      <c r="O449" s="1" t="str">
        <f>IF(tbl_data[[#This Row],[Price_USD]]&gt;=87089,"High",
IF(tbl_data[[#This Row],[Price_USD]]&gt;=56807,"Mid","Low"))</f>
        <v>High</v>
      </c>
      <c r="P449" s="1" t="str">
        <f>IF(tbl_data[[#This Row],[Transmission]]="Automatic","Auto","Manual")</f>
        <v>Auto</v>
      </c>
      <c r="Q449" s="1" t="str">
        <f>IFERROR(IF(VALUE(tbl_data[[#This Row],[Engine_CC]])=0,"",VALUE(tbl_data[[#This Row],[Price_USD]])/VALUE(tbl_data[[#This Row],[Engine_CC]])),"")</f>
        <v/>
      </c>
      <c r="R449" s="1" t="str">
        <f>TRIM(tbl_data[[#This Row],[Brand]])</f>
        <v>Toyota</v>
      </c>
      <c r="S449" s="1">
        <f>_xlfn.NUMBERVALUE(tbl_data[[#This Row],[Price_USD]],".",",")</f>
        <v>110765.13</v>
      </c>
    </row>
    <row r="450" spans="1:19" x14ac:dyDescent="0.3">
      <c r="A450">
        <v>449</v>
      </c>
      <c r="B450" t="s">
        <v>92</v>
      </c>
      <c r="C450">
        <v>2014</v>
      </c>
      <c r="D450">
        <v>172807</v>
      </c>
      <c r="E450" t="s">
        <v>44</v>
      </c>
      <c r="F450" t="s">
        <v>21</v>
      </c>
      <c r="G450" t="s">
        <v>26</v>
      </c>
      <c r="H450">
        <v>2856</v>
      </c>
      <c r="I450" t="s">
        <v>1331</v>
      </c>
      <c r="J450" t="s">
        <v>1332</v>
      </c>
      <c r="K450">
        <v>7</v>
      </c>
      <c r="L450" t="s">
        <v>1333</v>
      </c>
      <c r="M450" s="1" t="str">
        <f>TEXT(DATE(tbl_data[[#This Row],[Model_Year]],1,1),"yyyy")</f>
        <v>2014</v>
      </c>
      <c r="N450" s="1" t="str">
        <f>IF(tbl_data[[#This Row],[Kilometers_Driven]]&lt;50000,"&lt;50k",
IF(tbl_data[[#This Row],[Kilometers_Driven]]&lt;100000,"50k-100k",
IF(tbl_data[[#This Row],[Kilometers_Driven]]&lt;150000,"100k-150k","150k+")))</f>
        <v>150k+</v>
      </c>
      <c r="O450" s="1" t="str">
        <f>IF(tbl_data[[#This Row],[Price_USD]]&gt;=87089,"High",
IF(tbl_data[[#This Row],[Price_USD]]&gt;=56807,"Mid","Low"))</f>
        <v>High</v>
      </c>
      <c r="P450" s="1" t="str">
        <f>IF(tbl_data[[#This Row],[Transmission]]="Automatic","Auto","Manual")</f>
        <v>Auto</v>
      </c>
      <c r="Q450" s="1" t="str">
        <f>IFERROR(IF(VALUE(tbl_data[[#This Row],[Engine_CC]])=0,"",VALUE(tbl_data[[#This Row],[Price_USD]])/VALUE(tbl_data[[#This Row],[Engine_CC]])),"")</f>
        <v/>
      </c>
      <c r="R450" s="1" t="str">
        <f>TRIM(tbl_data[[#This Row],[Brand]])</f>
        <v>Toyota</v>
      </c>
      <c r="S450" s="1">
        <f>_xlfn.NUMBERVALUE(tbl_data[[#This Row],[Price_USD]],".",",")</f>
        <v>40549.449999999997</v>
      </c>
    </row>
    <row r="451" spans="1:19" x14ac:dyDescent="0.3">
      <c r="A451">
        <v>450</v>
      </c>
      <c r="B451" t="s">
        <v>43</v>
      </c>
      <c r="C451">
        <v>2014</v>
      </c>
      <c r="D451">
        <v>85102</v>
      </c>
      <c r="E451" t="s">
        <v>20</v>
      </c>
      <c r="F451" t="s">
        <v>21</v>
      </c>
      <c r="G451" t="s">
        <v>32</v>
      </c>
      <c r="H451">
        <v>4699</v>
      </c>
      <c r="I451" t="s">
        <v>1334</v>
      </c>
      <c r="J451" t="s">
        <v>1335</v>
      </c>
      <c r="K451">
        <v>5</v>
      </c>
      <c r="L451" t="s">
        <v>1336</v>
      </c>
      <c r="M451" s="1" t="str">
        <f>TEXT(DATE(tbl_data[[#This Row],[Model_Year]],1,1),"yyyy")</f>
        <v>2014</v>
      </c>
      <c r="N451" s="1" t="str">
        <f>IF(tbl_data[[#This Row],[Kilometers_Driven]]&lt;50000,"&lt;50k",
IF(tbl_data[[#This Row],[Kilometers_Driven]]&lt;100000,"50k-100k",
IF(tbl_data[[#This Row],[Kilometers_Driven]]&lt;150000,"100k-150k","150k+")))</f>
        <v>50k-100k</v>
      </c>
      <c r="O451" s="1" t="str">
        <f>IF(tbl_data[[#This Row],[Price_USD]]&gt;=87089,"High",
IF(tbl_data[[#This Row],[Price_USD]]&gt;=56807,"Mid","Low"))</f>
        <v>High</v>
      </c>
      <c r="P451" s="1" t="str">
        <f>IF(tbl_data[[#This Row],[Transmission]]="Automatic","Auto","Manual")</f>
        <v>Auto</v>
      </c>
      <c r="Q451" s="1" t="str">
        <f>IFERROR(IF(VALUE(tbl_data[[#This Row],[Engine_CC]])=0,"",VALUE(tbl_data[[#This Row],[Price_USD]])/VALUE(tbl_data[[#This Row],[Engine_CC]])),"")</f>
        <v/>
      </c>
      <c r="R451" s="1" t="str">
        <f>TRIM(tbl_data[[#This Row],[Brand]])</f>
        <v>Ford</v>
      </c>
      <c r="S451" s="1">
        <f>_xlfn.NUMBERVALUE(tbl_data[[#This Row],[Price_USD]],".",",")</f>
        <v>32513.58</v>
      </c>
    </row>
    <row r="452" spans="1:19" x14ac:dyDescent="0.3">
      <c r="A452">
        <v>451</v>
      </c>
      <c r="B452" t="s">
        <v>30</v>
      </c>
      <c r="C452">
        <v>2015</v>
      </c>
      <c r="D452">
        <v>161570</v>
      </c>
      <c r="E452" t="s">
        <v>31</v>
      </c>
      <c r="F452" t="s">
        <v>14</v>
      </c>
      <c r="G452" t="s">
        <v>15</v>
      </c>
      <c r="H452">
        <v>1816</v>
      </c>
      <c r="I452" t="s">
        <v>1337</v>
      </c>
      <c r="J452" t="s">
        <v>1338</v>
      </c>
      <c r="K452">
        <v>6</v>
      </c>
      <c r="L452" t="s">
        <v>1339</v>
      </c>
      <c r="M452" s="1" t="str">
        <f>TEXT(DATE(tbl_data[[#This Row],[Model_Year]],1,1),"yyyy")</f>
        <v>2015</v>
      </c>
      <c r="N452" s="1" t="str">
        <f>IF(tbl_data[[#This Row],[Kilometers_Driven]]&lt;50000,"&lt;50k",
IF(tbl_data[[#This Row],[Kilometers_Driven]]&lt;100000,"50k-100k",
IF(tbl_data[[#This Row],[Kilometers_Driven]]&lt;150000,"100k-150k","150k+")))</f>
        <v>150k+</v>
      </c>
      <c r="O452" s="1" t="str">
        <f>IF(tbl_data[[#This Row],[Price_USD]]&gt;=87089,"High",
IF(tbl_data[[#This Row],[Price_USD]]&gt;=56807,"Mid","Low"))</f>
        <v>High</v>
      </c>
      <c r="P452" s="1" t="str">
        <f>IF(tbl_data[[#This Row],[Transmission]]="Automatic","Auto","Manual")</f>
        <v>Manual</v>
      </c>
      <c r="Q452" s="1" t="str">
        <f>IFERROR(IF(VALUE(tbl_data[[#This Row],[Engine_CC]])=0,"",VALUE(tbl_data[[#This Row],[Price_USD]])/VALUE(tbl_data[[#This Row],[Engine_CC]])),"")</f>
        <v/>
      </c>
      <c r="R452" s="1" t="str">
        <f>TRIM(tbl_data[[#This Row],[Brand]])</f>
        <v>Mercedes</v>
      </c>
      <c r="S452" s="1">
        <f>_xlfn.NUMBERVALUE(tbl_data[[#This Row],[Price_USD]],".",",")</f>
        <v>65503.79</v>
      </c>
    </row>
    <row r="453" spans="1:19" x14ac:dyDescent="0.3">
      <c r="A453">
        <v>452</v>
      </c>
      <c r="B453" t="s">
        <v>43</v>
      </c>
      <c r="C453">
        <v>2011</v>
      </c>
      <c r="D453">
        <v>81865</v>
      </c>
      <c r="E453" t="s">
        <v>31</v>
      </c>
      <c r="F453" t="s">
        <v>21</v>
      </c>
      <c r="G453" t="s">
        <v>32</v>
      </c>
      <c r="H453">
        <v>2862</v>
      </c>
      <c r="I453" t="s">
        <v>1340</v>
      </c>
      <c r="J453" t="s">
        <v>1341</v>
      </c>
      <c r="K453">
        <v>2</v>
      </c>
      <c r="L453" t="s">
        <v>1342</v>
      </c>
      <c r="M453" s="1" t="str">
        <f>TEXT(DATE(tbl_data[[#This Row],[Model_Year]],1,1),"yyyy")</f>
        <v>2011</v>
      </c>
      <c r="N453" s="1" t="str">
        <f>IF(tbl_data[[#This Row],[Kilometers_Driven]]&lt;50000,"&lt;50k",
IF(tbl_data[[#This Row],[Kilometers_Driven]]&lt;100000,"50k-100k",
IF(tbl_data[[#This Row],[Kilometers_Driven]]&lt;150000,"100k-150k","150k+")))</f>
        <v>50k-100k</v>
      </c>
      <c r="O453" s="1" t="str">
        <f>IF(tbl_data[[#This Row],[Price_USD]]&gt;=87089,"High",
IF(tbl_data[[#This Row],[Price_USD]]&gt;=56807,"Mid","Low"))</f>
        <v>High</v>
      </c>
      <c r="P453" s="1" t="str">
        <f>IF(tbl_data[[#This Row],[Transmission]]="Automatic","Auto","Manual")</f>
        <v>Auto</v>
      </c>
      <c r="Q453" s="1" t="str">
        <f>IFERROR(IF(VALUE(tbl_data[[#This Row],[Engine_CC]])=0,"",VALUE(tbl_data[[#This Row],[Price_USD]])/VALUE(tbl_data[[#This Row],[Engine_CC]])),"")</f>
        <v/>
      </c>
      <c r="R453" s="1" t="str">
        <f>TRIM(tbl_data[[#This Row],[Brand]])</f>
        <v>Ford</v>
      </c>
      <c r="S453" s="1">
        <f>_xlfn.NUMBERVALUE(tbl_data[[#This Row],[Price_USD]],".",",")</f>
        <v>99384.8</v>
      </c>
    </row>
    <row r="454" spans="1:19" x14ac:dyDescent="0.3">
      <c r="A454">
        <v>453</v>
      </c>
      <c r="B454" t="s">
        <v>92</v>
      </c>
      <c r="C454">
        <v>2022</v>
      </c>
      <c r="D454">
        <v>167728</v>
      </c>
      <c r="E454" t="s">
        <v>20</v>
      </c>
      <c r="F454" t="s">
        <v>21</v>
      </c>
      <c r="G454" t="s">
        <v>15</v>
      </c>
      <c r="H454">
        <v>1638</v>
      </c>
      <c r="I454" t="s">
        <v>1343</v>
      </c>
      <c r="J454" t="s">
        <v>1344</v>
      </c>
      <c r="K454">
        <v>7</v>
      </c>
      <c r="L454" t="s">
        <v>1345</v>
      </c>
      <c r="M454" s="1" t="str">
        <f>TEXT(DATE(tbl_data[[#This Row],[Model_Year]],1,1),"yyyy")</f>
        <v>2022</v>
      </c>
      <c r="N454" s="1" t="str">
        <f>IF(tbl_data[[#This Row],[Kilometers_Driven]]&lt;50000,"&lt;50k",
IF(tbl_data[[#This Row],[Kilometers_Driven]]&lt;100000,"50k-100k",
IF(tbl_data[[#This Row],[Kilometers_Driven]]&lt;150000,"100k-150k","150k+")))</f>
        <v>150k+</v>
      </c>
      <c r="O454" s="1" t="str">
        <f>IF(tbl_data[[#This Row],[Price_USD]]&gt;=87089,"High",
IF(tbl_data[[#This Row],[Price_USD]]&gt;=56807,"Mid","Low"))</f>
        <v>High</v>
      </c>
      <c r="P454" s="1" t="str">
        <f>IF(tbl_data[[#This Row],[Transmission]]="Automatic","Auto","Manual")</f>
        <v>Auto</v>
      </c>
      <c r="Q454" s="1" t="str">
        <f>IFERROR(IF(VALUE(tbl_data[[#This Row],[Engine_CC]])=0,"",VALUE(tbl_data[[#This Row],[Price_USD]])/VALUE(tbl_data[[#This Row],[Engine_CC]])),"")</f>
        <v/>
      </c>
      <c r="R454" s="1" t="str">
        <f>TRIM(tbl_data[[#This Row],[Brand]])</f>
        <v>Toyota</v>
      </c>
      <c r="S454" s="1">
        <f>_xlfn.NUMBERVALUE(tbl_data[[#This Row],[Price_USD]],".",",")</f>
        <v>15068.17</v>
      </c>
    </row>
    <row r="455" spans="1:19" x14ac:dyDescent="0.3">
      <c r="A455">
        <v>454</v>
      </c>
      <c r="B455" t="s">
        <v>92</v>
      </c>
      <c r="C455">
        <v>2008</v>
      </c>
      <c r="D455">
        <v>72695</v>
      </c>
      <c r="E455" t="s">
        <v>20</v>
      </c>
      <c r="F455" t="s">
        <v>14</v>
      </c>
      <c r="G455" t="s">
        <v>32</v>
      </c>
      <c r="H455">
        <v>2437</v>
      </c>
      <c r="I455" t="s">
        <v>1346</v>
      </c>
      <c r="J455" t="s">
        <v>1347</v>
      </c>
      <c r="K455">
        <v>2</v>
      </c>
      <c r="L455" t="s">
        <v>1348</v>
      </c>
      <c r="M455" s="1" t="str">
        <f>TEXT(DATE(tbl_data[[#This Row],[Model_Year]],1,1),"yyyy")</f>
        <v>2008</v>
      </c>
      <c r="N455" s="1" t="str">
        <f>IF(tbl_data[[#This Row],[Kilometers_Driven]]&lt;50000,"&lt;50k",
IF(tbl_data[[#This Row],[Kilometers_Driven]]&lt;100000,"50k-100k",
IF(tbl_data[[#This Row],[Kilometers_Driven]]&lt;150000,"100k-150k","150k+")))</f>
        <v>50k-100k</v>
      </c>
      <c r="O455" s="1" t="str">
        <f>IF(tbl_data[[#This Row],[Price_USD]]&gt;=87089,"High",
IF(tbl_data[[#This Row],[Price_USD]]&gt;=56807,"Mid","Low"))</f>
        <v>High</v>
      </c>
      <c r="P455" s="1" t="str">
        <f>IF(tbl_data[[#This Row],[Transmission]]="Automatic","Auto","Manual")</f>
        <v>Manual</v>
      </c>
      <c r="Q455" s="1" t="str">
        <f>IFERROR(IF(VALUE(tbl_data[[#This Row],[Engine_CC]])=0,"",VALUE(tbl_data[[#This Row],[Price_USD]])/VALUE(tbl_data[[#This Row],[Engine_CC]])),"")</f>
        <v/>
      </c>
      <c r="R455" s="1" t="str">
        <f>TRIM(tbl_data[[#This Row],[Brand]])</f>
        <v>Toyota</v>
      </c>
      <c r="S455" s="1">
        <f>_xlfn.NUMBERVALUE(tbl_data[[#This Row],[Price_USD]],".",",")</f>
        <v>113333.42</v>
      </c>
    </row>
    <row r="456" spans="1:19" x14ac:dyDescent="0.3">
      <c r="A456">
        <v>455</v>
      </c>
      <c r="B456" t="s">
        <v>25</v>
      </c>
      <c r="C456">
        <v>2006</v>
      </c>
      <c r="D456">
        <v>173972</v>
      </c>
      <c r="E456" t="s">
        <v>31</v>
      </c>
      <c r="F456" t="s">
        <v>14</v>
      </c>
      <c r="G456" t="s">
        <v>15</v>
      </c>
      <c r="H456">
        <v>4296</v>
      </c>
      <c r="I456" t="s">
        <v>1349</v>
      </c>
      <c r="J456" t="s">
        <v>1350</v>
      </c>
      <c r="K456">
        <v>2</v>
      </c>
      <c r="L456" t="s">
        <v>1351</v>
      </c>
      <c r="M456" s="1" t="str">
        <f>TEXT(DATE(tbl_data[[#This Row],[Model_Year]],1,1),"yyyy")</f>
        <v>2006</v>
      </c>
      <c r="N456" s="1" t="str">
        <f>IF(tbl_data[[#This Row],[Kilometers_Driven]]&lt;50000,"&lt;50k",
IF(tbl_data[[#This Row],[Kilometers_Driven]]&lt;100000,"50k-100k",
IF(tbl_data[[#This Row],[Kilometers_Driven]]&lt;150000,"100k-150k","150k+")))</f>
        <v>150k+</v>
      </c>
      <c r="O456" s="1" t="str">
        <f>IF(tbl_data[[#This Row],[Price_USD]]&gt;=87089,"High",
IF(tbl_data[[#This Row],[Price_USD]]&gt;=56807,"Mid","Low"))</f>
        <v>High</v>
      </c>
      <c r="P456" s="1" t="str">
        <f>IF(tbl_data[[#This Row],[Transmission]]="Automatic","Auto","Manual")</f>
        <v>Manual</v>
      </c>
      <c r="Q456" s="1" t="str">
        <f>IFERROR(IF(VALUE(tbl_data[[#This Row],[Engine_CC]])=0,"",VALUE(tbl_data[[#This Row],[Price_USD]])/VALUE(tbl_data[[#This Row],[Engine_CC]])),"")</f>
        <v/>
      </c>
      <c r="R456" s="1" t="str">
        <f>TRIM(tbl_data[[#This Row],[Brand]])</f>
        <v>Kia</v>
      </c>
      <c r="S456" s="1">
        <f>_xlfn.NUMBERVALUE(tbl_data[[#This Row],[Price_USD]],".",",")</f>
        <v>96023.53</v>
      </c>
    </row>
    <row r="457" spans="1:19" x14ac:dyDescent="0.3">
      <c r="A457">
        <v>456</v>
      </c>
      <c r="B457" t="s">
        <v>39</v>
      </c>
      <c r="C457">
        <v>2018</v>
      </c>
      <c r="D457">
        <v>122235</v>
      </c>
      <c r="E457" t="s">
        <v>13</v>
      </c>
      <c r="F457" t="s">
        <v>21</v>
      </c>
      <c r="G457" t="s">
        <v>15</v>
      </c>
      <c r="H457">
        <v>2613</v>
      </c>
      <c r="I457" t="s">
        <v>456</v>
      </c>
      <c r="J457" t="s">
        <v>122</v>
      </c>
      <c r="K457">
        <v>2</v>
      </c>
      <c r="L457" t="s">
        <v>1352</v>
      </c>
      <c r="M457" s="1" t="str">
        <f>TEXT(DATE(tbl_data[[#This Row],[Model_Year]],1,1),"yyyy")</f>
        <v>2018</v>
      </c>
      <c r="N457" s="1" t="str">
        <f>IF(tbl_data[[#This Row],[Kilometers_Driven]]&lt;50000,"&lt;50k",
IF(tbl_data[[#This Row],[Kilometers_Driven]]&lt;100000,"50k-100k",
IF(tbl_data[[#This Row],[Kilometers_Driven]]&lt;150000,"100k-150k","150k+")))</f>
        <v>100k-150k</v>
      </c>
      <c r="O457" s="1" t="str">
        <f>IF(tbl_data[[#This Row],[Price_USD]]&gt;=87089,"High",
IF(tbl_data[[#This Row],[Price_USD]]&gt;=56807,"Mid","Low"))</f>
        <v>High</v>
      </c>
      <c r="P457" s="1" t="str">
        <f>IF(tbl_data[[#This Row],[Transmission]]="Automatic","Auto","Manual")</f>
        <v>Auto</v>
      </c>
      <c r="Q457" s="1" t="str">
        <f>IFERROR(IF(VALUE(tbl_data[[#This Row],[Engine_CC]])=0,"",VALUE(tbl_data[[#This Row],[Price_USD]])/VALUE(tbl_data[[#This Row],[Engine_CC]])),"")</f>
        <v/>
      </c>
      <c r="R457" s="1" t="str">
        <f>TRIM(tbl_data[[#This Row],[Brand]])</f>
        <v>Volkswagen</v>
      </c>
      <c r="S457" s="1">
        <f>_xlfn.NUMBERVALUE(tbl_data[[#This Row],[Price_USD]],".",",")</f>
        <v>24206.28</v>
      </c>
    </row>
    <row r="458" spans="1:19" x14ac:dyDescent="0.3">
      <c r="A458">
        <v>457</v>
      </c>
      <c r="B458" t="s">
        <v>76</v>
      </c>
      <c r="C458">
        <v>2017</v>
      </c>
      <c r="D458">
        <v>183773</v>
      </c>
      <c r="E458" t="s">
        <v>13</v>
      </c>
      <c r="F458" t="s">
        <v>21</v>
      </c>
      <c r="G458" t="s">
        <v>32</v>
      </c>
      <c r="H458">
        <v>4279</v>
      </c>
      <c r="I458" t="s">
        <v>1353</v>
      </c>
      <c r="J458" t="s">
        <v>1354</v>
      </c>
      <c r="K458">
        <v>2</v>
      </c>
      <c r="L458" t="s">
        <v>1355</v>
      </c>
      <c r="M458" s="1" t="str">
        <f>TEXT(DATE(tbl_data[[#This Row],[Model_Year]],1,1),"yyyy")</f>
        <v>2017</v>
      </c>
      <c r="N458" s="1" t="str">
        <f>IF(tbl_data[[#This Row],[Kilometers_Driven]]&lt;50000,"&lt;50k",
IF(tbl_data[[#This Row],[Kilometers_Driven]]&lt;100000,"50k-100k",
IF(tbl_data[[#This Row],[Kilometers_Driven]]&lt;150000,"100k-150k","150k+")))</f>
        <v>150k+</v>
      </c>
      <c r="O458" s="1" t="str">
        <f>IF(tbl_data[[#This Row],[Price_USD]]&gt;=87089,"High",
IF(tbl_data[[#This Row],[Price_USD]]&gt;=56807,"Mid","Low"))</f>
        <v>High</v>
      </c>
      <c r="P458" s="1" t="str">
        <f>IF(tbl_data[[#This Row],[Transmission]]="Automatic","Auto","Manual")</f>
        <v>Auto</v>
      </c>
      <c r="Q458" s="1" t="str">
        <f>IFERROR(IF(VALUE(tbl_data[[#This Row],[Engine_CC]])=0,"",VALUE(tbl_data[[#This Row],[Price_USD]])/VALUE(tbl_data[[#This Row],[Engine_CC]])),"")</f>
        <v/>
      </c>
      <c r="R458" s="1" t="str">
        <f>TRIM(tbl_data[[#This Row],[Brand]])</f>
        <v>Honda</v>
      </c>
      <c r="S458" s="1">
        <f>_xlfn.NUMBERVALUE(tbl_data[[#This Row],[Price_USD]],".",",")</f>
        <v>86304.93</v>
      </c>
    </row>
    <row r="459" spans="1:19" x14ac:dyDescent="0.3">
      <c r="A459">
        <v>458</v>
      </c>
      <c r="B459" t="s">
        <v>43</v>
      </c>
      <c r="C459">
        <v>2016</v>
      </c>
      <c r="D459">
        <v>113777</v>
      </c>
      <c r="E459" t="s">
        <v>20</v>
      </c>
      <c r="F459" t="s">
        <v>14</v>
      </c>
      <c r="G459" t="s">
        <v>26</v>
      </c>
      <c r="H459">
        <v>2251</v>
      </c>
      <c r="I459" t="s">
        <v>1356</v>
      </c>
      <c r="J459" t="s">
        <v>1357</v>
      </c>
      <c r="K459">
        <v>2</v>
      </c>
      <c r="L459" t="s">
        <v>1358</v>
      </c>
      <c r="M459" s="1" t="str">
        <f>TEXT(DATE(tbl_data[[#This Row],[Model_Year]],1,1),"yyyy")</f>
        <v>2016</v>
      </c>
      <c r="N459" s="1" t="str">
        <f>IF(tbl_data[[#This Row],[Kilometers_Driven]]&lt;50000,"&lt;50k",
IF(tbl_data[[#This Row],[Kilometers_Driven]]&lt;100000,"50k-100k",
IF(tbl_data[[#This Row],[Kilometers_Driven]]&lt;150000,"100k-150k","150k+")))</f>
        <v>100k-150k</v>
      </c>
      <c r="O459" s="1" t="str">
        <f>IF(tbl_data[[#This Row],[Price_USD]]&gt;=87089,"High",
IF(tbl_data[[#This Row],[Price_USD]]&gt;=56807,"Mid","Low"))</f>
        <v>High</v>
      </c>
      <c r="P459" s="1" t="str">
        <f>IF(tbl_data[[#This Row],[Transmission]]="Automatic","Auto","Manual")</f>
        <v>Manual</v>
      </c>
      <c r="Q459" s="1" t="str">
        <f>IFERROR(IF(VALUE(tbl_data[[#This Row],[Engine_CC]])=0,"",VALUE(tbl_data[[#This Row],[Price_USD]])/VALUE(tbl_data[[#This Row],[Engine_CC]])),"")</f>
        <v/>
      </c>
      <c r="R459" s="1" t="str">
        <f>TRIM(tbl_data[[#This Row],[Brand]])</f>
        <v>Ford</v>
      </c>
      <c r="S459" s="1">
        <f>_xlfn.NUMBERVALUE(tbl_data[[#This Row],[Price_USD]],".",",")</f>
        <v>48040.17</v>
      </c>
    </row>
    <row r="460" spans="1:19" x14ac:dyDescent="0.3">
      <c r="A460">
        <v>459</v>
      </c>
      <c r="B460" t="s">
        <v>76</v>
      </c>
      <c r="C460">
        <v>2011</v>
      </c>
      <c r="D460">
        <v>24033</v>
      </c>
      <c r="E460" t="s">
        <v>13</v>
      </c>
      <c r="F460" t="s">
        <v>14</v>
      </c>
      <c r="G460" t="s">
        <v>15</v>
      </c>
      <c r="H460">
        <v>3113</v>
      </c>
      <c r="I460" t="s">
        <v>1359</v>
      </c>
      <c r="J460" t="s">
        <v>866</v>
      </c>
      <c r="K460">
        <v>6</v>
      </c>
      <c r="L460" t="s">
        <v>1360</v>
      </c>
      <c r="M460" s="1" t="str">
        <f>TEXT(DATE(tbl_data[[#This Row],[Model_Year]],1,1),"yyyy")</f>
        <v>2011</v>
      </c>
      <c r="N460" s="1" t="str">
        <f>IF(tbl_data[[#This Row],[Kilometers_Driven]]&lt;50000,"&lt;50k",
IF(tbl_data[[#This Row],[Kilometers_Driven]]&lt;100000,"50k-100k",
IF(tbl_data[[#This Row],[Kilometers_Driven]]&lt;150000,"100k-150k","150k+")))</f>
        <v>&lt;50k</v>
      </c>
      <c r="O460" s="1" t="str">
        <f>IF(tbl_data[[#This Row],[Price_USD]]&gt;=87089,"High",
IF(tbl_data[[#This Row],[Price_USD]]&gt;=56807,"Mid","Low"))</f>
        <v>High</v>
      </c>
      <c r="P460" s="1" t="str">
        <f>IF(tbl_data[[#This Row],[Transmission]]="Automatic","Auto","Manual")</f>
        <v>Manual</v>
      </c>
      <c r="Q460" s="1" t="str">
        <f>IFERROR(IF(VALUE(tbl_data[[#This Row],[Engine_CC]])=0,"",VALUE(tbl_data[[#This Row],[Price_USD]])/VALUE(tbl_data[[#This Row],[Engine_CC]])),"")</f>
        <v/>
      </c>
      <c r="R460" s="1" t="str">
        <f>TRIM(tbl_data[[#This Row],[Brand]])</f>
        <v>Honda</v>
      </c>
      <c r="S460" s="1">
        <f>_xlfn.NUMBERVALUE(tbl_data[[#This Row],[Price_USD]],".",",")</f>
        <v>50068.480000000003</v>
      </c>
    </row>
    <row r="461" spans="1:19" x14ac:dyDescent="0.3">
      <c r="A461">
        <v>460</v>
      </c>
      <c r="B461" t="s">
        <v>43</v>
      </c>
      <c r="C461">
        <v>2006</v>
      </c>
      <c r="D461">
        <v>146877</v>
      </c>
      <c r="E461" t="s">
        <v>31</v>
      </c>
      <c r="F461" t="s">
        <v>14</v>
      </c>
      <c r="G461" t="s">
        <v>26</v>
      </c>
      <c r="H461">
        <v>2314</v>
      </c>
      <c r="I461" t="s">
        <v>115</v>
      </c>
      <c r="J461" t="s">
        <v>1361</v>
      </c>
      <c r="K461">
        <v>7</v>
      </c>
      <c r="L461" t="s">
        <v>1362</v>
      </c>
      <c r="M461" s="1" t="str">
        <f>TEXT(DATE(tbl_data[[#This Row],[Model_Year]],1,1),"yyyy")</f>
        <v>2006</v>
      </c>
      <c r="N461" s="1" t="str">
        <f>IF(tbl_data[[#This Row],[Kilometers_Driven]]&lt;50000,"&lt;50k",
IF(tbl_data[[#This Row],[Kilometers_Driven]]&lt;100000,"50k-100k",
IF(tbl_data[[#This Row],[Kilometers_Driven]]&lt;150000,"100k-150k","150k+")))</f>
        <v>100k-150k</v>
      </c>
      <c r="O461" s="1" t="str">
        <f>IF(tbl_data[[#This Row],[Price_USD]]&gt;=87089,"High",
IF(tbl_data[[#This Row],[Price_USD]]&gt;=56807,"Mid","Low"))</f>
        <v>High</v>
      </c>
      <c r="P461" s="1" t="str">
        <f>IF(tbl_data[[#This Row],[Transmission]]="Automatic","Auto","Manual")</f>
        <v>Manual</v>
      </c>
      <c r="Q461" s="1" t="str">
        <f>IFERROR(IF(VALUE(tbl_data[[#This Row],[Engine_CC]])=0,"",VALUE(tbl_data[[#This Row],[Price_USD]])/VALUE(tbl_data[[#This Row],[Engine_CC]])),"")</f>
        <v/>
      </c>
      <c r="R461" s="1" t="str">
        <f>TRIM(tbl_data[[#This Row],[Brand]])</f>
        <v>Ford</v>
      </c>
      <c r="S461" s="1">
        <f>_xlfn.NUMBERVALUE(tbl_data[[#This Row],[Price_USD]],".",",")</f>
        <v>94644.94</v>
      </c>
    </row>
    <row r="462" spans="1:19" x14ac:dyDescent="0.3">
      <c r="A462">
        <v>461</v>
      </c>
      <c r="B462" t="s">
        <v>12</v>
      </c>
      <c r="C462">
        <v>2017</v>
      </c>
      <c r="D462">
        <v>171923</v>
      </c>
      <c r="E462" t="s">
        <v>44</v>
      </c>
      <c r="F462" t="s">
        <v>21</v>
      </c>
      <c r="G462" t="s">
        <v>32</v>
      </c>
      <c r="H462">
        <v>2031</v>
      </c>
      <c r="I462" t="s">
        <v>1363</v>
      </c>
      <c r="J462" t="s">
        <v>1364</v>
      </c>
      <c r="K462">
        <v>2</v>
      </c>
      <c r="L462" t="s">
        <v>1365</v>
      </c>
      <c r="M462" s="1" t="str">
        <f>TEXT(DATE(tbl_data[[#This Row],[Model_Year]],1,1),"yyyy")</f>
        <v>2017</v>
      </c>
      <c r="N462" s="1" t="str">
        <f>IF(tbl_data[[#This Row],[Kilometers_Driven]]&lt;50000,"&lt;50k",
IF(tbl_data[[#This Row],[Kilometers_Driven]]&lt;100000,"50k-100k",
IF(tbl_data[[#This Row],[Kilometers_Driven]]&lt;150000,"100k-150k","150k+")))</f>
        <v>150k+</v>
      </c>
      <c r="O462" s="1" t="str">
        <f>IF(tbl_data[[#This Row],[Price_USD]]&gt;=87089,"High",
IF(tbl_data[[#This Row],[Price_USD]]&gt;=56807,"Mid","Low"))</f>
        <v>High</v>
      </c>
      <c r="P462" s="1" t="str">
        <f>IF(tbl_data[[#This Row],[Transmission]]="Automatic","Auto","Manual")</f>
        <v>Auto</v>
      </c>
      <c r="Q462" s="1" t="str">
        <f>IFERROR(IF(VALUE(tbl_data[[#This Row],[Engine_CC]])=0,"",VALUE(tbl_data[[#This Row],[Price_USD]])/VALUE(tbl_data[[#This Row],[Engine_CC]])),"")</f>
        <v/>
      </c>
      <c r="R462" s="1" t="str">
        <f>TRIM(tbl_data[[#This Row],[Brand]])</f>
        <v>Audi</v>
      </c>
      <c r="S462" s="1">
        <f>_xlfn.NUMBERVALUE(tbl_data[[#This Row],[Price_USD]],".",",")</f>
        <v>115645.82</v>
      </c>
    </row>
    <row r="463" spans="1:19" x14ac:dyDescent="0.3">
      <c r="A463">
        <v>462</v>
      </c>
      <c r="B463" t="s">
        <v>92</v>
      </c>
      <c r="C463">
        <v>2018</v>
      </c>
      <c r="D463">
        <v>31832</v>
      </c>
      <c r="E463" t="s">
        <v>44</v>
      </c>
      <c r="F463" t="s">
        <v>14</v>
      </c>
      <c r="G463" t="s">
        <v>26</v>
      </c>
      <c r="H463">
        <v>2445</v>
      </c>
      <c r="I463" t="s">
        <v>73</v>
      </c>
      <c r="J463" t="s">
        <v>1366</v>
      </c>
      <c r="K463">
        <v>2</v>
      </c>
      <c r="L463" t="s">
        <v>1367</v>
      </c>
      <c r="M463" s="1" t="str">
        <f>TEXT(DATE(tbl_data[[#This Row],[Model_Year]],1,1),"yyyy")</f>
        <v>2018</v>
      </c>
      <c r="N463" s="1" t="str">
        <f>IF(tbl_data[[#This Row],[Kilometers_Driven]]&lt;50000,"&lt;50k",
IF(tbl_data[[#This Row],[Kilometers_Driven]]&lt;100000,"50k-100k",
IF(tbl_data[[#This Row],[Kilometers_Driven]]&lt;150000,"100k-150k","150k+")))</f>
        <v>&lt;50k</v>
      </c>
      <c r="O463" s="1" t="str">
        <f>IF(tbl_data[[#This Row],[Price_USD]]&gt;=87089,"High",
IF(tbl_data[[#This Row],[Price_USD]]&gt;=56807,"Mid","Low"))</f>
        <v>High</v>
      </c>
      <c r="P463" s="1" t="str">
        <f>IF(tbl_data[[#This Row],[Transmission]]="Automatic","Auto","Manual")</f>
        <v>Manual</v>
      </c>
      <c r="Q463" s="1" t="str">
        <f>IFERROR(IF(VALUE(tbl_data[[#This Row],[Engine_CC]])=0,"",VALUE(tbl_data[[#This Row],[Price_USD]])/VALUE(tbl_data[[#This Row],[Engine_CC]])),"")</f>
        <v/>
      </c>
      <c r="R463" s="1" t="str">
        <f>TRIM(tbl_data[[#This Row],[Brand]])</f>
        <v>Toyota</v>
      </c>
      <c r="S463" s="1">
        <f>_xlfn.NUMBERVALUE(tbl_data[[#This Row],[Price_USD]],".",",")</f>
        <v>17818.740000000002</v>
      </c>
    </row>
    <row r="464" spans="1:19" x14ac:dyDescent="0.3">
      <c r="A464">
        <v>463</v>
      </c>
      <c r="B464" t="s">
        <v>39</v>
      </c>
      <c r="C464">
        <v>2021</v>
      </c>
      <c r="D464">
        <v>199509</v>
      </c>
      <c r="E464" t="s">
        <v>13</v>
      </c>
      <c r="F464" t="s">
        <v>14</v>
      </c>
      <c r="G464" t="s">
        <v>26</v>
      </c>
      <c r="H464">
        <v>3799</v>
      </c>
      <c r="I464" t="s">
        <v>1368</v>
      </c>
      <c r="J464" t="s">
        <v>1369</v>
      </c>
      <c r="K464">
        <v>2</v>
      </c>
      <c r="L464" t="s">
        <v>1370</v>
      </c>
      <c r="M464" s="1" t="str">
        <f>TEXT(DATE(tbl_data[[#This Row],[Model_Year]],1,1),"yyyy")</f>
        <v>2021</v>
      </c>
      <c r="N464" s="1" t="str">
        <f>IF(tbl_data[[#This Row],[Kilometers_Driven]]&lt;50000,"&lt;50k",
IF(tbl_data[[#This Row],[Kilometers_Driven]]&lt;100000,"50k-100k",
IF(tbl_data[[#This Row],[Kilometers_Driven]]&lt;150000,"100k-150k","150k+")))</f>
        <v>150k+</v>
      </c>
      <c r="O464" s="1" t="str">
        <f>IF(tbl_data[[#This Row],[Price_USD]]&gt;=87089,"High",
IF(tbl_data[[#This Row],[Price_USD]]&gt;=56807,"Mid","Low"))</f>
        <v>High</v>
      </c>
      <c r="P464" s="1" t="str">
        <f>IF(tbl_data[[#This Row],[Transmission]]="Automatic","Auto","Manual")</f>
        <v>Manual</v>
      </c>
      <c r="Q464" s="1" t="str">
        <f>IFERROR(IF(VALUE(tbl_data[[#This Row],[Engine_CC]])=0,"",VALUE(tbl_data[[#This Row],[Price_USD]])/VALUE(tbl_data[[#This Row],[Engine_CC]])),"")</f>
        <v/>
      </c>
      <c r="R464" s="1" t="str">
        <f>TRIM(tbl_data[[#This Row],[Brand]])</f>
        <v>Volkswagen</v>
      </c>
      <c r="S464" s="1">
        <f>_xlfn.NUMBERVALUE(tbl_data[[#This Row],[Price_USD]],".",",")</f>
        <v>52213.74</v>
      </c>
    </row>
    <row r="465" spans="1:19" x14ac:dyDescent="0.3">
      <c r="A465">
        <v>464</v>
      </c>
      <c r="B465" t="s">
        <v>25</v>
      </c>
      <c r="C465">
        <v>2013</v>
      </c>
      <c r="D465">
        <v>120725</v>
      </c>
      <c r="E465" t="s">
        <v>20</v>
      </c>
      <c r="F465" t="s">
        <v>14</v>
      </c>
      <c r="G465" t="s">
        <v>26</v>
      </c>
      <c r="H465">
        <v>4240</v>
      </c>
      <c r="I465" t="s">
        <v>1371</v>
      </c>
      <c r="J465" t="s">
        <v>1372</v>
      </c>
      <c r="K465">
        <v>2</v>
      </c>
      <c r="L465" t="s">
        <v>1373</v>
      </c>
      <c r="M465" s="1" t="str">
        <f>TEXT(DATE(tbl_data[[#This Row],[Model_Year]],1,1),"yyyy")</f>
        <v>2013</v>
      </c>
      <c r="N465" s="1" t="str">
        <f>IF(tbl_data[[#This Row],[Kilometers_Driven]]&lt;50000,"&lt;50k",
IF(tbl_data[[#This Row],[Kilometers_Driven]]&lt;100000,"50k-100k",
IF(tbl_data[[#This Row],[Kilometers_Driven]]&lt;150000,"100k-150k","150k+")))</f>
        <v>100k-150k</v>
      </c>
      <c r="O465" s="1" t="str">
        <f>IF(tbl_data[[#This Row],[Price_USD]]&gt;=87089,"High",
IF(tbl_data[[#This Row],[Price_USD]]&gt;=56807,"Mid","Low"))</f>
        <v>High</v>
      </c>
      <c r="P465" s="1" t="str">
        <f>IF(tbl_data[[#This Row],[Transmission]]="Automatic","Auto","Manual")</f>
        <v>Manual</v>
      </c>
      <c r="Q465" s="1" t="str">
        <f>IFERROR(IF(VALUE(tbl_data[[#This Row],[Engine_CC]])=0,"",VALUE(tbl_data[[#This Row],[Price_USD]])/VALUE(tbl_data[[#This Row],[Engine_CC]])),"")</f>
        <v/>
      </c>
      <c r="R465" s="1" t="str">
        <f>TRIM(tbl_data[[#This Row],[Brand]])</f>
        <v>Kia</v>
      </c>
      <c r="S465" s="1">
        <f>_xlfn.NUMBERVALUE(tbl_data[[#This Row],[Price_USD]],".",",")</f>
        <v>59270.17</v>
      </c>
    </row>
    <row r="466" spans="1:19" x14ac:dyDescent="0.3">
      <c r="A466">
        <v>465</v>
      </c>
      <c r="B466" t="s">
        <v>39</v>
      </c>
      <c r="C466">
        <v>2021</v>
      </c>
      <c r="D466">
        <v>150016</v>
      </c>
      <c r="E466" t="s">
        <v>20</v>
      </c>
      <c r="F466" t="s">
        <v>21</v>
      </c>
      <c r="G466" t="s">
        <v>26</v>
      </c>
      <c r="H466">
        <v>4856</v>
      </c>
      <c r="I466" t="s">
        <v>1374</v>
      </c>
      <c r="J466" t="s">
        <v>1375</v>
      </c>
      <c r="K466">
        <v>4</v>
      </c>
      <c r="L466" t="s">
        <v>1376</v>
      </c>
      <c r="M466" s="1" t="str">
        <f>TEXT(DATE(tbl_data[[#This Row],[Model_Year]],1,1),"yyyy")</f>
        <v>2021</v>
      </c>
      <c r="N466" s="1" t="str">
        <f>IF(tbl_data[[#This Row],[Kilometers_Driven]]&lt;50000,"&lt;50k",
IF(tbl_data[[#This Row],[Kilometers_Driven]]&lt;100000,"50k-100k",
IF(tbl_data[[#This Row],[Kilometers_Driven]]&lt;150000,"100k-150k","150k+")))</f>
        <v>150k+</v>
      </c>
      <c r="O466" s="1" t="str">
        <f>IF(tbl_data[[#This Row],[Price_USD]]&gt;=87089,"High",
IF(tbl_data[[#This Row],[Price_USD]]&gt;=56807,"Mid","Low"))</f>
        <v>High</v>
      </c>
      <c r="P466" s="1" t="str">
        <f>IF(tbl_data[[#This Row],[Transmission]]="Automatic","Auto","Manual")</f>
        <v>Auto</v>
      </c>
      <c r="Q466" s="1" t="str">
        <f>IFERROR(IF(VALUE(tbl_data[[#This Row],[Engine_CC]])=0,"",VALUE(tbl_data[[#This Row],[Price_USD]])/VALUE(tbl_data[[#This Row],[Engine_CC]])),"")</f>
        <v/>
      </c>
      <c r="R466" s="1" t="str">
        <f>TRIM(tbl_data[[#This Row],[Brand]])</f>
        <v>Volkswagen</v>
      </c>
      <c r="S466" s="1">
        <f>_xlfn.NUMBERVALUE(tbl_data[[#This Row],[Price_USD]],".",",")</f>
        <v>47028.480000000003</v>
      </c>
    </row>
    <row r="467" spans="1:19" x14ac:dyDescent="0.3">
      <c r="A467">
        <v>466</v>
      </c>
      <c r="B467" t="s">
        <v>39</v>
      </c>
      <c r="C467">
        <v>2012</v>
      </c>
      <c r="D467">
        <v>24873</v>
      </c>
      <c r="E467" t="s">
        <v>20</v>
      </c>
      <c r="F467" t="s">
        <v>14</v>
      </c>
      <c r="G467" t="s">
        <v>26</v>
      </c>
      <c r="H467">
        <v>1105</v>
      </c>
      <c r="I467" t="s">
        <v>1377</v>
      </c>
      <c r="J467" t="s">
        <v>1378</v>
      </c>
      <c r="K467">
        <v>4</v>
      </c>
      <c r="L467" t="s">
        <v>1379</v>
      </c>
      <c r="M467" s="1" t="str">
        <f>TEXT(DATE(tbl_data[[#This Row],[Model_Year]],1,1),"yyyy")</f>
        <v>2012</v>
      </c>
      <c r="N467" s="1" t="str">
        <f>IF(tbl_data[[#This Row],[Kilometers_Driven]]&lt;50000,"&lt;50k",
IF(tbl_data[[#This Row],[Kilometers_Driven]]&lt;100000,"50k-100k",
IF(tbl_data[[#This Row],[Kilometers_Driven]]&lt;150000,"100k-150k","150k+")))</f>
        <v>&lt;50k</v>
      </c>
      <c r="O467" s="1" t="str">
        <f>IF(tbl_data[[#This Row],[Price_USD]]&gt;=87089,"High",
IF(tbl_data[[#This Row],[Price_USD]]&gt;=56807,"Mid","Low"))</f>
        <v>High</v>
      </c>
      <c r="P467" s="1" t="str">
        <f>IF(tbl_data[[#This Row],[Transmission]]="Automatic","Auto","Manual")</f>
        <v>Manual</v>
      </c>
      <c r="Q467" s="1" t="str">
        <f>IFERROR(IF(VALUE(tbl_data[[#This Row],[Engine_CC]])=0,"",VALUE(tbl_data[[#This Row],[Price_USD]])/VALUE(tbl_data[[#This Row],[Engine_CC]])),"")</f>
        <v/>
      </c>
      <c r="R467" s="1" t="str">
        <f>TRIM(tbl_data[[#This Row],[Brand]])</f>
        <v>Volkswagen</v>
      </c>
      <c r="S467" s="1">
        <f>_xlfn.NUMBERVALUE(tbl_data[[#This Row],[Price_USD]],".",",")</f>
        <v>45493.13</v>
      </c>
    </row>
    <row r="468" spans="1:19" x14ac:dyDescent="0.3">
      <c r="A468">
        <v>467</v>
      </c>
      <c r="B468" t="s">
        <v>39</v>
      </c>
      <c r="C468">
        <v>2006</v>
      </c>
      <c r="D468">
        <v>45372</v>
      </c>
      <c r="E468" t="s">
        <v>20</v>
      </c>
      <c r="F468" t="s">
        <v>14</v>
      </c>
      <c r="G468" t="s">
        <v>15</v>
      </c>
      <c r="H468">
        <v>4336</v>
      </c>
      <c r="I468" t="s">
        <v>1380</v>
      </c>
      <c r="J468" t="s">
        <v>1381</v>
      </c>
      <c r="K468">
        <v>5</v>
      </c>
      <c r="L468" t="s">
        <v>1382</v>
      </c>
      <c r="M468" s="1" t="str">
        <f>TEXT(DATE(tbl_data[[#This Row],[Model_Year]],1,1),"yyyy")</f>
        <v>2006</v>
      </c>
      <c r="N468" s="1" t="str">
        <f>IF(tbl_data[[#This Row],[Kilometers_Driven]]&lt;50000,"&lt;50k",
IF(tbl_data[[#This Row],[Kilometers_Driven]]&lt;100000,"50k-100k",
IF(tbl_data[[#This Row],[Kilometers_Driven]]&lt;150000,"100k-150k","150k+")))</f>
        <v>&lt;50k</v>
      </c>
      <c r="O468" s="1" t="str">
        <f>IF(tbl_data[[#This Row],[Price_USD]]&gt;=87089,"High",
IF(tbl_data[[#This Row],[Price_USD]]&gt;=56807,"Mid","Low"))</f>
        <v>High</v>
      </c>
      <c r="P468" s="1" t="str">
        <f>IF(tbl_data[[#This Row],[Transmission]]="Automatic","Auto","Manual")</f>
        <v>Manual</v>
      </c>
      <c r="Q468" s="1" t="str">
        <f>IFERROR(IF(VALUE(tbl_data[[#This Row],[Engine_CC]])=0,"",VALUE(tbl_data[[#This Row],[Price_USD]])/VALUE(tbl_data[[#This Row],[Engine_CC]])),"")</f>
        <v/>
      </c>
      <c r="R468" s="1" t="str">
        <f>TRIM(tbl_data[[#This Row],[Brand]])</f>
        <v>Volkswagen</v>
      </c>
      <c r="S468" s="1">
        <f>_xlfn.NUMBERVALUE(tbl_data[[#This Row],[Price_USD]],".",",")</f>
        <v>9115.43</v>
      </c>
    </row>
    <row r="469" spans="1:19" x14ac:dyDescent="0.3">
      <c r="A469">
        <v>468</v>
      </c>
      <c r="B469" t="s">
        <v>76</v>
      </c>
      <c r="C469">
        <v>2017</v>
      </c>
      <c r="D469">
        <v>94464</v>
      </c>
      <c r="E469" t="s">
        <v>20</v>
      </c>
      <c r="F469" t="s">
        <v>14</v>
      </c>
      <c r="G469" t="s">
        <v>15</v>
      </c>
      <c r="H469">
        <v>2523</v>
      </c>
      <c r="I469" t="s">
        <v>1383</v>
      </c>
      <c r="J469" t="s">
        <v>1384</v>
      </c>
      <c r="K469">
        <v>2</v>
      </c>
      <c r="L469" t="s">
        <v>1385</v>
      </c>
      <c r="M469" s="1" t="str">
        <f>TEXT(DATE(tbl_data[[#This Row],[Model_Year]],1,1),"yyyy")</f>
        <v>2017</v>
      </c>
      <c r="N469" s="1" t="str">
        <f>IF(tbl_data[[#This Row],[Kilometers_Driven]]&lt;50000,"&lt;50k",
IF(tbl_data[[#This Row],[Kilometers_Driven]]&lt;100000,"50k-100k",
IF(tbl_data[[#This Row],[Kilometers_Driven]]&lt;150000,"100k-150k","150k+")))</f>
        <v>50k-100k</v>
      </c>
      <c r="O469" s="1" t="str">
        <f>IF(tbl_data[[#This Row],[Price_USD]]&gt;=87089,"High",
IF(tbl_data[[#This Row],[Price_USD]]&gt;=56807,"Mid","Low"))</f>
        <v>High</v>
      </c>
      <c r="P469" s="1" t="str">
        <f>IF(tbl_data[[#This Row],[Transmission]]="Automatic","Auto","Manual")</f>
        <v>Manual</v>
      </c>
      <c r="Q469" s="1" t="str">
        <f>IFERROR(IF(VALUE(tbl_data[[#This Row],[Engine_CC]])=0,"",VALUE(tbl_data[[#This Row],[Price_USD]])/VALUE(tbl_data[[#This Row],[Engine_CC]])),"")</f>
        <v/>
      </c>
      <c r="R469" s="1" t="str">
        <f>TRIM(tbl_data[[#This Row],[Brand]])</f>
        <v>Honda</v>
      </c>
      <c r="S469" s="1">
        <f>_xlfn.NUMBERVALUE(tbl_data[[#This Row],[Price_USD]],".",",")</f>
        <v>83208.02</v>
      </c>
    </row>
    <row r="470" spans="1:19" x14ac:dyDescent="0.3">
      <c r="A470">
        <v>469</v>
      </c>
      <c r="B470" t="s">
        <v>43</v>
      </c>
      <c r="C470">
        <v>2007</v>
      </c>
      <c r="D470">
        <v>151451</v>
      </c>
      <c r="E470" t="s">
        <v>13</v>
      </c>
      <c r="F470" t="s">
        <v>14</v>
      </c>
      <c r="G470" t="s">
        <v>15</v>
      </c>
      <c r="H470">
        <v>2489</v>
      </c>
      <c r="I470" t="s">
        <v>1386</v>
      </c>
      <c r="J470" t="s">
        <v>259</v>
      </c>
      <c r="K470">
        <v>5</v>
      </c>
      <c r="L470" t="s">
        <v>1387</v>
      </c>
      <c r="M470" s="1" t="str">
        <f>TEXT(DATE(tbl_data[[#This Row],[Model_Year]],1,1),"yyyy")</f>
        <v>2007</v>
      </c>
      <c r="N470" s="1" t="str">
        <f>IF(tbl_data[[#This Row],[Kilometers_Driven]]&lt;50000,"&lt;50k",
IF(tbl_data[[#This Row],[Kilometers_Driven]]&lt;100000,"50k-100k",
IF(tbl_data[[#This Row],[Kilometers_Driven]]&lt;150000,"100k-150k","150k+")))</f>
        <v>150k+</v>
      </c>
      <c r="O470" s="1" t="str">
        <f>IF(tbl_data[[#This Row],[Price_USD]]&gt;=87089,"High",
IF(tbl_data[[#This Row],[Price_USD]]&gt;=56807,"Mid","Low"))</f>
        <v>High</v>
      </c>
      <c r="P470" s="1" t="str">
        <f>IF(tbl_data[[#This Row],[Transmission]]="Automatic","Auto","Manual")</f>
        <v>Manual</v>
      </c>
      <c r="Q470" s="1" t="str">
        <f>IFERROR(IF(VALUE(tbl_data[[#This Row],[Engine_CC]])=0,"",VALUE(tbl_data[[#This Row],[Price_USD]])/VALUE(tbl_data[[#This Row],[Engine_CC]])),"")</f>
        <v/>
      </c>
      <c r="R470" s="1" t="str">
        <f>TRIM(tbl_data[[#This Row],[Brand]])</f>
        <v>Ford</v>
      </c>
      <c r="S470" s="1">
        <f>_xlfn.NUMBERVALUE(tbl_data[[#This Row],[Price_USD]],".",",")</f>
        <v>54037.09</v>
      </c>
    </row>
    <row r="471" spans="1:19" x14ac:dyDescent="0.3">
      <c r="A471">
        <v>470</v>
      </c>
      <c r="B471" t="s">
        <v>102</v>
      </c>
      <c r="C471">
        <v>2020</v>
      </c>
      <c r="D471">
        <v>122322</v>
      </c>
      <c r="E471" t="s">
        <v>44</v>
      </c>
      <c r="F471" t="s">
        <v>14</v>
      </c>
      <c r="G471" t="s">
        <v>32</v>
      </c>
      <c r="H471">
        <v>2317</v>
      </c>
      <c r="I471" t="s">
        <v>1388</v>
      </c>
      <c r="J471" t="s">
        <v>943</v>
      </c>
      <c r="K471">
        <v>6</v>
      </c>
      <c r="L471" t="s">
        <v>1389</v>
      </c>
      <c r="M471" s="1" t="str">
        <f>TEXT(DATE(tbl_data[[#This Row],[Model_Year]],1,1),"yyyy")</f>
        <v>2020</v>
      </c>
      <c r="N471" s="1" t="str">
        <f>IF(tbl_data[[#This Row],[Kilometers_Driven]]&lt;50000,"&lt;50k",
IF(tbl_data[[#This Row],[Kilometers_Driven]]&lt;100000,"50k-100k",
IF(tbl_data[[#This Row],[Kilometers_Driven]]&lt;150000,"100k-150k","150k+")))</f>
        <v>100k-150k</v>
      </c>
      <c r="O471" s="1" t="str">
        <f>IF(tbl_data[[#This Row],[Price_USD]]&gt;=87089,"High",
IF(tbl_data[[#This Row],[Price_USD]]&gt;=56807,"Mid","Low"))</f>
        <v>High</v>
      </c>
      <c r="P471" s="1" t="str">
        <f>IF(tbl_data[[#This Row],[Transmission]]="Automatic","Auto","Manual")</f>
        <v>Manual</v>
      </c>
      <c r="Q471" s="1" t="str">
        <f>IFERROR(IF(VALUE(tbl_data[[#This Row],[Engine_CC]])=0,"",VALUE(tbl_data[[#This Row],[Price_USD]])/VALUE(tbl_data[[#This Row],[Engine_CC]])),"")</f>
        <v/>
      </c>
      <c r="R471" s="1" t="str">
        <f>TRIM(tbl_data[[#This Row],[Brand]])</f>
        <v>Nissan</v>
      </c>
      <c r="S471" s="1">
        <f>_xlfn.NUMBERVALUE(tbl_data[[#This Row],[Price_USD]],".",",")</f>
        <v>25790.87</v>
      </c>
    </row>
    <row r="472" spans="1:19" x14ac:dyDescent="0.3">
      <c r="A472">
        <v>471</v>
      </c>
      <c r="B472" t="s">
        <v>12</v>
      </c>
      <c r="C472">
        <v>2010</v>
      </c>
      <c r="D472">
        <v>172823</v>
      </c>
      <c r="E472" t="s">
        <v>44</v>
      </c>
      <c r="F472" t="s">
        <v>21</v>
      </c>
      <c r="G472" t="s">
        <v>26</v>
      </c>
      <c r="H472">
        <v>4717</v>
      </c>
      <c r="I472" t="s">
        <v>1390</v>
      </c>
      <c r="J472" t="s">
        <v>1391</v>
      </c>
      <c r="K472">
        <v>5</v>
      </c>
      <c r="L472" t="s">
        <v>1392</v>
      </c>
      <c r="M472" s="1" t="str">
        <f>TEXT(DATE(tbl_data[[#This Row],[Model_Year]],1,1),"yyyy")</f>
        <v>2010</v>
      </c>
      <c r="N472" s="1" t="str">
        <f>IF(tbl_data[[#This Row],[Kilometers_Driven]]&lt;50000,"&lt;50k",
IF(tbl_data[[#This Row],[Kilometers_Driven]]&lt;100000,"50k-100k",
IF(tbl_data[[#This Row],[Kilometers_Driven]]&lt;150000,"100k-150k","150k+")))</f>
        <v>150k+</v>
      </c>
      <c r="O472" s="1" t="str">
        <f>IF(tbl_data[[#This Row],[Price_USD]]&gt;=87089,"High",
IF(tbl_data[[#This Row],[Price_USD]]&gt;=56807,"Mid","Low"))</f>
        <v>High</v>
      </c>
      <c r="P472" s="1" t="str">
        <f>IF(tbl_data[[#This Row],[Transmission]]="Automatic","Auto","Manual")</f>
        <v>Auto</v>
      </c>
      <c r="Q472" s="1" t="str">
        <f>IFERROR(IF(VALUE(tbl_data[[#This Row],[Engine_CC]])=0,"",VALUE(tbl_data[[#This Row],[Price_USD]])/VALUE(tbl_data[[#This Row],[Engine_CC]])),"")</f>
        <v/>
      </c>
      <c r="R472" s="1" t="str">
        <f>TRIM(tbl_data[[#This Row],[Brand]])</f>
        <v>Audi</v>
      </c>
      <c r="S472" s="1">
        <f>_xlfn.NUMBERVALUE(tbl_data[[#This Row],[Price_USD]],".",",")</f>
        <v>98475.92</v>
      </c>
    </row>
    <row r="473" spans="1:19" x14ac:dyDescent="0.3">
      <c r="A473">
        <v>472</v>
      </c>
      <c r="B473" t="s">
        <v>19</v>
      </c>
      <c r="C473">
        <v>2023</v>
      </c>
      <c r="D473">
        <v>105082</v>
      </c>
      <c r="E473" t="s">
        <v>13</v>
      </c>
      <c r="F473" t="s">
        <v>21</v>
      </c>
      <c r="G473" t="s">
        <v>15</v>
      </c>
      <c r="H473">
        <v>1219</v>
      </c>
      <c r="I473" t="s">
        <v>1393</v>
      </c>
      <c r="J473" t="s">
        <v>1394</v>
      </c>
      <c r="K473">
        <v>7</v>
      </c>
      <c r="L473" t="s">
        <v>1395</v>
      </c>
      <c r="M473" s="1" t="str">
        <f>TEXT(DATE(tbl_data[[#This Row],[Model_Year]],1,1),"yyyy")</f>
        <v>2023</v>
      </c>
      <c r="N473" s="1" t="str">
        <f>IF(tbl_data[[#This Row],[Kilometers_Driven]]&lt;50000,"&lt;50k",
IF(tbl_data[[#This Row],[Kilometers_Driven]]&lt;100000,"50k-100k",
IF(tbl_data[[#This Row],[Kilometers_Driven]]&lt;150000,"100k-150k","150k+")))</f>
        <v>100k-150k</v>
      </c>
      <c r="O473" s="1" t="str">
        <f>IF(tbl_data[[#This Row],[Price_USD]]&gt;=87089,"High",
IF(tbl_data[[#This Row],[Price_USD]]&gt;=56807,"Mid","Low"))</f>
        <v>High</v>
      </c>
      <c r="P473" s="1" t="str">
        <f>IF(tbl_data[[#This Row],[Transmission]]="Automatic","Auto","Manual")</f>
        <v>Auto</v>
      </c>
      <c r="Q473" s="1" t="str">
        <f>IFERROR(IF(VALUE(tbl_data[[#This Row],[Engine_CC]])=0,"",VALUE(tbl_data[[#This Row],[Price_USD]])/VALUE(tbl_data[[#This Row],[Engine_CC]])),"")</f>
        <v/>
      </c>
      <c r="R473" s="1" t="str">
        <f>TRIM(tbl_data[[#This Row],[Brand]])</f>
        <v>BMW</v>
      </c>
      <c r="S473" s="1">
        <f>_xlfn.NUMBERVALUE(tbl_data[[#This Row],[Price_USD]],".",",")</f>
        <v>96899.61</v>
      </c>
    </row>
    <row r="474" spans="1:19" x14ac:dyDescent="0.3">
      <c r="A474">
        <v>473</v>
      </c>
      <c r="B474" t="s">
        <v>39</v>
      </c>
      <c r="C474">
        <v>2011</v>
      </c>
      <c r="D474">
        <v>10110</v>
      </c>
      <c r="E474" t="s">
        <v>20</v>
      </c>
      <c r="F474" t="s">
        <v>21</v>
      </c>
      <c r="G474" t="s">
        <v>32</v>
      </c>
      <c r="H474">
        <v>3736</v>
      </c>
      <c r="I474" t="s">
        <v>1396</v>
      </c>
      <c r="J474" t="s">
        <v>1397</v>
      </c>
      <c r="K474">
        <v>4</v>
      </c>
      <c r="L474" t="s">
        <v>1398</v>
      </c>
      <c r="M474" s="1" t="str">
        <f>TEXT(DATE(tbl_data[[#This Row],[Model_Year]],1,1),"yyyy")</f>
        <v>2011</v>
      </c>
      <c r="N474" s="1" t="str">
        <f>IF(tbl_data[[#This Row],[Kilometers_Driven]]&lt;50000,"&lt;50k",
IF(tbl_data[[#This Row],[Kilometers_Driven]]&lt;100000,"50k-100k",
IF(tbl_data[[#This Row],[Kilometers_Driven]]&lt;150000,"100k-150k","150k+")))</f>
        <v>&lt;50k</v>
      </c>
      <c r="O474" s="1" t="str">
        <f>IF(tbl_data[[#This Row],[Price_USD]]&gt;=87089,"High",
IF(tbl_data[[#This Row],[Price_USD]]&gt;=56807,"Mid","Low"))</f>
        <v>High</v>
      </c>
      <c r="P474" s="1" t="str">
        <f>IF(tbl_data[[#This Row],[Transmission]]="Automatic","Auto","Manual")</f>
        <v>Auto</v>
      </c>
      <c r="Q474" s="1" t="str">
        <f>IFERROR(IF(VALUE(tbl_data[[#This Row],[Engine_CC]])=0,"",VALUE(tbl_data[[#This Row],[Price_USD]])/VALUE(tbl_data[[#This Row],[Engine_CC]])),"")</f>
        <v/>
      </c>
      <c r="R474" s="1" t="str">
        <f>TRIM(tbl_data[[#This Row],[Brand]])</f>
        <v>Volkswagen</v>
      </c>
      <c r="S474" s="1">
        <f>_xlfn.NUMBERVALUE(tbl_data[[#This Row],[Price_USD]],".",",")</f>
        <v>59907.82</v>
      </c>
    </row>
    <row r="475" spans="1:19" x14ac:dyDescent="0.3">
      <c r="A475">
        <v>474</v>
      </c>
      <c r="B475" t="s">
        <v>30</v>
      </c>
      <c r="C475">
        <v>2014</v>
      </c>
      <c r="D475">
        <v>190413</v>
      </c>
      <c r="E475" t="s">
        <v>13</v>
      </c>
      <c r="F475" t="s">
        <v>14</v>
      </c>
      <c r="G475" t="s">
        <v>15</v>
      </c>
      <c r="H475">
        <v>4662</v>
      </c>
      <c r="I475" t="s">
        <v>1399</v>
      </c>
      <c r="J475" t="s">
        <v>1400</v>
      </c>
      <c r="K475">
        <v>4</v>
      </c>
      <c r="L475" t="s">
        <v>1401</v>
      </c>
      <c r="M475" s="1" t="str">
        <f>TEXT(DATE(tbl_data[[#This Row],[Model_Year]],1,1),"yyyy")</f>
        <v>2014</v>
      </c>
      <c r="N475" s="1" t="str">
        <f>IF(tbl_data[[#This Row],[Kilometers_Driven]]&lt;50000,"&lt;50k",
IF(tbl_data[[#This Row],[Kilometers_Driven]]&lt;100000,"50k-100k",
IF(tbl_data[[#This Row],[Kilometers_Driven]]&lt;150000,"100k-150k","150k+")))</f>
        <v>150k+</v>
      </c>
      <c r="O475" s="1" t="str">
        <f>IF(tbl_data[[#This Row],[Price_USD]]&gt;=87089,"High",
IF(tbl_data[[#This Row],[Price_USD]]&gt;=56807,"Mid","Low"))</f>
        <v>High</v>
      </c>
      <c r="P475" s="1" t="str">
        <f>IF(tbl_data[[#This Row],[Transmission]]="Automatic","Auto","Manual")</f>
        <v>Manual</v>
      </c>
      <c r="Q475" s="1" t="str">
        <f>IFERROR(IF(VALUE(tbl_data[[#This Row],[Engine_CC]])=0,"",VALUE(tbl_data[[#This Row],[Price_USD]])/VALUE(tbl_data[[#This Row],[Engine_CC]])),"")</f>
        <v/>
      </c>
      <c r="R475" s="1" t="str">
        <f>TRIM(tbl_data[[#This Row],[Brand]])</f>
        <v>Mercedes</v>
      </c>
      <c r="S475" s="1">
        <f>_xlfn.NUMBERVALUE(tbl_data[[#This Row],[Price_USD]],".",",")</f>
        <v>37918.730000000003</v>
      </c>
    </row>
    <row r="476" spans="1:19" x14ac:dyDescent="0.3">
      <c r="A476">
        <v>475</v>
      </c>
      <c r="B476" t="s">
        <v>76</v>
      </c>
      <c r="C476">
        <v>2013</v>
      </c>
      <c r="D476">
        <v>17087</v>
      </c>
      <c r="E476" t="s">
        <v>44</v>
      </c>
      <c r="F476" t="s">
        <v>21</v>
      </c>
      <c r="G476" t="s">
        <v>15</v>
      </c>
      <c r="H476">
        <v>2250</v>
      </c>
      <c r="I476" t="s">
        <v>1402</v>
      </c>
      <c r="J476" t="s">
        <v>1403</v>
      </c>
      <c r="K476">
        <v>2</v>
      </c>
      <c r="L476" t="s">
        <v>1404</v>
      </c>
      <c r="M476" s="1" t="str">
        <f>TEXT(DATE(tbl_data[[#This Row],[Model_Year]],1,1),"yyyy")</f>
        <v>2013</v>
      </c>
      <c r="N476" s="1" t="str">
        <f>IF(tbl_data[[#This Row],[Kilometers_Driven]]&lt;50000,"&lt;50k",
IF(tbl_data[[#This Row],[Kilometers_Driven]]&lt;100000,"50k-100k",
IF(tbl_data[[#This Row],[Kilometers_Driven]]&lt;150000,"100k-150k","150k+")))</f>
        <v>&lt;50k</v>
      </c>
      <c r="O476" s="1" t="str">
        <f>IF(tbl_data[[#This Row],[Price_USD]]&gt;=87089,"High",
IF(tbl_data[[#This Row],[Price_USD]]&gt;=56807,"Mid","Low"))</f>
        <v>High</v>
      </c>
      <c r="P476" s="1" t="str">
        <f>IF(tbl_data[[#This Row],[Transmission]]="Automatic","Auto","Manual")</f>
        <v>Auto</v>
      </c>
      <c r="Q476" s="1" t="str">
        <f>IFERROR(IF(VALUE(tbl_data[[#This Row],[Engine_CC]])=0,"",VALUE(tbl_data[[#This Row],[Price_USD]])/VALUE(tbl_data[[#This Row],[Engine_CC]])),"")</f>
        <v/>
      </c>
      <c r="R476" s="1" t="str">
        <f>TRIM(tbl_data[[#This Row],[Brand]])</f>
        <v>Honda</v>
      </c>
      <c r="S476" s="1">
        <f>_xlfn.NUMBERVALUE(tbl_data[[#This Row],[Price_USD]],".",",")</f>
        <v>77656.850000000006</v>
      </c>
    </row>
    <row r="477" spans="1:19" x14ac:dyDescent="0.3">
      <c r="A477">
        <v>476</v>
      </c>
      <c r="B477" t="s">
        <v>25</v>
      </c>
      <c r="C477">
        <v>2006</v>
      </c>
      <c r="D477">
        <v>159834</v>
      </c>
      <c r="E477" t="s">
        <v>31</v>
      </c>
      <c r="F477" t="s">
        <v>21</v>
      </c>
      <c r="G477" t="s">
        <v>26</v>
      </c>
      <c r="H477">
        <v>3896</v>
      </c>
      <c r="I477" t="s">
        <v>1405</v>
      </c>
      <c r="J477" t="s">
        <v>1406</v>
      </c>
      <c r="K477">
        <v>2</v>
      </c>
      <c r="L477" t="s">
        <v>1407</v>
      </c>
      <c r="M477" s="1" t="str">
        <f>TEXT(DATE(tbl_data[[#This Row],[Model_Year]],1,1),"yyyy")</f>
        <v>2006</v>
      </c>
      <c r="N477" s="1" t="str">
        <f>IF(tbl_data[[#This Row],[Kilometers_Driven]]&lt;50000,"&lt;50k",
IF(tbl_data[[#This Row],[Kilometers_Driven]]&lt;100000,"50k-100k",
IF(tbl_data[[#This Row],[Kilometers_Driven]]&lt;150000,"100k-150k","150k+")))</f>
        <v>150k+</v>
      </c>
      <c r="O477" s="1" t="str">
        <f>IF(tbl_data[[#This Row],[Price_USD]]&gt;=87089,"High",
IF(tbl_data[[#This Row],[Price_USD]]&gt;=56807,"Mid","Low"))</f>
        <v>High</v>
      </c>
      <c r="P477" s="1" t="str">
        <f>IF(tbl_data[[#This Row],[Transmission]]="Automatic","Auto","Manual")</f>
        <v>Auto</v>
      </c>
      <c r="Q477" s="1" t="str">
        <f>IFERROR(IF(VALUE(tbl_data[[#This Row],[Engine_CC]])=0,"",VALUE(tbl_data[[#This Row],[Price_USD]])/VALUE(tbl_data[[#This Row],[Engine_CC]])),"")</f>
        <v/>
      </c>
      <c r="R477" s="1" t="str">
        <f>TRIM(tbl_data[[#This Row],[Brand]])</f>
        <v>Kia</v>
      </c>
      <c r="S477" s="1">
        <f>_xlfn.NUMBERVALUE(tbl_data[[#This Row],[Price_USD]],".",",")</f>
        <v>36713.800000000003</v>
      </c>
    </row>
    <row r="478" spans="1:19" x14ac:dyDescent="0.3">
      <c r="A478">
        <v>477</v>
      </c>
      <c r="B478" t="s">
        <v>19</v>
      </c>
      <c r="C478">
        <v>2019</v>
      </c>
      <c r="D478">
        <v>87617</v>
      </c>
      <c r="E478" t="s">
        <v>13</v>
      </c>
      <c r="F478" t="s">
        <v>21</v>
      </c>
      <c r="G478" t="s">
        <v>32</v>
      </c>
      <c r="H478">
        <v>4061</v>
      </c>
      <c r="I478" t="s">
        <v>1408</v>
      </c>
      <c r="J478" t="s">
        <v>1409</v>
      </c>
      <c r="K478">
        <v>6</v>
      </c>
      <c r="L478" t="s">
        <v>1410</v>
      </c>
      <c r="M478" s="1" t="str">
        <f>TEXT(DATE(tbl_data[[#This Row],[Model_Year]],1,1),"yyyy")</f>
        <v>2019</v>
      </c>
      <c r="N478" s="1" t="str">
        <f>IF(tbl_data[[#This Row],[Kilometers_Driven]]&lt;50000,"&lt;50k",
IF(tbl_data[[#This Row],[Kilometers_Driven]]&lt;100000,"50k-100k",
IF(tbl_data[[#This Row],[Kilometers_Driven]]&lt;150000,"100k-150k","150k+")))</f>
        <v>50k-100k</v>
      </c>
      <c r="O478" s="1" t="str">
        <f>IF(tbl_data[[#This Row],[Price_USD]]&gt;=87089,"High",
IF(tbl_data[[#This Row],[Price_USD]]&gt;=56807,"Mid","Low"))</f>
        <v>High</v>
      </c>
      <c r="P478" s="1" t="str">
        <f>IF(tbl_data[[#This Row],[Transmission]]="Automatic","Auto","Manual")</f>
        <v>Auto</v>
      </c>
      <c r="Q478" s="1" t="str">
        <f>IFERROR(IF(VALUE(tbl_data[[#This Row],[Engine_CC]])=0,"",VALUE(tbl_data[[#This Row],[Price_USD]])/VALUE(tbl_data[[#This Row],[Engine_CC]])),"")</f>
        <v/>
      </c>
      <c r="R478" s="1" t="str">
        <f>TRIM(tbl_data[[#This Row],[Brand]])</f>
        <v>BMW</v>
      </c>
      <c r="S478" s="1">
        <f>_xlfn.NUMBERVALUE(tbl_data[[#This Row],[Price_USD]],".",",")</f>
        <v>30612.93</v>
      </c>
    </row>
    <row r="479" spans="1:19" x14ac:dyDescent="0.3">
      <c r="A479">
        <v>478</v>
      </c>
      <c r="B479" t="s">
        <v>102</v>
      </c>
      <c r="C479">
        <v>2009</v>
      </c>
      <c r="D479">
        <v>105483</v>
      </c>
      <c r="E479" t="s">
        <v>20</v>
      </c>
      <c r="F479" t="s">
        <v>14</v>
      </c>
      <c r="G479" t="s">
        <v>26</v>
      </c>
      <c r="H479">
        <v>1964</v>
      </c>
      <c r="I479" t="s">
        <v>1411</v>
      </c>
      <c r="J479" t="s">
        <v>1412</v>
      </c>
      <c r="K479">
        <v>6</v>
      </c>
      <c r="L479" t="s">
        <v>1413</v>
      </c>
      <c r="M479" s="1" t="str">
        <f>TEXT(DATE(tbl_data[[#This Row],[Model_Year]],1,1),"yyyy")</f>
        <v>2009</v>
      </c>
      <c r="N479" s="1" t="str">
        <f>IF(tbl_data[[#This Row],[Kilometers_Driven]]&lt;50000,"&lt;50k",
IF(tbl_data[[#This Row],[Kilometers_Driven]]&lt;100000,"50k-100k",
IF(tbl_data[[#This Row],[Kilometers_Driven]]&lt;150000,"100k-150k","150k+")))</f>
        <v>100k-150k</v>
      </c>
      <c r="O479" s="1" t="str">
        <f>IF(tbl_data[[#This Row],[Price_USD]]&gt;=87089,"High",
IF(tbl_data[[#This Row],[Price_USD]]&gt;=56807,"Mid","Low"))</f>
        <v>High</v>
      </c>
      <c r="P479" s="1" t="str">
        <f>IF(tbl_data[[#This Row],[Transmission]]="Automatic","Auto","Manual")</f>
        <v>Manual</v>
      </c>
      <c r="Q479" s="1" t="str">
        <f>IFERROR(IF(VALUE(tbl_data[[#This Row],[Engine_CC]])=0,"",VALUE(tbl_data[[#This Row],[Price_USD]])/VALUE(tbl_data[[#This Row],[Engine_CC]])),"")</f>
        <v/>
      </c>
      <c r="R479" s="1" t="str">
        <f>TRIM(tbl_data[[#This Row],[Brand]])</f>
        <v>Nissan</v>
      </c>
      <c r="S479" s="1">
        <f>_xlfn.NUMBERVALUE(tbl_data[[#This Row],[Price_USD]],".",",")</f>
        <v>88470.21</v>
      </c>
    </row>
    <row r="480" spans="1:19" x14ac:dyDescent="0.3">
      <c r="A480">
        <v>479</v>
      </c>
      <c r="B480" t="s">
        <v>30</v>
      </c>
      <c r="C480">
        <v>2008</v>
      </c>
      <c r="D480">
        <v>14596</v>
      </c>
      <c r="E480" t="s">
        <v>44</v>
      </c>
      <c r="F480" t="s">
        <v>14</v>
      </c>
      <c r="G480" t="s">
        <v>26</v>
      </c>
      <c r="H480">
        <v>2669</v>
      </c>
      <c r="I480" t="s">
        <v>1414</v>
      </c>
      <c r="J480" t="s">
        <v>1415</v>
      </c>
      <c r="K480">
        <v>7</v>
      </c>
      <c r="L480" t="s">
        <v>1416</v>
      </c>
      <c r="M480" s="1" t="str">
        <f>TEXT(DATE(tbl_data[[#This Row],[Model_Year]],1,1),"yyyy")</f>
        <v>2008</v>
      </c>
      <c r="N480" s="1" t="str">
        <f>IF(tbl_data[[#This Row],[Kilometers_Driven]]&lt;50000,"&lt;50k",
IF(tbl_data[[#This Row],[Kilometers_Driven]]&lt;100000,"50k-100k",
IF(tbl_data[[#This Row],[Kilometers_Driven]]&lt;150000,"100k-150k","150k+")))</f>
        <v>&lt;50k</v>
      </c>
      <c r="O480" s="1" t="str">
        <f>IF(tbl_data[[#This Row],[Price_USD]]&gt;=87089,"High",
IF(tbl_data[[#This Row],[Price_USD]]&gt;=56807,"Mid","Low"))</f>
        <v>High</v>
      </c>
      <c r="P480" s="1" t="str">
        <f>IF(tbl_data[[#This Row],[Transmission]]="Automatic","Auto","Manual")</f>
        <v>Manual</v>
      </c>
      <c r="Q480" s="1" t="str">
        <f>IFERROR(IF(VALUE(tbl_data[[#This Row],[Engine_CC]])=0,"",VALUE(tbl_data[[#This Row],[Price_USD]])/VALUE(tbl_data[[#This Row],[Engine_CC]])),"")</f>
        <v/>
      </c>
      <c r="R480" s="1" t="str">
        <f>TRIM(tbl_data[[#This Row],[Brand]])</f>
        <v>Mercedes</v>
      </c>
      <c r="S480" s="1">
        <f>_xlfn.NUMBERVALUE(tbl_data[[#This Row],[Price_USD]],".",",")</f>
        <v>7718.05</v>
      </c>
    </row>
    <row r="481" spans="1:19" x14ac:dyDescent="0.3">
      <c r="A481">
        <v>480</v>
      </c>
      <c r="B481" t="s">
        <v>102</v>
      </c>
      <c r="C481">
        <v>2024</v>
      </c>
      <c r="D481">
        <v>112539</v>
      </c>
      <c r="E481" t="s">
        <v>44</v>
      </c>
      <c r="F481" t="s">
        <v>21</v>
      </c>
      <c r="G481" t="s">
        <v>15</v>
      </c>
      <c r="H481">
        <v>2619</v>
      </c>
      <c r="I481" t="s">
        <v>1417</v>
      </c>
      <c r="J481" t="s">
        <v>1418</v>
      </c>
      <c r="K481">
        <v>2</v>
      </c>
      <c r="L481" t="s">
        <v>1419</v>
      </c>
      <c r="M481" s="1" t="str">
        <f>TEXT(DATE(tbl_data[[#This Row],[Model_Year]],1,1),"yyyy")</f>
        <v>2024</v>
      </c>
      <c r="N481" s="1" t="str">
        <f>IF(tbl_data[[#This Row],[Kilometers_Driven]]&lt;50000,"&lt;50k",
IF(tbl_data[[#This Row],[Kilometers_Driven]]&lt;100000,"50k-100k",
IF(tbl_data[[#This Row],[Kilometers_Driven]]&lt;150000,"100k-150k","150k+")))</f>
        <v>100k-150k</v>
      </c>
      <c r="O481" s="1" t="str">
        <f>IF(tbl_data[[#This Row],[Price_USD]]&gt;=87089,"High",
IF(tbl_data[[#This Row],[Price_USD]]&gt;=56807,"Mid","Low"))</f>
        <v>High</v>
      </c>
      <c r="P481" s="1" t="str">
        <f>IF(tbl_data[[#This Row],[Transmission]]="Automatic","Auto","Manual")</f>
        <v>Auto</v>
      </c>
      <c r="Q481" s="1" t="str">
        <f>IFERROR(IF(VALUE(tbl_data[[#This Row],[Engine_CC]])=0,"",VALUE(tbl_data[[#This Row],[Price_USD]])/VALUE(tbl_data[[#This Row],[Engine_CC]])),"")</f>
        <v/>
      </c>
      <c r="R481" s="1" t="str">
        <f>TRIM(tbl_data[[#This Row],[Brand]])</f>
        <v>Nissan</v>
      </c>
      <c r="S481" s="1">
        <f>_xlfn.NUMBERVALUE(tbl_data[[#This Row],[Price_USD]],".",",")</f>
        <v>14087.91</v>
      </c>
    </row>
    <row r="482" spans="1:19" x14ac:dyDescent="0.3">
      <c r="A482">
        <v>481</v>
      </c>
      <c r="B482" t="s">
        <v>19</v>
      </c>
      <c r="C482">
        <v>2008</v>
      </c>
      <c r="D482">
        <v>23313</v>
      </c>
      <c r="E482" t="s">
        <v>44</v>
      </c>
      <c r="F482" t="s">
        <v>21</v>
      </c>
      <c r="G482" t="s">
        <v>26</v>
      </c>
      <c r="H482">
        <v>3505</v>
      </c>
      <c r="I482" t="s">
        <v>1420</v>
      </c>
      <c r="J482" t="s">
        <v>1421</v>
      </c>
      <c r="K482">
        <v>2</v>
      </c>
      <c r="L482" t="s">
        <v>1422</v>
      </c>
      <c r="M482" s="1" t="str">
        <f>TEXT(DATE(tbl_data[[#This Row],[Model_Year]],1,1),"yyyy")</f>
        <v>2008</v>
      </c>
      <c r="N482" s="1" t="str">
        <f>IF(tbl_data[[#This Row],[Kilometers_Driven]]&lt;50000,"&lt;50k",
IF(tbl_data[[#This Row],[Kilometers_Driven]]&lt;100000,"50k-100k",
IF(tbl_data[[#This Row],[Kilometers_Driven]]&lt;150000,"100k-150k","150k+")))</f>
        <v>&lt;50k</v>
      </c>
      <c r="O482" s="1" t="str">
        <f>IF(tbl_data[[#This Row],[Price_USD]]&gt;=87089,"High",
IF(tbl_data[[#This Row],[Price_USD]]&gt;=56807,"Mid","Low"))</f>
        <v>High</v>
      </c>
      <c r="P482" s="1" t="str">
        <f>IF(tbl_data[[#This Row],[Transmission]]="Automatic","Auto","Manual")</f>
        <v>Auto</v>
      </c>
      <c r="Q482" s="1" t="str">
        <f>IFERROR(IF(VALUE(tbl_data[[#This Row],[Engine_CC]])=0,"",VALUE(tbl_data[[#This Row],[Price_USD]])/VALUE(tbl_data[[#This Row],[Engine_CC]])),"")</f>
        <v/>
      </c>
      <c r="R482" s="1" t="str">
        <f>TRIM(tbl_data[[#This Row],[Brand]])</f>
        <v>BMW</v>
      </c>
      <c r="S482" s="1">
        <f>_xlfn.NUMBERVALUE(tbl_data[[#This Row],[Price_USD]],".",",")</f>
        <v>3794.22</v>
      </c>
    </row>
    <row r="483" spans="1:19" x14ac:dyDescent="0.3">
      <c r="A483">
        <v>482</v>
      </c>
      <c r="B483" t="s">
        <v>39</v>
      </c>
      <c r="C483">
        <v>2022</v>
      </c>
      <c r="D483">
        <v>118175</v>
      </c>
      <c r="E483" t="s">
        <v>44</v>
      </c>
      <c r="F483" t="s">
        <v>14</v>
      </c>
      <c r="G483" t="s">
        <v>32</v>
      </c>
      <c r="H483">
        <v>4315</v>
      </c>
      <c r="I483" t="s">
        <v>1423</v>
      </c>
      <c r="J483" t="s">
        <v>1424</v>
      </c>
      <c r="K483">
        <v>6</v>
      </c>
      <c r="L483" t="s">
        <v>1425</v>
      </c>
      <c r="M483" s="1" t="str">
        <f>TEXT(DATE(tbl_data[[#This Row],[Model_Year]],1,1),"yyyy")</f>
        <v>2022</v>
      </c>
      <c r="N483" s="1" t="str">
        <f>IF(tbl_data[[#This Row],[Kilometers_Driven]]&lt;50000,"&lt;50k",
IF(tbl_data[[#This Row],[Kilometers_Driven]]&lt;100000,"50k-100k",
IF(tbl_data[[#This Row],[Kilometers_Driven]]&lt;150000,"100k-150k","150k+")))</f>
        <v>100k-150k</v>
      </c>
      <c r="O483" s="1" t="str">
        <f>IF(tbl_data[[#This Row],[Price_USD]]&gt;=87089,"High",
IF(tbl_data[[#This Row],[Price_USD]]&gt;=56807,"Mid","Low"))</f>
        <v>High</v>
      </c>
      <c r="P483" s="1" t="str">
        <f>IF(tbl_data[[#This Row],[Transmission]]="Automatic","Auto","Manual")</f>
        <v>Manual</v>
      </c>
      <c r="Q483" s="1" t="str">
        <f>IFERROR(IF(VALUE(tbl_data[[#This Row],[Engine_CC]])=0,"",VALUE(tbl_data[[#This Row],[Price_USD]])/VALUE(tbl_data[[#This Row],[Engine_CC]])),"")</f>
        <v/>
      </c>
      <c r="R483" s="1" t="str">
        <f>TRIM(tbl_data[[#This Row],[Brand]])</f>
        <v>Volkswagen</v>
      </c>
      <c r="S483" s="1">
        <f>_xlfn.NUMBERVALUE(tbl_data[[#This Row],[Price_USD]],".",",")</f>
        <v>20894.349999999999</v>
      </c>
    </row>
    <row r="484" spans="1:19" x14ac:dyDescent="0.3">
      <c r="A484">
        <v>483</v>
      </c>
      <c r="B484" t="s">
        <v>30</v>
      </c>
      <c r="C484">
        <v>2008</v>
      </c>
      <c r="D484">
        <v>119914</v>
      </c>
      <c r="E484" t="s">
        <v>20</v>
      </c>
      <c r="F484" t="s">
        <v>14</v>
      </c>
      <c r="G484" t="s">
        <v>26</v>
      </c>
      <c r="H484">
        <v>2142</v>
      </c>
      <c r="I484" t="s">
        <v>1426</v>
      </c>
      <c r="J484" t="s">
        <v>1427</v>
      </c>
      <c r="K484">
        <v>6</v>
      </c>
      <c r="L484" t="s">
        <v>1428</v>
      </c>
      <c r="M484" s="1" t="str">
        <f>TEXT(DATE(tbl_data[[#This Row],[Model_Year]],1,1),"yyyy")</f>
        <v>2008</v>
      </c>
      <c r="N484" s="1" t="str">
        <f>IF(tbl_data[[#This Row],[Kilometers_Driven]]&lt;50000,"&lt;50k",
IF(tbl_data[[#This Row],[Kilometers_Driven]]&lt;100000,"50k-100k",
IF(tbl_data[[#This Row],[Kilometers_Driven]]&lt;150000,"100k-150k","150k+")))</f>
        <v>100k-150k</v>
      </c>
      <c r="O484" s="1" t="str">
        <f>IF(tbl_data[[#This Row],[Price_USD]]&gt;=87089,"High",
IF(tbl_data[[#This Row],[Price_USD]]&gt;=56807,"Mid","Low"))</f>
        <v>High</v>
      </c>
      <c r="P484" s="1" t="str">
        <f>IF(tbl_data[[#This Row],[Transmission]]="Automatic","Auto","Manual")</f>
        <v>Manual</v>
      </c>
      <c r="Q484" s="1" t="str">
        <f>IFERROR(IF(VALUE(tbl_data[[#This Row],[Engine_CC]])=0,"",VALUE(tbl_data[[#This Row],[Price_USD]])/VALUE(tbl_data[[#This Row],[Engine_CC]])),"")</f>
        <v/>
      </c>
      <c r="R484" s="1" t="str">
        <f>TRIM(tbl_data[[#This Row],[Brand]])</f>
        <v>Mercedes</v>
      </c>
      <c r="S484" s="1">
        <f>_xlfn.NUMBERVALUE(tbl_data[[#This Row],[Price_USD]],".",",")</f>
        <v>11071.83</v>
      </c>
    </row>
    <row r="485" spans="1:19" x14ac:dyDescent="0.3">
      <c r="A485">
        <v>484</v>
      </c>
      <c r="B485" t="s">
        <v>102</v>
      </c>
      <c r="C485">
        <v>2021</v>
      </c>
      <c r="D485">
        <v>28705</v>
      </c>
      <c r="E485" t="s">
        <v>31</v>
      </c>
      <c r="F485" t="s">
        <v>21</v>
      </c>
      <c r="G485" t="s">
        <v>26</v>
      </c>
      <c r="H485">
        <v>3026</v>
      </c>
      <c r="I485" t="s">
        <v>1429</v>
      </c>
      <c r="J485" t="s">
        <v>1430</v>
      </c>
      <c r="K485">
        <v>6</v>
      </c>
      <c r="L485" t="s">
        <v>1431</v>
      </c>
      <c r="M485" s="1" t="str">
        <f>TEXT(DATE(tbl_data[[#This Row],[Model_Year]],1,1),"yyyy")</f>
        <v>2021</v>
      </c>
      <c r="N485" s="1" t="str">
        <f>IF(tbl_data[[#This Row],[Kilometers_Driven]]&lt;50000,"&lt;50k",
IF(tbl_data[[#This Row],[Kilometers_Driven]]&lt;100000,"50k-100k",
IF(tbl_data[[#This Row],[Kilometers_Driven]]&lt;150000,"100k-150k","150k+")))</f>
        <v>&lt;50k</v>
      </c>
      <c r="O485" s="1" t="str">
        <f>IF(tbl_data[[#This Row],[Price_USD]]&gt;=87089,"High",
IF(tbl_data[[#This Row],[Price_USD]]&gt;=56807,"Mid","Low"))</f>
        <v>High</v>
      </c>
      <c r="P485" s="1" t="str">
        <f>IF(tbl_data[[#This Row],[Transmission]]="Automatic","Auto","Manual")</f>
        <v>Auto</v>
      </c>
      <c r="Q485" s="1" t="str">
        <f>IFERROR(IF(VALUE(tbl_data[[#This Row],[Engine_CC]])=0,"",VALUE(tbl_data[[#This Row],[Price_USD]])/VALUE(tbl_data[[#This Row],[Engine_CC]])),"")</f>
        <v/>
      </c>
      <c r="R485" s="1" t="str">
        <f>TRIM(tbl_data[[#This Row],[Brand]])</f>
        <v>Nissan</v>
      </c>
      <c r="S485" s="1">
        <f>_xlfn.NUMBERVALUE(tbl_data[[#This Row],[Price_USD]],".",",")</f>
        <v>119508.88</v>
      </c>
    </row>
    <row r="486" spans="1:19" x14ac:dyDescent="0.3">
      <c r="A486">
        <v>485</v>
      </c>
      <c r="B486" t="s">
        <v>25</v>
      </c>
      <c r="C486">
        <v>2016</v>
      </c>
      <c r="D486">
        <v>78445</v>
      </c>
      <c r="E486" t="s">
        <v>44</v>
      </c>
      <c r="F486" t="s">
        <v>14</v>
      </c>
      <c r="G486" t="s">
        <v>26</v>
      </c>
      <c r="H486">
        <v>1879</v>
      </c>
      <c r="I486" t="s">
        <v>1432</v>
      </c>
      <c r="J486" t="s">
        <v>268</v>
      </c>
      <c r="K486">
        <v>4</v>
      </c>
      <c r="L486" t="s">
        <v>1433</v>
      </c>
      <c r="M486" s="1" t="str">
        <f>TEXT(DATE(tbl_data[[#This Row],[Model_Year]],1,1),"yyyy")</f>
        <v>2016</v>
      </c>
      <c r="N486" s="1" t="str">
        <f>IF(tbl_data[[#This Row],[Kilometers_Driven]]&lt;50000,"&lt;50k",
IF(tbl_data[[#This Row],[Kilometers_Driven]]&lt;100000,"50k-100k",
IF(tbl_data[[#This Row],[Kilometers_Driven]]&lt;150000,"100k-150k","150k+")))</f>
        <v>50k-100k</v>
      </c>
      <c r="O486" s="1" t="str">
        <f>IF(tbl_data[[#This Row],[Price_USD]]&gt;=87089,"High",
IF(tbl_data[[#This Row],[Price_USD]]&gt;=56807,"Mid","Low"))</f>
        <v>High</v>
      </c>
      <c r="P486" s="1" t="str">
        <f>IF(tbl_data[[#This Row],[Transmission]]="Automatic","Auto","Manual")</f>
        <v>Manual</v>
      </c>
      <c r="Q486" s="1" t="str">
        <f>IFERROR(IF(VALUE(tbl_data[[#This Row],[Engine_CC]])=0,"",VALUE(tbl_data[[#This Row],[Price_USD]])/VALUE(tbl_data[[#This Row],[Engine_CC]])),"")</f>
        <v/>
      </c>
      <c r="R486" s="1" t="str">
        <f>TRIM(tbl_data[[#This Row],[Brand]])</f>
        <v>Kia</v>
      </c>
      <c r="S486" s="1">
        <f>_xlfn.NUMBERVALUE(tbl_data[[#This Row],[Price_USD]],".",",")</f>
        <v>36790.769999999997</v>
      </c>
    </row>
    <row r="487" spans="1:19" x14ac:dyDescent="0.3">
      <c r="A487">
        <v>486</v>
      </c>
      <c r="B487" t="s">
        <v>43</v>
      </c>
      <c r="C487">
        <v>2021</v>
      </c>
      <c r="D487">
        <v>108892</v>
      </c>
      <c r="E487" t="s">
        <v>13</v>
      </c>
      <c r="F487" t="s">
        <v>21</v>
      </c>
      <c r="G487" t="s">
        <v>15</v>
      </c>
      <c r="H487">
        <v>3579</v>
      </c>
      <c r="I487" t="s">
        <v>1017</v>
      </c>
      <c r="J487" t="s">
        <v>1434</v>
      </c>
      <c r="K487">
        <v>5</v>
      </c>
      <c r="L487" t="s">
        <v>1435</v>
      </c>
      <c r="M487" s="1" t="str">
        <f>TEXT(DATE(tbl_data[[#This Row],[Model_Year]],1,1),"yyyy")</f>
        <v>2021</v>
      </c>
      <c r="N487" s="1" t="str">
        <f>IF(tbl_data[[#This Row],[Kilometers_Driven]]&lt;50000,"&lt;50k",
IF(tbl_data[[#This Row],[Kilometers_Driven]]&lt;100000,"50k-100k",
IF(tbl_data[[#This Row],[Kilometers_Driven]]&lt;150000,"100k-150k","150k+")))</f>
        <v>100k-150k</v>
      </c>
      <c r="O487" s="1" t="str">
        <f>IF(tbl_data[[#This Row],[Price_USD]]&gt;=87089,"High",
IF(tbl_data[[#This Row],[Price_USD]]&gt;=56807,"Mid","Low"))</f>
        <v>High</v>
      </c>
      <c r="P487" s="1" t="str">
        <f>IF(tbl_data[[#This Row],[Transmission]]="Automatic","Auto","Manual")</f>
        <v>Auto</v>
      </c>
      <c r="Q487" s="1" t="str">
        <f>IFERROR(IF(VALUE(tbl_data[[#This Row],[Engine_CC]])=0,"",VALUE(tbl_data[[#This Row],[Price_USD]])/VALUE(tbl_data[[#This Row],[Engine_CC]])),"")</f>
        <v/>
      </c>
      <c r="R487" s="1" t="str">
        <f>TRIM(tbl_data[[#This Row],[Brand]])</f>
        <v>Ford</v>
      </c>
      <c r="S487" s="1">
        <f>_xlfn.NUMBERVALUE(tbl_data[[#This Row],[Price_USD]],".",",")</f>
        <v>20464.36</v>
      </c>
    </row>
    <row r="488" spans="1:19" x14ac:dyDescent="0.3">
      <c r="A488">
        <v>487</v>
      </c>
      <c r="B488" t="s">
        <v>92</v>
      </c>
      <c r="C488">
        <v>2014</v>
      </c>
      <c r="D488">
        <v>7023</v>
      </c>
      <c r="E488" t="s">
        <v>31</v>
      </c>
      <c r="F488" t="s">
        <v>14</v>
      </c>
      <c r="G488" t="s">
        <v>32</v>
      </c>
      <c r="H488">
        <v>3328</v>
      </c>
      <c r="I488" t="s">
        <v>1436</v>
      </c>
      <c r="J488" t="s">
        <v>1437</v>
      </c>
      <c r="K488">
        <v>5</v>
      </c>
      <c r="L488" t="s">
        <v>1438</v>
      </c>
      <c r="M488" s="1" t="str">
        <f>TEXT(DATE(tbl_data[[#This Row],[Model_Year]],1,1),"yyyy")</f>
        <v>2014</v>
      </c>
      <c r="N488" s="1" t="str">
        <f>IF(tbl_data[[#This Row],[Kilometers_Driven]]&lt;50000,"&lt;50k",
IF(tbl_data[[#This Row],[Kilometers_Driven]]&lt;100000,"50k-100k",
IF(tbl_data[[#This Row],[Kilometers_Driven]]&lt;150000,"100k-150k","150k+")))</f>
        <v>&lt;50k</v>
      </c>
      <c r="O488" s="1" t="str">
        <f>IF(tbl_data[[#This Row],[Price_USD]]&gt;=87089,"High",
IF(tbl_data[[#This Row],[Price_USD]]&gt;=56807,"Mid","Low"))</f>
        <v>High</v>
      </c>
      <c r="P488" s="1" t="str">
        <f>IF(tbl_data[[#This Row],[Transmission]]="Automatic","Auto","Manual")</f>
        <v>Manual</v>
      </c>
      <c r="Q488" s="1" t="str">
        <f>IFERROR(IF(VALUE(tbl_data[[#This Row],[Engine_CC]])=0,"",VALUE(tbl_data[[#This Row],[Price_USD]])/VALUE(tbl_data[[#This Row],[Engine_CC]])),"")</f>
        <v/>
      </c>
      <c r="R488" s="1" t="str">
        <f>TRIM(tbl_data[[#This Row],[Brand]])</f>
        <v>Toyota</v>
      </c>
      <c r="S488" s="1">
        <f>_xlfn.NUMBERVALUE(tbl_data[[#This Row],[Price_USD]],".",",")</f>
        <v>31196.560000000001</v>
      </c>
    </row>
    <row r="489" spans="1:19" x14ac:dyDescent="0.3">
      <c r="A489">
        <v>488</v>
      </c>
      <c r="B489" t="s">
        <v>43</v>
      </c>
      <c r="C489">
        <v>2005</v>
      </c>
      <c r="D489">
        <v>124654</v>
      </c>
      <c r="E489" t="s">
        <v>44</v>
      </c>
      <c r="F489" t="s">
        <v>21</v>
      </c>
      <c r="G489" t="s">
        <v>15</v>
      </c>
      <c r="H489">
        <v>1613</v>
      </c>
      <c r="I489" t="s">
        <v>1439</v>
      </c>
      <c r="J489" t="s">
        <v>1440</v>
      </c>
      <c r="K489">
        <v>2</v>
      </c>
      <c r="L489" t="s">
        <v>1441</v>
      </c>
      <c r="M489" s="1" t="str">
        <f>TEXT(DATE(tbl_data[[#This Row],[Model_Year]],1,1),"yyyy")</f>
        <v>2005</v>
      </c>
      <c r="N489" s="1" t="str">
        <f>IF(tbl_data[[#This Row],[Kilometers_Driven]]&lt;50000,"&lt;50k",
IF(tbl_data[[#This Row],[Kilometers_Driven]]&lt;100000,"50k-100k",
IF(tbl_data[[#This Row],[Kilometers_Driven]]&lt;150000,"100k-150k","150k+")))</f>
        <v>100k-150k</v>
      </c>
      <c r="O489" s="1" t="str">
        <f>IF(tbl_data[[#This Row],[Price_USD]]&gt;=87089,"High",
IF(tbl_data[[#This Row],[Price_USD]]&gt;=56807,"Mid","Low"))</f>
        <v>High</v>
      </c>
      <c r="P489" s="1" t="str">
        <f>IF(tbl_data[[#This Row],[Transmission]]="Automatic","Auto","Manual")</f>
        <v>Auto</v>
      </c>
      <c r="Q489" s="1" t="str">
        <f>IFERROR(IF(VALUE(tbl_data[[#This Row],[Engine_CC]])=0,"",VALUE(tbl_data[[#This Row],[Price_USD]])/VALUE(tbl_data[[#This Row],[Engine_CC]])),"")</f>
        <v/>
      </c>
      <c r="R489" s="1" t="str">
        <f>TRIM(tbl_data[[#This Row],[Brand]])</f>
        <v>Ford</v>
      </c>
      <c r="S489" s="1">
        <f>_xlfn.NUMBERVALUE(tbl_data[[#This Row],[Price_USD]],".",",")</f>
        <v>112526.69</v>
      </c>
    </row>
    <row r="490" spans="1:19" x14ac:dyDescent="0.3">
      <c r="A490">
        <v>489</v>
      </c>
      <c r="B490" t="s">
        <v>19</v>
      </c>
      <c r="C490">
        <v>2022</v>
      </c>
      <c r="D490">
        <v>195868</v>
      </c>
      <c r="E490" t="s">
        <v>31</v>
      </c>
      <c r="F490" t="s">
        <v>21</v>
      </c>
      <c r="G490" t="s">
        <v>15</v>
      </c>
      <c r="H490">
        <v>2831</v>
      </c>
      <c r="I490" t="s">
        <v>1442</v>
      </c>
      <c r="J490" t="s">
        <v>1443</v>
      </c>
      <c r="K490">
        <v>4</v>
      </c>
      <c r="L490" t="s">
        <v>1444</v>
      </c>
      <c r="M490" s="1" t="str">
        <f>TEXT(DATE(tbl_data[[#This Row],[Model_Year]],1,1),"yyyy")</f>
        <v>2022</v>
      </c>
      <c r="N490" s="1" t="str">
        <f>IF(tbl_data[[#This Row],[Kilometers_Driven]]&lt;50000,"&lt;50k",
IF(tbl_data[[#This Row],[Kilometers_Driven]]&lt;100000,"50k-100k",
IF(tbl_data[[#This Row],[Kilometers_Driven]]&lt;150000,"100k-150k","150k+")))</f>
        <v>150k+</v>
      </c>
      <c r="O490" s="1" t="str">
        <f>IF(tbl_data[[#This Row],[Price_USD]]&gt;=87089,"High",
IF(tbl_data[[#This Row],[Price_USD]]&gt;=56807,"Mid","Low"))</f>
        <v>High</v>
      </c>
      <c r="P490" s="1" t="str">
        <f>IF(tbl_data[[#This Row],[Transmission]]="Automatic","Auto","Manual")</f>
        <v>Auto</v>
      </c>
      <c r="Q490" s="1" t="str">
        <f>IFERROR(IF(VALUE(tbl_data[[#This Row],[Engine_CC]])=0,"",VALUE(tbl_data[[#This Row],[Price_USD]])/VALUE(tbl_data[[#This Row],[Engine_CC]])),"")</f>
        <v/>
      </c>
      <c r="R490" s="1" t="str">
        <f>TRIM(tbl_data[[#This Row],[Brand]])</f>
        <v>BMW</v>
      </c>
      <c r="S490" s="1">
        <f>_xlfn.NUMBERVALUE(tbl_data[[#This Row],[Price_USD]],".",",")</f>
        <v>63858.75</v>
      </c>
    </row>
    <row r="491" spans="1:19" x14ac:dyDescent="0.3">
      <c r="A491">
        <v>490</v>
      </c>
      <c r="B491" t="s">
        <v>76</v>
      </c>
      <c r="C491">
        <v>2022</v>
      </c>
      <c r="D491">
        <v>85073</v>
      </c>
      <c r="E491" t="s">
        <v>13</v>
      </c>
      <c r="F491" t="s">
        <v>14</v>
      </c>
      <c r="G491" t="s">
        <v>15</v>
      </c>
      <c r="H491">
        <v>1122</v>
      </c>
      <c r="I491" t="s">
        <v>1445</v>
      </c>
      <c r="J491" t="s">
        <v>1446</v>
      </c>
      <c r="K491">
        <v>6</v>
      </c>
      <c r="L491" t="s">
        <v>1447</v>
      </c>
      <c r="M491" s="1" t="str">
        <f>TEXT(DATE(tbl_data[[#This Row],[Model_Year]],1,1),"yyyy")</f>
        <v>2022</v>
      </c>
      <c r="N491" s="1" t="str">
        <f>IF(tbl_data[[#This Row],[Kilometers_Driven]]&lt;50000,"&lt;50k",
IF(tbl_data[[#This Row],[Kilometers_Driven]]&lt;100000,"50k-100k",
IF(tbl_data[[#This Row],[Kilometers_Driven]]&lt;150000,"100k-150k","150k+")))</f>
        <v>50k-100k</v>
      </c>
      <c r="O491" s="1" t="str">
        <f>IF(tbl_data[[#This Row],[Price_USD]]&gt;=87089,"High",
IF(tbl_data[[#This Row],[Price_USD]]&gt;=56807,"Mid","Low"))</f>
        <v>High</v>
      </c>
      <c r="P491" s="1" t="str">
        <f>IF(tbl_data[[#This Row],[Transmission]]="Automatic","Auto","Manual")</f>
        <v>Manual</v>
      </c>
      <c r="Q491" s="1" t="str">
        <f>IFERROR(IF(VALUE(tbl_data[[#This Row],[Engine_CC]])=0,"",VALUE(tbl_data[[#This Row],[Price_USD]])/VALUE(tbl_data[[#This Row],[Engine_CC]])),"")</f>
        <v/>
      </c>
      <c r="R491" s="1" t="str">
        <f>TRIM(tbl_data[[#This Row],[Brand]])</f>
        <v>Honda</v>
      </c>
      <c r="S491" s="1">
        <f>_xlfn.NUMBERVALUE(tbl_data[[#This Row],[Price_USD]],".",",")</f>
        <v>45683.72</v>
      </c>
    </row>
    <row r="492" spans="1:19" x14ac:dyDescent="0.3">
      <c r="A492">
        <v>491</v>
      </c>
      <c r="B492" t="s">
        <v>92</v>
      </c>
      <c r="C492">
        <v>2018</v>
      </c>
      <c r="D492">
        <v>97197</v>
      </c>
      <c r="E492" t="s">
        <v>44</v>
      </c>
      <c r="F492" t="s">
        <v>21</v>
      </c>
      <c r="G492" t="s">
        <v>15</v>
      </c>
      <c r="H492">
        <v>3769</v>
      </c>
      <c r="I492" t="s">
        <v>1251</v>
      </c>
      <c r="J492" t="s">
        <v>1448</v>
      </c>
      <c r="K492">
        <v>2</v>
      </c>
      <c r="L492" t="s">
        <v>1449</v>
      </c>
      <c r="M492" s="1" t="str">
        <f>TEXT(DATE(tbl_data[[#This Row],[Model_Year]],1,1),"yyyy")</f>
        <v>2018</v>
      </c>
      <c r="N492" s="1" t="str">
        <f>IF(tbl_data[[#This Row],[Kilometers_Driven]]&lt;50000,"&lt;50k",
IF(tbl_data[[#This Row],[Kilometers_Driven]]&lt;100000,"50k-100k",
IF(tbl_data[[#This Row],[Kilometers_Driven]]&lt;150000,"100k-150k","150k+")))</f>
        <v>50k-100k</v>
      </c>
      <c r="O492" s="1" t="str">
        <f>IF(tbl_data[[#This Row],[Price_USD]]&gt;=87089,"High",
IF(tbl_data[[#This Row],[Price_USD]]&gt;=56807,"Mid","Low"))</f>
        <v>High</v>
      </c>
      <c r="P492" s="1" t="str">
        <f>IF(tbl_data[[#This Row],[Transmission]]="Automatic","Auto","Manual")</f>
        <v>Auto</v>
      </c>
      <c r="Q492" s="1" t="str">
        <f>IFERROR(IF(VALUE(tbl_data[[#This Row],[Engine_CC]])=0,"",VALUE(tbl_data[[#This Row],[Price_USD]])/VALUE(tbl_data[[#This Row],[Engine_CC]])),"")</f>
        <v/>
      </c>
      <c r="R492" s="1" t="str">
        <f>TRIM(tbl_data[[#This Row],[Brand]])</f>
        <v>Toyota</v>
      </c>
      <c r="S492" s="1">
        <f>_xlfn.NUMBERVALUE(tbl_data[[#This Row],[Price_USD]],".",",")</f>
        <v>105186.8</v>
      </c>
    </row>
    <row r="493" spans="1:19" x14ac:dyDescent="0.3">
      <c r="A493">
        <v>492</v>
      </c>
      <c r="B493" t="s">
        <v>12</v>
      </c>
      <c r="C493">
        <v>2019</v>
      </c>
      <c r="D493">
        <v>69429</v>
      </c>
      <c r="E493" t="s">
        <v>13</v>
      </c>
      <c r="F493" t="s">
        <v>21</v>
      </c>
      <c r="G493" t="s">
        <v>15</v>
      </c>
      <c r="H493">
        <v>1703</v>
      </c>
      <c r="I493" t="s">
        <v>1450</v>
      </c>
      <c r="J493" t="s">
        <v>1451</v>
      </c>
      <c r="K493">
        <v>4</v>
      </c>
      <c r="L493" t="s">
        <v>1452</v>
      </c>
      <c r="M493" s="1" t="str">
        <f>TEXT(DATE(tbl_data[[#This Row],[Model_Year]],1,1),"yyyy")</f>
        <v>2019</v>
      </c>
      <c r="N493" s="1" t="str">
        <f>IF(tbl_data[[#This Row],[Kilometers_Driven]]&lt;50000,"&lt;50k",
IF(tbl_data[[#This Row],[Kilometers_Driven]]&lt;100000,"50k-100k",
IF(tbl_data[[#This Row],[Kilometers_Driven]]&lt;150000,"100k-150k","150k+")))</f>
        <v>50k-100k</v>
      </c>
      <c r="O493" s="1" t="str">
        <f>IF(tbl_data[[#This Row],[Price_USD]]&gt;=87089,"High",
IF(tbl_data[[#This Row],[Price_USD]]&gt;=56807,"Mid","Low"))</f>
        <v>High</v>
      </c>
      <c r="P493" s="1" t="str">
        <f>IF(tbl_data[[#This Row],[Transmission]]="Automatic","Auto","Manual")</f>
        <v>Auto</v>
      </c>
      <c r="Q493" s="1" t="str">
        <f>IFERROR(IF(VALUE(tbl_data[[#This Row],[Engine_CC]])=0,"",VALUE(tbl_data[[#This Row],[Price_USD]])/VALUE(tbl_data[[#This Row],[Engine_CC]])),"")</f>
        <v/>
      </c>
      <c r="R493" s="1" t="str">
        <f>TRIM(tbl_data[[#This Row],[Brand]])</f>
        <v>Audi</v>
      </c>
      <c r="S493" s="1">
        <f>_xlfn.NUMBERVALUE(tbl_data[[#This Row],[Price_USD]],".",",")</f>
        <v>49213.86</v>
      </c>
    </row>
    <row r="494" spans="1:19" x14ac:dyDescent="0.3">
      <c r="A494">
        <v>493</v>
      </c>
      <c r="B494" t="s">
        <v>25</v>
      </c>
      <c r="C494">
        <v>2016</v>
      </c>
      <c r="D494">
        <v>109195</v>
      </c>
      <c r="E494" t="s">
        <v>20</v>
      </c>
      <c r="F494" t="s">
        <v>21</v>
      </c>
      <c r="G494" t="s">
        <v>32</v>
      </c>
      <c r="H494">
        <v>2341</v>
      </c>
      <c r="I494" t="s">
        <v>1453</v>
      </c>
      <c r="J494" t="s">
        <v>797</v>
      </c>
      <c r="K494">
        <v>7</v>
      </c>
      <c r="L494" t="s">
        <v>1454</v>
      </c>
      <c r="M494" s="1" t="str">
        <f>TEXT(DATE(tbl_data[[#This Row],[Model_Year]],1,1),"yyyy")</f>
        <v>2016</v>
      </c>
      <c r="N494" s="1" t="str">
        <f>IF(tbl_data[[#This Row],[Kilometers_Driven]]&lt;50000,"&lt;50k",
IF(tbl_data[[#This Row],[Kilometers_Driven]]&lt;100000,"50k-100k",
IF(tbl_data[[#This Row],[Kilometers_Driven]]&lt;150000,"100k-150k","150k+")))</f>
        <v>100k-150k</v>
      </c>
      <c r="O494" s="1" t="str">
        <f>IF(tbl_data[[#This Row],[Price_USD]]&gt;=87089,"High",
IF(tbl_data[[#This Row],[Price_USD]]&gt;=56807,"Mid","Low"))</f>
        <v>High</v>
      </c>
      <c r="P494" s="1" t="str">
        <f>IF(tbl_data[[#This Row],[Transmission]]="Automatic","Auto","Manual")</f>
        <v>Auto</v>
      </c>
      <c r="Q494" s="1" t="str">
        <f>IFERROR(IF(VALUE(tbl_data[[#This Row],[Engine_CC]])=0,"",VALUE(tbl_data[[#This Row],[Price_USD]])/VALUE(tbl_data[[#This Row],[Engine_CC]])),"")</f>
        <v/>
      </c>
      <c r="R494" s="1" t="str">
        <f>TRIM(tbl_data[[#This Row],[Brand]])</f>
        <v>Kia</v>
      </c>
      <c r="S494" s="1">
        <f>_xlfn.NUMBERVALUE(tbl_data[[#This Row],[Price_USD]],".",",")</f>
        <v>42196</v>
      </c>
    </row>
    <row r="495" spans="1:19" x14ac:dyDescent="0.3">
      <c r="A495">
        <v>494</v>
      </c>
      <c r="B495" t="s">
        <v>12</v>
      </c>
      <c r="C495">
        <v>2008</v>
      </c>
      <c r="D495">
        <v>197699</v>
      </c>
      <c r="E495" t="s">
        <v>44</v>
      </c>
      <c r="F495" t="s">
        <v>14</v>
      </c>
      <c r="G495" t="s">
        <v>26</v>
      </c>
      <c r="H495">
        <v>4303</v>
      </c>
      <c r="I495" t="s">
        <v>1455</v>
      </c>
      <c r="J495" t="s">
        <v>1456</v>
      </c>
      <c r="K495">
        <v>4</v>
      </c>
      <c r="L495" t="s">
        <v>1457</v>
      </c>
      <c r="M495" s="1" t="str">
        <f>TEXT(DATE(tbl_data[[#This Row],[Model_Year]],1,1),"yyyy")</f>
        <v>2008</v>
      </c>
      <c r="N495" s="1" t="str">
        <f>IF(tbl_data[[#This Row],[Kilometers_Driven]]&lt;50000,"&lt;50k",
IF(tbl_data[[#This Row],[Kilometers_Driven]]&lt;100000,"50k-100k",
IF(tbl_data[[#This Row],[Kilometers_Driven]]&lt;150000,"100k-150k","150k+")))</f>
        <v>150k+</v>
      </c>
      <c r="O495" s="1" t="str">
        <f>IF(tbl_data[[#This Row],[Price_USD]]&gt;=87089,"High",
IF(tbl_data[[#This Row],[Price_USD]]&gt;=56807,"Mid","Low"))</f>
        <v>High</v>
      </c>
      <c r="P495" s="1" t="str">
        <f>IF(tbl_data[[#This Row],[Transmission]]="Automatic","Auto","Manual")</f>
        <v>Manual</v>
      </c>
      <c r="Q495" s="1" t="str">
        <f>IFERROR(IF(VALUE(tbl_data[[#This Row],[Engine_CC]])=0,"",VALUE(tbl_data[[#This Row],[Price_USD]])/VALUE(tbl_data[[#This Row],[Engine_CC]])),"")</f>
        <v/>
      </c>
      <c r="R495" s="1" t="str">
        <f>TRIM(tbl_data[[#This Row],[Brand]])</f>
        <v>Audi</v>
      </c>
      <c r="S495" s="1">
        <f>_xlfn.NUMBERVALUE(tbl_data[[#This Row],[Price_USD]],".",",")</f>
        <v>27252.06</v>
      </c>
    </row>
    <row r="496" spans="1:19" x14ac:dyDescent="0.3">
      <c r="A496">
        <v>495</v>
      </c>
      <c r="B496" t="s">
        <v>30</v>
      </c>
      <c r="C496">
        <v>2007</v>
      </c>
      <c r="D496">
        <v>38848</v>
      </c>
      <c r="E496" t="s">
        <v>44</v>
      </c>
      <c r="F496" t="s">
        <v>14</v>
      </c>
      <c r="G496" t="s">
        <v>15</v>
      </c>
      <c r="H496">
        <v>3453</v>
      </c>
      <c r="I496" t="s">
        <v>1458</v>
      </c>
      <c r="J496" t="s">
        <v>1459</v>
      </c>
      <c r="K496">
        <v>2</v>
      </c>
      <c r="L496" t="s">
        <v>1460</v>
      </c>
      <c r="M496" s="1" t="str">
        <f>TEXT(DATE(tbl_data[[#This Row],[Model_Year]],1,1),"yyyy")</f>
        <v>2007</v>
      </c>
      <c r="N496" s="1" t="str">
        <f>IF(tbl_data[[#This Row],[Kilometers_Driven]]&lt;50000,"&lt;50k",
IF(tbl_data[[#This Row],[Kilometers_Driven]]&lt;100000,"50k-100k",
IF(tbl_data[[#This Row],[Kilometers_Driven]]&lt;150000,"100k-150k","150k+")))</f>
        <v>&lt;50k</v>
      </c>
      <c r="O496" s="1" t="str">
        <f>IF(tbl_data[[#This Row],[Price_USD]]&gt;=87089,"High",
IF(tbl_data[[#This Row],[Price_USD]]&gt;=56807,"Mid","Low"))</f>
        <v>High</v>
      </c>
      <c r="P496" s="1" t="str">
        <f>IF(tbl_data[[#This Row],[Transmission]]="Automatic","Auto","Manual")</f>
        <v>Manual</v>
      </c>
      <c r="Q496" s="1" t="str">
        <f>IFERROR(IF(VALUE(tbl_data[[#This Row],[Engine_CC]])=0,"",VALUE(tbl_data[[#This Row],[Price_USD]])/VALUE(tbl_data[[#This Row],[Engine_CC]])),"")</f>
        <v/>
      </c>
      <c r="R496" s="1" t="str">
        <f>TRIM(tbl_data[[#This Row],[Brand]])</f>
        <v>Mercedes</v>
      </c>
      <c r="S496" s="1">
        <f>_xlfn.NUMBERVALUE(tbl_data[[#This Row],[Price_USD]],".",",")</f>
        <v>47202.23</v>
      </c>
    </row>
    <row r="497" spans="1:19" x14ac:dyDescent="0.3">
      <c r="A497">
        <v>496</v>
      </c>
      <c r="B497" t="s">
        <v>92</v>
      </c>
      <c r="C497">
        <v>2024</v>
      </c>
      <c r="D497">
        <v>173876</v>
      </c>
      <c r="E497" t="s">
        <v>44</v>
      </c>
      <c r="F497" t="s">
        <v>14</v>
      </c>
      <c r="G497" t="s">
        <v>15</v>
      </c>
      <c r="H497">
        <v>3276</v>
      </c>
      <c r="I497" t="s">
        <v>1461</v>
      </c>
      <c r="J497" t="s">
        <v>576</v>
      </c>
      <c r="K497">
        <v>5</v>
      </c>
      <c r="L497" t="s">
        <v>1462</v>
      </c>
      <c r="M497" s="1" t="str">
        <f>TEXT(DATE(tbl_data[[#This Row],[Model_Year]],1,1),"yyyy")</f>
        <v>2024</v>
      </c>
      <c r="N497" s="1" t="str">
        <f>IF(tbl_data[[#This Row],[Kilometers_Driven]]&lt;50000,"&lt;50k",
IF(tbl_data[[#This Row],[Kilometers_Driven]]&lt;100000,"50k-100k",
IF(tbl_data[[#This Row],[Kilometers_Driven]]&lt;150000,"100k-150k","150k+")))</f>
        <v>150k+</v>
      </c>
      <c r="O497" s="1" t="str">
        <f>IF(tbl_data[[#This Row],[Price_USD]]&gt;=87089,"High",
IF(tbl_data[[#This Row],[Price_USD]]&gt;=56807,"Mid","Low"))</f>
        <v>High</v>
      </c>
      <c r="P497" s="1" t="str">
        <f>IF(tbl_data[[#This Row],[Transmission]]="Automatic","Auto","Manual")</f>
        <v>Manual</v>
      </c>
      <c r="Q497" s="1" t="str">
        <f>IFERROR(IF(VALUE(tbl_data[[#This Row],[Engine_CC]])=0,"",VALUE(tbl_data[[#This Row],[Price_USD]])/VALUE(tbl_data[[#This Row],[Engine_CC]])),"")</f>
        <v/>
      </c>
      <c r="R497" s="1" t="str">
        <f>TRIM(tbl_data[[#This Row],[Brand]])</f>
        <v>Toyota</v>
      </c>
      <c r="S497" s="1">
        <f>_xlfn.NUMBERVALUE(tbl_data[[#This Row],[Price_USD]],".",",")</f>
        <v>40052.07</v>
      </c>
    </row>
    <row r="498" spans="1:19" x14ac:dyDescent="0.3">
      <c r="A498">
        <v>497</v>
      </c>
      <c r="B498" t="s">
        <v>12</v>
      </c>
      <c r="C498">
        <v>2016</v>
      </c>
      <c r="D498">
        <v>151451</v>
      </c>
      <c r="E498" t="s">
        <v>44</v>
      </c>
      <c r="F498" t="s">
        <v>21</v>
      </c>
      <c r="G498" t="s">
        <v>32</v>
      </c>
      <c r="H498">
        <v>4140</v>
      </c>
      <c r="I498" t="s">
        <v>1463</v>
      </c>
      <c r="J498" t="s">
        <v>1464</v>
      </c>
      <c r="K498">
        <v>6</v>
      </c>
      <c r="L498" t="s">
        <v>1465</v>
      </c>
      <c r="M498" s="1" t="str">
        <f>TEXT(DATE(tbl_data[[#This Row],[Model_Year]],1,1),"yyyy")</f>
        <v>2016</v>
      </c>
      <c r="N498" s="1" t="str">
        <f>IF(tbl_data[[#This Row],[Kilometers_Driven]]&lt;50000,"&lt;50k",
IF(tbl_data[[#This Row],[Kilometers_Driven]]&lt;100000,"50k-100k",
IF(tbl_data[[#This Row],[Kilometers_Driven]]&lt;150000,"100k-150k","150k+")))</f>
        <v>150k+</v>
      </c>
      <c r="O498" s="1" t="str">
        <f>IF(tbl_data[[#This Row],[Price_USD]]&gt;=87089,"High",
IF(tbl_data[[#This Row],[Price_USD]]&gt;=56807,"Mid","Low"))</f>
        <v>High</v>
      </c>
      <c r="P498" s="1" t="str">
        <f>IF(tbl_data[[#This Row],[Transmission]]="Automatic","Auto","Manual")</f>
        <v>Auto</v>
      </c>
      <c r="Q498" s="1" t="str">
        <f>IFERROR(IF(VALUE(tbl_data[[#This Row],[Engine_CC]])=0,"",VALUE(tbl_data[[#This Row],[Price_USD]])/VALUE(tbl_data[[#This Row],[Engine_CC]])),"")</f>
        <v/>
      </c>
      <c r="R498" s="1" t="str">
        <f>TRIM(tbl_data[[#This Row],[Brand]])</f>
        <v>Audi</v>
      </c>
      <c r="S498" s="1">
        <f>_xlfn.NUMBERVALUE(tbl_data[[#This Row],[Price_USD]],".",",")</f>
        <v>82244.56</v>
      </c>
    </row>
    <row r="499" spans="1:19" x14ac:dyDescent="0.3">
      <c r="A499">
        <v>498</v>
      </c>
      <c r="B499" t="s">
        <v>12</v>
      </c>
      <c r="C499">
        <v>2011</v>
      </c>
      <c r="D499">
        <v>195736</v>
      </c>
      <c r="E499" t="s">
        <v>20</v>
      </c>
      <c r="F499" t="s">
        <v>14</v>
      </c>
      <c r="G499" t="s">
        <v>32</v>
      </c>
      <c r="H499">
        <v>1941</v>
      </c>
      <c r="I499" t="s">
        <v>1466</v>
      </c>
      <c r="J499" t="s">
        <v>1467</v>
      </c>
      <c r="K499">
        <v>7</v>
      </c>
      <c r="L499" t="s">
        <v>1468</v>
      </c>
      <c r="M499" s="1" t="str">
        <f>TEXT(DATE(tbl_data[[#This Row],[Model_Year]],1,1),"yyyy")</f>
        <v>2011</v>
      </c>
      <c r="N499" s="1" t="str">
        <f>IF(tbl_data[[#This Row],[Kilometers_Driven]]&lt;50000,"&lt;50k",
IF(tbl_data[[#This Row],[Kilometers_Driven]]&lt;100000,"50k-100k",
IF(tbl_data[[#This Row],[Kilometers_Driven]]&lt;150000,"100k-150k","150k+")))</f>
        <v>150k+</v>
      </c>
      <c r="O499" s="1" t="str">
        <f>IF(tbl_data[[#This Row],[Price_USD]]&gt;=87089,"High",
IF(tbl_data[[#This Row],[Price_USD]]&gt;=56807,"Mid","Low"))</f>
        <v>High</v>
      </c>
      <c r="P499" s="1" t="str">
        <f>IF(tbl_data[[#This Row],[Transmission]]="Automatic","Auto","Manual")</f>
        <v>Manual</v>
      </c>
      <c r="Q499" s="1" t="str">
        <f>IFERROR(IF(VALUE(tbl_data[[#This Row],[Engine_CC]])=0,"",VALUE(tbl_data[[#This Row],[Price_USD]])/VALUE(tbl_data[[#This Row],[Engine_CC]])),"")</f>
        <v/>
      </c>
      <c r="R499" s="1" t="str">
        <f>TRIM(tbl_data[[#This Row],[Brand]])</f>
        <v>Audi</v>
      </c>
      <c r="S499" s="1">
        <f>_xlfn.NUMBERVALUE(tbl_data[[#This Row],[Price_USD]],".",",")</f>
        <v>36881.18</v>
      </c>
    </row>
    <row r="500" spans="1:19" x14ac:dyDescent="0.3">
      <c r="A500">
        <v>499</v>
      </c>
      <c r="B500" t="s">
        <v>102</v>
      </c>
      <c r="C500">
        <v>2015</v>
      </c>
      <c r="D500">
        <v>32766</v>
      </c>
      <c r="E500" t="s">
        <v>44</v>
      </c>
      <c r="F500" t="s">
        <v>21</v>
      </c>
      <c r="G500" t="s">
        <v>26</v>
      </c>
      <c r="H500">
        <v>1649</v>
      </c>
      <c r="I500" t="s">
        <v>1469</v>
      </c>
      <c r="J500" t="s">
        <v>1470</v>
      </c>
      <c r="K500">
        <v>4</v>
      </c>
      <c r="L500" t="s">
        <v>1471</v>
      </c>
      <c r="M500" s="1" t="str">
        <f>TEXT(DATE(tbl_data[[#This Row],[Model_Year]],1,1),"yyyy")</f>
        <v>2015</v>
      </c>
      <c r="N500" s="1" t="str">
        <f>IF(tbl_data[[#This Row],[Kilometers_Driven]]&lt;50000,"&lt;50k",
IF(tbl_data[[#This Row],[Kilometers_Driven]]&lt;100000,"50k-100k",
IF(tbl_data[[#This Row],[Kilometers_Driven]]&lt;150000,"100k-150k","150k+")))</f>
        <v>&lt;50k</v>
      </c>
      <c r="O500" s="1" t="str">
        <f>IF(tbl_data[[#This Row],[Price_USD]]&gt;=87089,"High",
IF(tbl_data[[#This Row],[Price_USD]]&gt;=56807,"Mid","Low"))</f>
        <v>High</v>
      </c>
      <c r="P500" s="1" t="str">
        <f>IF(tbl_data[[#This Row],[Transmission]]="Automatic","Auto","Manual")</f>
        <v>Auto</v>
      </c>
      <c r="Q500" s="1" t="str">
        <f>IFERROR(IF(VALUE(tbl_data[[#This Row],[Engine_CC]])=0,"",VALUE(tbl_data[[#This Row],[Price_USD]])/VALUE(tbl_data[[#This Row],[Engine_CC]])),"")</f>
        <v/>
      </c>
      <c r="R500" s="1" t="str">
        <f>TRIM(tbl_data[[#This Row],[Brand]])</f>
        <v>Nissan</v>
      </c>
      <c r="S500" s="1">
        <f>_xlfn.NUMBERVALUE(tbl_data[[#This Row],[Price_USD]],".",",")</f>
        <v>70532.37</v>
      </c>
    </row>
    <row r="501" spans="1:19" x14ac:dyDescent="0.3">
      <c r="A501">
        <v>500</v>
      </c>
      <c r="B501" t="s">
        <v>43</v>
      </c>
      <c r="C501">
        <v>2005</v>
      </c>
      <c r="D501">
        <v>73099</v>
      </c>
      <c r="E501" t="s">
        <v>31</v>
      </c>
      <c r="F501" t="s">
        <v>21</v>
      </c>
      <c r="G501" t="s">
        <v>32</v>
      </c>
      <c r="H501">
        <v>1166</v>
      </c>
      <c r="I501" t="s">
        <v>1472</v>
      </c>
      <c r="J501" t="s">
        <v>1473</v>
      </c>
      <c r="K501">
        <v>2</v>
      </c>
      <c r="L501" t="s">
        <v>1474</v>
      </c>
      <c r="M501" s="1" t="str">
        <f>TEXT(DATE(tbl_data[[#This Row],[Model_Year]],1,1),"yyyy")</f>
        <v>2005</v>
      </c>
      <c r="N501" s="1" t="str">
        <f>IF(tbl_data[[#This Row],[Kilometers_Driven]]&lt;50000,"&lt;50k",
IF(tbl_data[[#This Row],[Kilometers_Driven]]&lt;100000,"50k-100k",
IF(tbl_data[[#This Row],[Kilometers_Driven]]&lt;150000,"100k-150k","150k+")))</f>
        <v>50k-100k</v>
      </c>
      <c r="O501" s="1" t="str">
        <f>IF(tbl_data[[#This Row],[Price_USD]]&gt;=87089,"High",
IF(tbl_data[[#This Row],[Price_USD]]&gt;=56807,"Mid","Low"))</f>
        <v>High</v>
      </c>
      <c r="P501" s="1" t="str">
        <f>IF(tbl_data[[#This Row],[Transmission]]="Automatic","Auto","Manual")</f>
        <v>Auto</v>
      </c>
      <c r="Q501" s="1" t="str">
        <f>IFERROR(IF(VALUE(tbl_data[[#This Row],[Engine_CC]])=0,"",VALUE(tbl_data[[#This Row],[Price_USD]])/VALUE(tbl_data[[#This Row],[Engine_CC]])),"")</f>
        <v/>
      </c>
      <c r="R501" s="1" t="str">
        <f>TRIM(tbl_data[[#This Row],[Brand]])</f>
        <v>Ford</v>
      </c>
      <c r="S501" s="1">
        <f>_xlfn.NUMBERVALUE(tbl_data[[#This Row],[Price_USD]],".",",")</f>
        <v>10709.38</v>
      </c>
    </row>
    <row r="502" spans="1:19" x14ac:dyDescent="0.3">
      <c r="A502">
        <v>501</v>
      </c>
      <c r="B502" t="s">
        <v>102</v>
      </c>
      <c r="C502">
        <v>2010</v>
      </c>
      <c r="D502">
        <v>172132</v>
      </c>
      <c r="E502" t="s">
        <v>44</v>
      </c>
      <c r="F502" t="s">
        <v>14</v>
      </c>
      <c r="G502" t="s">
        <v>26</v>
      </c>
      <c r="H502">
        <v>3697</v>
      </c>
      <c r="I502" t="s">
        <v>1475</v>
      </c>
      <c r="J502" t="s">
        <v>1476</v>
      </c>
      <c r="K502">
        <v>2</v>
      </c>
      <c r="L502" t="s">
        <v>1477</v>
      </c>
      <c r="M502" s="1" t="str">
        <f>TEXT(DATE(tbl_data[[#This Row],[Model_Year]],1,1),"yyyy")</f>
        <v>2010</v>
      </c>
      <c r="N502" s="1" t="str">
        <f>IF(tbl_data[[#This Row],[Kilometers_Driven]]&lt;50000,"&lt;50k",
IF(tbl_data[[#This Row],[Kilometers_Driven]]&lt;100000,"50k-100k",
IF(tbl_data[[#This Row],[Kilometers_Driven]]&lt;150000,"100k-150k","150k+")))</f>
        <v>150k+</v>
      </c>
      <c r="O502" s="1" t="str">
        <f>IF(tbl_data[[#This Row],[Price_USD]]&gt;=87089,"High",
IF(tbl_data[[#This Row],[Price_USD]]&gt;=56807,"Mid","Low"))</f>
        <v>High</v>
      </c>
      <c r="P502" s="1" t="str">
        <f>IF(tbl_data[[#This Row],[Transmission]]="Automatic","Auto","Manual")</f>
        <v>Manual</v>
      </c>
      <c r="Q502" s="1" t="str">
        <f>IFERROR(IF(VALUE(tbl_data[[#This Row],[Engine_CC]])=0,"",VALUE(tbl_data[[#This Row],[Price_USD]])/VALUE(tbl_data[[#This Row],[Engine_CC]])),"")</f>
        <v/>
      </c>
      <c r="R502" s="1" t="str">
        <f>TRIM(tbl_data[[#This Row],[Brand]])</f>
        <v>Nissan</v>
      </c>
      <c r="S502" s="1">
        <f>_xlfn.NUMBERVALUE(tbl_data[[#This Row],[Price_USD]],".",",")</f>
        <v>25380.83</v>
      </c>
    </row>
    <row r="503" spans="1:19" x14ac:dyDescent="0.3">
      <c r="A503">
        <v>502</v>
      </c>
      <c r="B503" t="s">
        <v>92</v>
      </c>
      <c r="C503">
        <v>2019</v>
      </c>
      <c r="D503">
        <v>74122</v>
      </c>
      <c r="E503" t="s">
        <v>20</v>
      </c>
      <c r="F503" t="s">
        <v>14</v>
      </c>
      <c r="G503" t="s">
        <v>15</v>
      </c>
      <c r="H503">
        <v>1889</v>
      </c>
      <c r="I503" t="s">
        <v>1478</v>
      </c>
      <c r="J503" t="s">
        <v>1479</v>
      </c>
      <c r="K503">
        <v>6</v>
      </c>
      <c r="L503" t="s">
        <v>1480</v>
      </c>
      <c r="M503" s="1" t="str">
        <f>TEXT(DATE(tbl_data[[#This Row],[Model_Year]],1,1),"yyyy")</f>
        <v>2019</v>
      </c>
      <c r="N503" s="1" t="str">
        <f>IF(tbl_data[[#This Row],[Kilometers_Driven]]&lt;50000,"&lt;50k",
IF(tbl_data[[#This Row],[Kilometers_Driven]]&lt;100000,"50k-100k",
IF(tbl_data[[#This Row],[Kilometers_Driven]]&lt;150000,"100k-150k","150k+")))</f>
        <v>50k-100k</v>
      </c>
      <c r="O503" s="1" t="str">
        <f>IF(tbl_data[[#This Row],[Price_USD]]&gt;=87089,"High",
IF(tbl_data[[#This Row],[Price_USD]]&gt;=56807,"Mid","Low"))</f>
        <v>High</v>
      </c>
      <c r="P503" s="1" t="str">
        <f>IF(tbl_data[[#This Row],[Transmission]]="Automatic","Auto","Manual")</f>
        <v>Manual</v>
      </c>
      <c r="Q503" s="1" t="str">
        <f>IFERROR(IF(VALUE(tbl_data[[#This Row],[Engine_CC]])=0,"",VALUE(tbl_data[[#This Row],[Price_USD]])/VALUE(tbl_data[[#This Row],[Engine_CC]])),"")</f>
        <v/>
      </c>
      <c r="R503" s="1" t="str">
        <f>TRIM(tbl_data[[#This Row],[Brand]])</f>
        <v>Toyota</v>
      </c>
      <c r="S503" s="1">
        <f>_xlfn.NUMBERVALUE(tbl_data[[#This Row],[Price_USD]],".",",")</f>
        <v>50666.42</v>
      </c>
    </row>
    <row r="504" spans="1:19" x14ac:dyDescent="0.3">
      <c r="A504">
        <v>503</v>
      </c>
      <c r="B504" t="s">
        <v>92</v>
      </c>
      <c r="C504">
        <v>2019</v>
      </c>
      <c r="D504">
        <v>152159</v>
      </c>
      <c r="E504" t="s">
        <v>44</v>
      </c>
      <c r="F504" t="s">
        <v>21</v>
      </c>
      <c r="G504" t="s">
        <v>15</v>
      </c>
      <c r="H504">
        <v>4841</v>
      </c>
      <c r="I504" t="s">
        <v>1481</v>
      </c>
      <c r="J504" t="s">
        <v>1106</v>
      </c>
      <c r="K504">
        <v>2</v>
      </c>
      <c r="L504" t="s">
        <v>1482</v>
      </c>
      <c r="M504" s="1" t="str">
        <f>TEXT(DATE(tbl_data[[#This Row],[Model_Year]],1,1),"yyyy")</f>
        <v>2019</v>
      </c>
      <c r="N504" s="1" t="str">
        <f>IF(tbl_data[[#This Row],[Kilometers_Driven]]&lt;50000,"&lt;50k",
IF(tbl_data[[#This Row],[Kilometers_Driven]]&lt;100000,"50k-100k",
IF(tbl_data[[#This Row],[Kilometers_Driven]]&lt;150000,"100k-150k","150k+")))</f>
        <v>150k+</v>
      </c>
      <c r="O504" s="1" t="str">
        <f>IF(tbl_data[[#This Row],[Price_USD]]&gt;=87089,"High",
IF(tbl_data[[#This Row],[Price_USD]]&gt;=56807,"Mid","Low"))</f>
        <v>High</v>
      </c>
      <c r="P504" s="1" t="str">
        <f>IF(tbl_data[[#This Row],[Transmission]]="Automatic","Auto","Manual")</f>
        <v>Auto</v>
      </c>
      <c r="Q504" s="1" t="str">
        <f>IFERROR(IF(VALUE(tbl_data[[#This Row],[Engine_CC]])=0,"",VALUE(tbl_data[[#This Row],[Price_USD]])/VALUE(tbl_data[[#This Row],[Engine_CC]])),"")</f>
        <v/>
      </c>
      <c r="R504" s="1" t="str">
        <f>TRIM(tbl_data[[#This Row],[Brand]])</f>
        <v>Toyota</v>
      </c>
      <c r="S504" s="1">
        <f>_xlfn.NUMBERVALUE(tbl_data[[#This Row],[Price_USD]],".",",")</f>
        <v>112623.06</v>
      </c>
    </row>
    <row r="505" spans="1:19" x14ac:dyDescent="0.3">
      <c r="A505">
        <v>504</v>
      </c>
      <c r="B505" t="s">
        <v>19</v>
      </c>
      <c r="C505">
        <v>2023</v>
      </c>
      <c r="D505">
        <v>53868</v>
      </c>
      <c r="E505" t="s">
        <v>31</v>
      </c>
      <c r="F505" t="s">
        <v>21</v>
      </c>
      <c r="G505" t="s">
        <v>26</v>
      </c>
      <c r="H505">
        <v>2838</v>
      </c>
      <c r="I505" t="s">
        <v>1483</v>
      </c>
      <c r="J505" t="s">
        <v>1484</v>
      </c>
      <c r="K505">
        <v>2</v>
      </c>
      <c r="L505" t="s">
        <v>1485</v>
      </c>
      <c r="M505" s="1" t="str">
        <f>TEXT(DATE(tbl_data[[#This Row],[Model_Year]],1,1),"yyyy")</f>
        <v>2023</v>
      </c>
      <c r="N505" s="1" t="str">
        <f>IF(tbl_data[[#This Row],[Kilometers_Driven]]&lt;50000,"&lt;50k",
IF(tbl_data[[#This Row],[Kilometers_Driven]]&lt;100000,"50k-100k",
IF(tbl_data[[#This Row],[Kilometers_Driven]]&lt;150000,"100k-150k","150k+")))</f>
        <v>50k-100k</v>
      </c>
      <c r="O505" s="1" t="str">
        <f>IF(tbl_data[[#This Row],[Price_USD]]&gt;=87089,"High",
IF(tbl_data[[#This Row],[Price_USD]]&gt;=56807,"Mid","Low"))</f>
        <v>High</v>
      </c>
      <c r="P505" s="1" t="str">
        <f>IF(tbl_data[[#This Row],[Transmission]]="Automatic","Auto","Manual")</f>
        <v>Auto</v>
      </c>
      <c r="Q505" s="1" t="str">
        <f>IFERROR(IF(VALUE(tbl_data[[#This Row],[Engine_CC]])=0,"",VALUE(tbl_data[[#This Row],[Price_USD]])/VALUE(tbl_data[[#This Row],[Engine_CC]])),"")</f>
        <v/>
      </c>
      <c r="R505" s="1" t="str">
        <f>TRIM(tbl_data[[#This Row],[Brand]])</f>
        <v>BMW</v>
      </c>
      <c r="S505" s="1">
        <f>_xlfn.NUMBERVALUE(tbl_data[[#This Row],[Price_USD]],".",",")</f>
        <v>47138.48</v>
      </c>
    </row>
    <row r="506" spans="1:19" x14ac:dyDescent="0.3">
      <c r="A506">
        <v>505</v>
      </c>
      <c r="B506" t="s">
        <v>102</v>
      </c>
      <c r="C506">
        <v>2015</v>
      </c>
      <c r="D506">
        <v>124119</v>
      </c>
      <c r="E506" t="s">
        <v>20</v>
      </c>
      <c r="F506" t="s">
        <v>14</v>
      </c>
      <c r="G506" t="s">
        <v>32</v>
      </c>
      <c r="H506">
        <v>3660</v>
      </c>
      <c r="I506" t="s">
        <v>1486</v>
      </c>
      <c r="J506" t="s">
        <v>1487</v>
      </c>
      <c r="K506">
        <v>6</v>
      </c>
      <c r="L506" t="s">
        <v>1488</v>
      </c>
      <c r="M506" s="1" t="str">
        <f>TEXT(DATE(tbl_data[[#This Row],[Model_Year]],1,1),"yyyy")</f>
        <v>2015</v>
      </c>
      <c r="N506" s="1" t="str">
        <f>IF(tbl_data[[#This Row],[Kilometers_Driven]]&lt;50000,"&lt;50k",
IF(tbl_data[[#This Row],[Kilometers_Driven]]&lt;100000,"50k-100k",
IF(tbl_data[[#This Row],[Kilometers_Driven]]&lt;150000,"100k-150k","150k+")))</f>
        <v>100k-150k</v>
      </c>
      <c r="O506" s="1" t="str">
        <f>IF(tbl_data[[#This Row],[Price_USD]]&gt;=87089,"High",
IF(tbl_data[[#This Row],[Price_USD]]&gt;=56807,"Mid","Low"))</f>
        <v>High</v>
      </c>
      <c r="P506" s="1" t="str">
        <f>IF(tbl_data[[#This Row],[Transmission]]="Automatic","Auto","Manual")</f>
        <v>Manual</v>
      </c>
      <c r="Q506" s="1" t="str">
        <f>IFERROR(IF(VALUE(tbl_data[[#This Row],[Engine_CC]])=0,"",VALUE(tbl_data[[#This Row],[Price_USD]])/VALUE(tbl_data[[#This Row],[Engine_CC]])),"")</f>
        <v/>
      </c>
      <c r="R506" s="1" t="str">
        <f>TRIM(tbl_data[[#This Row],[Brand]])</f>
        <v>Nissan</v>
      </c>
      <c r="S506" s="1">
        <f>_xlfn.NUMBERVALUE(tbl_data[[#This Row],[Price_USD]],".",",")</f>
        <v>80696.67</v>
      </c>
    </row>
    <row r="507" spans="1:19" x14ac:dyDescent="0.3">
      <c r="A507">
        <v>506</v>
      </c>
      <c r="B507" t="s">
        <v>69</v>
      </c>
      <c r="C507">
        <v>2006</v>
      </c>
      <c r="D507">
        <v>159297</v>
      </c>
      <c r="E507" t="s">
        <v>20</v>
      </c>
      <c r="F507" t="s">
        <v>14</v>
      </c>
      <c r="G507" t="s">
        <v>26</v>
      </c>
      <c r="H507">
        <v>2654</v>
      </c>
      <c r="I507" t="s">
        <v>1489</v>
      </c>
      <c r="J507" t="s">
        <v>1490</v>
      </c>
      <c r="K507">
        <v>7</v>
      </c>
      <c r="L507" t="s">
        <v>1491</v>
      </c>
      <c r="M507" s="1" t="str">
        <f>TEXT(DATE(tbl_data[[#This Row],[Model_Year]],1,1),"yyyy")</f>
        <v>2006</v>
      </c>
      <c r="N507" s="1" t="str">
        <f>IF(tbl_data[[#This Row],[Kilometers_Driven]]&lt;50000,"&lt;50k",
IF(tbl_data[[#This Row],[Kilometers_Driven]]&lt;100000,"50k-100k",
IF(tbl_data[[#This Row],[Kilometers_Driven]]&lt;150000,"100k-150k","150k+")))</f>
        <v>150k+</v>
      </c>
      <c r="O507" s="1" t="str">
        <f>IF(tbl_data[[#This Row],[Price_USD]]&gt;=87089,"High",
IF(tbl_data[[#This Row],[Price_USD]]&gt;=56807,"Mid","Low"))</f>
        <v>High</v>
      </c>
      <c r="P507" s="1" t="str">
        <f>IF(tbl_data[[#This Row],[Transmission]]="Automatic","Auto","Manual")</f>
        <v>Manual</v>
      </c>
      <c r="Q507" s="1" t="str">
        <f>IFERROR(IF(VALUE(tbl_data[[#This Row],[Engine_CC]])=0,"",VALUE(tbl_data[[#This Row],[Price_USD]])/VALUE(tbl_data[[#This Row],[Engine_CC]])),"")</f>
        <v/>
      </c>
      <c r="R507" s="1" t="str">
        <f>TRIM(tbl_data[[#This Row],[Brand]])</f>
        <v>Hyundai</v>
      </c>
      <c r="S507" s="1">
        <f>_xlfn.NUMBERVALUE(tbl_data[[#This Row],[Price_USD]],".",",")</f>
        <v>32845.21</v>
      </c>
    </row>
    <row r="508" spans="1:19" x14ac:dyDescent="0.3">
      <c r="A508">
        <v>507</v>
      </c>
      <c r="B508" t="s">
        <v>43</v>
      </c>
      <c r="C508">
        <v>2018</v>
      </c>
      <c r="D508">
        <v>100286</v>
      </c>
      <c r="E508" t="s">
        <v>31</v>
      </c>
      <c r="F508" t="s">
        <v>14</v>
      </c>
      <c r="G508" t="s">
        <v>32</v>
      </c>
      <c r="H508">
        <v>1294</v>
      </c>
      <c r="I508" t="s">
        <v>1492</v>
      </c>
      <c r="J508" t="s">
        <v>1493</v>
      </c>
      <c r="K508">
        <v>5</v>
      </c>
      <c r="L508" t="s">
        <v>1494</v>
      </c>
      <c r="M508" s="1" t="str">
        <f>TEXT(DATE(tbl_data[[#This Row],[Model_Year]],1,1),"yyyy")</f>
        <v>2018</v>
      </c>
      <c r="N508" s="1" t="str">
        <f>IF(tbl_data[[#This Row],[Kilometers_Driven]]&lt;50000,"&lt;50k",
IF(tbl_data[[#This Row],[Kilometers_Driven]]&lt;100000,"50k-100k",
IF(tbl_data[[#This Row],[Kilometers_Driven]]&lt;150000,"100k-150k","150k+")))</f>
        <v>100k-150k</v>
      </c>
      <c r="O508" s="1" t="str">
        <f>IF(tbl_data[[#This Row],[Price_USD]]&gt;=87089,"High",
IF(tbl_data[[#This Row],[Price_USD]]&gt;=56807,"Mid","Low"))</f>
        <v>High</v>
      </c>
      <c r="P508" s="1" t="str">
        <f>IF(tbl_data[[#This Row],[Transmission]]="Automatic","Auto","Manual")</f>
        <v>Manual</v>
      </c>
      <c r="Q508" s="1" t="str">
        <f>IFERROR(IF(VALUE(tbl_data[[#This Row],[Engine_CC]])=0,"",VALUE(tbl_data[[#This Row],[Price_USD]])/VALUE(tbl_data[[#This Row],[Engine_CC]])),"")</f>
        <v/>
      </c>
      <c r="R508" s="1" t="str">
        <f>TRIM(tbl_data[[#This Row],[Brand]])</f>
        <v>Ford</v>
      </c>
      <c r="S508" s="1">
        <f>_xlfn.NUMBERVALUE(tbl_data[[#This Row],[Price_USD]],".",",")</f>
        <v>17862.93</v>
      </c>
    </row>
    <row r="509" spans="1:19" x14ac:dyDescent="0.3">
      <c r="A509">
        <v>508</v>
      </c>
      <c r="B509" t="s">
        <v>92</v>
      </c>
      <c r="C509">
        <v>2006</v>
      </c>
      <c r="D509">
        <v>11643</v>
      </c>
      <c r="E509" t="s">
        <v>31</v>
      </c>
      <c r="F509" t="s">
        <v>21</v>
      </c>
      <c r="G509" t="s">
        <v>15</v>
      </c>
      <c r="H509">
        <v>3982</v>
      </c>
      <c r="I509" t="s">
        <v>1495</v>
      </c>
      <c r="J509" t="s">
        <v>1496</v>
      </c>
      <c r="K509">
        <v>5</v>
      </c>
      <c r="L509" t="s">
        <v>1497</v>
      </c>
      <c r="M509" s="1" t="str">
        <f>TEXT(DATE(tbl_data[[#This Row],[Model_Year]],1,1),"yyyy")</f>
        <v>2006</v>
      </c>
      <c r="N509" s="1" t="str">
        <f>IF(tbl_data[[#This Row],[Kilometers_Driven]]&lt;50000,"&lt;50k",
IF(tbl_data[[#This Row],[Kilometers_Driven]]&lt;100000,"50k-100k",
IF(tbl_data[[#This Row],[Kilometers_Driven]]&lt;150000,"100k-150k","150k+")))</f>
        <v>&lt;50k</v>
      </c>
      <c r="O509" s="1" t="str">
        <f>IF(tbl_data[[#This Row],[Price_USD]]&gt;=87089,"High",
IF(tbl_data[[#This Row],[Price_USD]]&gt;=56807,"Mid","Low"))</f>
        <v>High</v>
      </c>
      <c r="P509" s="1" t="str">
        <f>IF(tbl_data[[#This Row],[Transmission]]="Automatic","Auto","Manual")</f>
        <v>Auto</v>
      </c>
      <c r="Q509" s="1" t="str">
        <f>IFERROR(IF(VALUE(tbl_data[[#This Row],[Engine_CC]])=0,"",VALUE(tbl_data[[#This Row],[Price_USD]])/VALUE(tbl_data[[#This Row],[Engine_CC]])),"")</f>
        <v/>
      </c>
      <c r="R509" s="1" t="str">
        <f>TRIM(tbl_data[[#This Row],[Brand]])</f>
        <v>Toyota</v>
      </c>
      <c r="S509" s="1">
        <f>_xlfn.NUMBERVALUE(tbl_data[[#This Row],[Price_USD]],".",",")</f>
        <v>9848.7800000000007</v>
      </c>
    </row>
    <row r="510" spans="1:19" x14ac:dyDescent="0.3">
      <c r="A510">
        <v>509</v>
      </c>
      <c r="B510" t="s">
        <v>19</v>
      </c>
      <c r="C510">
        <v>2008</v>
      </c>
      <c r="D510">
        <v>41727</v>
      </c>
      <c r="E510" t="s">
        <v>31</v>
      </c>
      <c r="F510" t="s">
        <v>21</v>
      </c>
      <c r="G510" t="s">
        <v>32</v>
      </c>
      <c r="H510">
        <v>2584</v>
      </c>
      <c r="I510" t="s">
        <v>915</v>
      </c>
      <c r="J510" t="s">
        <v>1498</v>
      </c>
      <c r="K510">
        <v>4</v>
      </c>
      <c r="L510" t="s">
        <v>1499</v>
      </c>
      <c r="M510" s="1" t="str">
        <f>TEXT(DATE(tbl_data[[#This Row],[Model_Year]],1,1),"yyyy")</f>
        <v>2008</v>
      </c>
      <c r="N510" s="1" t="str">
        <f>IF(tbl_data[[#This Row],[Kilometers_Driven]]&lt;50000,"&lt;50k",
IF(tbl_data[[#This Row],[Kilometers_Driven]]&lt;100000,"50k-100k",
IF(tbl_data[[#This Row],[Kilometers_Driven]]&lt;150000,"100k-150k","150k+")))</f>
        <v>&lt;50k</v>
      </c>
      <c r="O510" s="1" t="str">
        <f>IF(tbl_data[[#This Row],[Price_USD]]&gt;=87089,"High",
IF(tbl_data[[#This Row],[Price_USD]]&gt;=56807,"Mid","Low"))</f>
        <v>High</v>
      </c>
      <c r="P510" s="1" t="str">
        <f>IF(tbl_data[[#This Row],[Transmission]]="Automatic","Auto","Manual")</f>
        <v>Auto</v>
      </c>
      <c r="Q510" s="1" t="str">
        <f>IFERROR(IF(VALUE(tbl_data[[#This Row],[Engine_CC]])=0,"",VALUE(tbl_data[[#This Row],[Price_USD]])/VALUE(tbl_data[[#This Row],[Engine_CC]])),"")</f>
        <v/>
      </c>
      <c r="R510" s="1" t="str">
        <f>TRIM(tbl_data[[#This Row],[Brand]])</f>
        <v>BMW</v>
      </c>
      <c r="S510" s="1">
        <f>_xlfn.NUMBERVALUE(tbl_data[[#This Row],[Price_USD]],".",",")</f>
        <v>38733.379999999997</v>
      </c>
    </row>
    <row r="511" spans="1:19" x14ac:dyDescent="0.3">
      <c r="A511">
        <v>510</v>
      </c>
      <c r="B511" t="s">
        <v>102</v>
      </c>
      <c r="C511">
        <v>2021</v>
      </c>
      <c r="D511">
        <v>147077</v>
      </c>
      <c r="E511" t="s">
        <v>31</v>
      </c>
      <c r="F511" t="s">
        <v>21</v>
      </c>
      <c r="G511" t="s">
        <v>26</v>
      </c>
      <c r="H511">
        <v>4310</v>
      </c>
      <c r="I511" t="s">
        <v>1500</v>
      </c>
      <c r="J511" t="s">
        <v>1048</v>
      </c>
      <c r="K511">
        <v>7</v>
      </c>
      <c r="L511" t="s">
        <v>1501</v>
      </c>
      <c r="M511" s="1" t="str">
        <f>TEXT(DATE(tbl_data[[#This Row],[Model_Year]],1,1),"yyyy")</f>
        <v>2021</v>
      </c>
      <c r="N511" s="1" t="str">
        <f>IF(tbl_data[[#This Row],[Kilometers_Driven]]&lt;50000,"&lt;50k",
IF(tbl_data[[#This Row],[Kilometers_Driven]]&lt;100000,"50k-100k",
IF(tbl_data[[#This Row],[Kilometers_Driven]]&lt;150000,"100k-150k","150k+")))</f>
        <v>100k-150k</v>
      </c>
      <c r="O511" s="1" t="str">
        <f>IF(tbl_data[[#This Row],[Price_USD]]&gt;=87089,"High",
IF(tbl_data[[#This Row],[Price_USD]]&gt;=56807,"Mid","Low"))</f>
        <v>High</v>
      </c>
      <c r="P511" s="1" t="str">
        <f>IF(tbl_data[[#This Row],[Transmission]]="Automatic","Auto","Manual")</f>
        <v>Auto</v>
      </c>
      <c r="Q511" s="1" t="str">
        <f>IFERROR(IF(VALUE(tbl_data[[#This Row],[Engine_CC]])=0,"",VALUE(tbl_data[[#This Row],[Price_USD]])/VALUE(tbl_data[[#This Row],[Engine_CC]])),"")</f>
        <v/>
      </c>
      <c r="R511" s="1" t="str">
        <f>TRIM(tbl_data[[#This Row],[Brand]])</f>
        <v>Nissan</v>
      </c>
      <c r="S511" s="1">
        <f>_xlfn.NUMBERVALUE(tbl_data[[#This Row],[Price_USD]],".",",")</f>
        <v>21446.34</v>
      </c>
    </row>
    <row r="512" spans="1:19" x14ac:dyDescent="0.3">
      <c r="A512">
        <v>511</v>
      </c>
      <c r="B512" t="s">
        <v>43</v>
      </c>
      <c r="C512">
        <v>2007</v>
      </c>
      <c r="D512">
        <v>114079</v>
      </c>
      <c r="E512" t="s">
        <v>31</v>
      </c>
      <c r="F512" t="s">
        <v>21</v>
      </c>
      <c r="G512" t="s">
        <v>26</v>
      </c>
      <c r="H512">
        <v>4586</v>
      </c>
      <c r="I512" t="s">
        <v>1502</v>
      </c>
      <c r="J512" t="s">
        <v>1503</v>
      </c>
      <c r="K512">
        <v>4</v>
      </c>
      <c r="L512" t="s">
        <v>1504</v>
      </c>
      <c r="M512" s="1" t="str">
        <f>TEXT(DATE(tbl_data[[#This Row],[Model_Year]],1,1),"yyyy")</f>
        <v>2007</v>
      </c>
      <c r="N512" s="1" t="str">
        <f>IF(tbl_data[[#This Row],[Kilometers_Driven]]&lt;50000,"&lt;50k",
IF(tbl_data[[#This Row],[Kilometers_Driven]]&lt;100000,"50k-100k",
IF(tbl_data[[#This Row],[Kilometers_Driven]]&lt;150000,"100k-150k","150k+")))</f>
        <v>100k-150k</v>
      </c>
      <c r="O512" s="1" t="str">
        <f>IF(tbl_data[[#This Row],[Price_USD]]&gt;=87089,"High",
IF(tbl_data[[#This Row],[Price_USD]]&gt;=56807,"Mid","Low"))</f>
        <v>High</v>
      </c>
      <c r="P512" s="1" t="str">
        <f>IF(tbl_data[[#This Row],[Transmission]]="Automatic","Auto","Manual")</f>
        <v>Auto</v>
      </c>
      <c r="Q512" s="1" t="str">
        <f>IFERROR(IF(VALUE(tbl_data[[#This Row],[Engine_CC]])=0,"",VALUE(tbl_data[[#This Row],[Price_USD]])/VALUE(tbl_data[[#This Row],[Engine_CC]])),"")</f>
        <v/>
      </c>
      <c r="R512" s="1" t="str">
        <f>TRIM(tbl_data[[#This Row],[Brand]])</f>
        <v>Ford</v>
      </c>
      <c r="S512" s="1">
        <f>_xlfn.NUMBERVALUE(tbl_data[[#This Row],[Price_USD]],".",",")</f>
        <v>23359.22</v>
      </c>
    </row>
    <row r="513" spans="1:19" x14ac:dyDescent="0.3">
      <c r="A513">
        <v>512</v>
      </c>
      <c r="B513" t="s">
        <v>102</v>
      </c>
      <c r="C513">
        <v>2017</v>
      </c>
      <c r="D513">
        <v>70697</v>
      </c>
      <c r="E513" t="s">
        <v>20</v>
      </c>
      <c r="F513" t="s">
        <v>21</v>
      </c>
      <c r="G513" t="s">
        <v>15</v>
      </c>
      <c r="H513">
        <v>4930</v>
      </c>
      <c r="I513" t="s">
        <v>1505</v>
      </c>
      <c r="J513" t="s">
        <v>1506</v>
      </c>
      <c r="K513">
        <v>5</v>
      </c>
      <c r="L513" t="s">
        <v>1507</v>
      </c>
      <c r="M513" s="1" t="str">
        <f>TEXT(DATE(tbl_data[[#This Row],[Model_Year]],1,1),"yyyy")</f>
        <v>2017</v>
      </c>
      <c r="N513" s="1" t="str">
        <f>IF(tbl_data[[#This Row],[Kilometers_Driven]]&lt;50000,"&lt;50k",
IF(tbl_data[[#This Row],[Kilometers_Driven]]&lt;100000,"50k-100k",
IF(tbl_data[[#This Row],[Kilometers_Driven]]&lt;150000,"100k-150k","150k+")))</f>
        <v>50k-100k</v>
      </c>
      <c r="O513" s="1" t="str">
        <f>IF(tbl_data[[#This Row],[Price_USD]]&gt;=87089,"High",
IF(tbl_data[[#This Row],[Price_USD]]&gt;=56807,"Mid","Low"))</f>
        <v>High</v>
      </c>
      <c r="P513" s="1" t="str">
        <f>IF(tbl_data[[#This Row],[Transmission]]="Automatic","Auto","Manual")</f>
        <v>Auto</v>
      </c>
      <c r="Q513" s="1" t="str">
        <f>IFERROR(IF(VALUE(tbl_data[[#This Row],[Engine_CC]])=0,"",VALUE(tbl_data[[#This Row],[Price_USD]])/VALUE(tbl_data[[#This Row],[Engine_CC]])),"")</f>
        <v/>
      </c>
      <c r="R513" s="1" t="str">
        <f>TRIM(tbl_data[[#This Row],[Brand]])</f>
        <v>Nissan</v>
      </c>
      <c r="S513" s="1">
        <f>_xlfn.NUMBERVALUE(tbl_data[[#This Row],[Price_USD]],".",",")</f>
        <v>92008.84</v>
      </c>
    </row>
    <row r="514" spans="1:19" x14ac:dyDescent="0.3">
      <c r="A514">
        <v>513</v>
      </c>
      <c r="B514" t="s">
        <v>12</v>
      </c>
      <c r="C514">
        <v>2013</v>
      </c>
      <c r="D514">
        <v>21029</v>
      </c>
      <c r="E514" t="s">
        <v>20</v>
      </c>
      <c r="F514" t="s">
        <v>14</v>
      </c>
      <c r="G514" t="s">
        <v>32</v>
      </c>
      <c r="H514">
        <v>1798</v>
      </c>
      <c r="I514" t="s">
        <v>1508</v>
      </c>
      <c r="J514" t="s">
        <v>1509</v>
      </c>
      <c r="K514">
        <v>6</v>
      </c>
      <c r="L514" t="s">
        <v>1510</v>
      </c>
      <c r="M514" s="1" t="str">
        <f>TEXT(DATE(tbl_data[[#This Row],[Model_Year]],1,1),"yyyy")</f>
        <v>2013</v>
      </c>
      <c r="N514" s="1" t="str">
        <f>IF(tbl_data[[#This Row],[Kilometers_Driven]]&lt;50000,"&lt;50k",
IF(tbl_data[[#This Row],[Kilometers_Driven]]&lt;100000,"50k-100k",
IF(tbl_data[[#This Row],[Kilometers_Driven]]&lt;150000,"100k-150k","150k+")))</f>
        <v>&lt;50k</v>
      </c>
      <c r="O514" s="1" t="str">
        <f>IF(tbl_data[[#This Row],[Price_USD]]&gt;=87089,"High",
IF(tbl_data[[#This Row],[Price_USD]]&gt;=56807,"Mid","Low"))</f>
        <v>High</v>
      </c>
      <c r="P514" s="1" t="str">
        <f>IF(tbl_data[[#This Row],[Transmission]]="Automatic","Auto","Manual")</f>
        <v>Manual</v>
      </c>
      <c r="Q514" s="1" t="str">
        <f>IFERROR(IF(VALUE(tbl_data[[#This Row],[Engine_CC]])=0,"",VALUE(tbl_data[[#This Row],[Price_USD]])/VALUE(tbl_data[[#This Row],[Engine_CC]])),"")</f>
        <v/>
      </c>
      <c r="R514" s="1" t="str">
        <f>TRIM(tbl_data[[#This Row],[Brand]])</f>
        <v>Audi</v>
      </c>
      <c r="S514" s="1">
        <f>_xlfn.NUMBERVALUE(tbl_data[[#This Row],[Price_USD]],".",",")</f>
        <v>4853.05</v>
      </c>
    </row>
    <row r="515" spans="1:19" x14ac:dyDescent="0.3">
      <c r="A515">
        <v>514</v>
      </c>
      <c r="B515" t="s">
        <v>19</v>
      </c>
      <c r="C515">
        <v>2011</v>
      </c>
      <c r="D515">
        <v>150298</v>
      </c>
      <c r="E515" t="s">
        <v>44</v>
      </c>
      <c r="F515" t="s">
        <v>14</v>
      </c>
      <c r="G515" t="s">
        <v>32</v>
      </c>
      <c r="H515">
        <v>2251</v>
      </c>
      <c r="I515" t="s">
        <v>1511</v>
      </c>
      <c r="J515" t="s">
        <v>1083</v>
      </c>
      <c r="K515">
        <v>2</v>
      </c>
      <c r="L515" t="s">
        <v>1512</v>
      </c>
      <c r="M515" s="1" t="str">
        <f>TEXT(DATE(tbl_data[[#This Row],[Model_Year]],1,1),"yyyy")</f>
        <v>2011</v>
      </c>
      <c r="N515" s="1" t="str">
        <f>IF(tbl_data[[#This Row],[Kilometers_Driven]]&lt;50000,"&lt;50k",
IF(tbl_data[[#This Row],[Kilometers_Driven]]&lt;100000,"50k-100k",
IF(tbl_data[[#This Row],[Kilometers_Driven]]&lt;150000,"100k-150k","150k+")))</f>
        <v>150k+</v>
      </c>
      <c r="O515" s="1" t="str">
        <f>IF(tbl_data[[#This Row],[Price_USD]]&gt;=87089,"High",
IF(tbl_data[[#This Row],[Price_USD]]&gt;=56807,"Mid","Low"))</f>
        <v>High</v>
      </c>
      <c r="P515" s="1" t="str">
        <f>IF(tbl_data[[#This Row],[Transmission]]="Automatic","Auto","Manual")</f>
        <v>Manual</v>
      </c>
      <c r="Q515" s="1" t="str">
        <f>IFERROR(IF(VALUE(tbl_data[[#This Row],[Engine_CC]])=0,"",VALUE(tbl_data[[#This Row],[Price_USD]])/VALUE(tbl_data[[#This Row],[Engine_CC]])),"")</f>
        <v/>
      </c>
      <c r="R515" s="1" t="str">
        <f>TRIM(tbl_data[[#This Row],[Brand]])</f>
        <v>BMW</v>
      </c>
      <c r="S515" s="1">
        <f>_xlfn.NUMBERVALUE(tbl_data[[#This Row],[Price_USD]],".",",")</f>
        <v>68263.78</v>
      </c>
    </row>
    <row r="516" spans="1:19" x14ac:dyDescent="0.3">
      <c r="A516">
        <v>515</v>
      </c>
      <c r="B516" t="s">
        <v>43</v>
      </c>
      <c r="C516">
        <v>2019</v>
      </c>
      <c r="D516">
        <v>199718</v>
      </c>
      <c r="E516" t="s">
        <v>44</v>
      </c>
      <c r="F516" t="s">
        <v>21</v>
      </c>
      <c r="G516" t="s">
        <v>32</v>
      </c>
      <c r="H516">
        <v>2551</v>
      </c>
      <c r="I516" t="s">
        <v>1513</v>
      </c>
      <c r="J516" t="s">
        <v>1514</v>
      </c>
      <c r="K516">
        <v>5</v>
      </c>
      <c r="L516" t="s">
        <v>1515</v>
      </c>
      <c r="M516" s="1" t="str">
        <f>TEXT(DATE(tbl_data[[#This Row],[Model_Year]],1,1),"yyyy")</f>
        <v>2019</v>
      </c>
      <c r="N516" s="1" t="str">
        <f>IF(tbl_data[[#This Row],[Kilometers_Driven]]&lt;50000,"&lt;50k",
IF(tbl_data[[#This Row],[Kilometers_Driven]]&lt;100000,"50k-100k",
IF(tbl_data[[#This Row],[Kilometers_Driven]]&lt;150000,"100k-150k","150k+")))</f>
        <v>150k+</v>
      </c>
      <c r="O516" s="1" t="str">
        <f>IF(tbl_data[[#This Row],[Price_USD]]&gt;=87089,"High",
IF(tbl_data[[#This Row],[Price_USD]]&gt;=56807,"Mid","Low"))</f>
        <v>High</v>
      </c>
      <c r="P516" s="1" t="str">
        <f>IF(tbl_data[[#This Row],[Transmission]]="Automatic","Auto","Manual")</f>
        <v>Auto</v>
      </c>
      <c r="Q516" s="1" t="str">
        <f>IFERROR(IF(VALUE(tbl_data[[#This Row],[Engine_CC]])=0,"",VALUE(tbl_data[[#This Row],[Price_USD]])/VALUE(tbl_data[[#This Row],[Engine_CC]])),"")</f>
        <v/>
      </c>
      <c r="R516" s="1" t="str">
        <f>TRIM(tbl_data[[#This Row],[Brand]])</f>
        <v>Ford</v>
      </c>
      <c r="S516" s="1">
        <f>_xlfn.NUMBERVALUE(tbl_data[[#This Row],[Price_USD]],".",",")</f>
        <v>47396.98</v>
      </c>
    </row>
    <row r="517" spans="1:19" x14ac:dyDescent="0.3">
      <c r="A517">
        <v>516</v>
      </c>
      <c r="B517" t="s">
        <v>39</v>
      </c>
      <c r="C517">
        <v>2015</v>
      </c>
      <c r="D517">
        <v>196675</v>
      </c>
      <c r="E517" t="s">
        <v>13</v>
      </c>
      <c r="F517" t="s">
        <v>21</v>
      </c>
      <c r="G517" t="s">
        <v>15</v>
      </c>
      <c r="H517">
        <v>3080</v>
      </c>
      <c r="I517" t="s">
        <v>1516</v>
      </c>
      <c r="J517" t="s">
        <v>1517</v>
      </c>
      <c r="K517">
        <v>7</v>
      </c>
      <c r="L517" t="s">
        <v>1518</v>
      </c>
      <c r="M517" s="1" t="str">
        <f>TEXT(DATE(tbl_data[[#This Row],[Model_Year]],1,1),"yyyy")</f>
        <v>2015</v>
      </c>
      <c r="N517" s="1" t="str">
        <f>IF(tbl_data[[#This Row],[Kilometers_Driven]]&lt;50000,"&lt;50k",
IF(tbl_data[[#This Row],[Kilometers_Driven]]&lt;100000,"50k-100k",
IF(tbl_data[[#This Row],[Kilometers_Driven]]&lt;150000,"100k-150k","150k+")))</f>
        <v>150k+</v>
      </c>
      <c r="O517" s="1" t="str">
        <f>IF(tbl_data[[#This Row],[Price_USD]]&gt;=87089,"High",
IF(tbl_data[[#This Row],[Price_USD]]&gt;=56807,"Mid","Low"))</f>
        <v>High</v>
      </c>
      <c r="P517" s="1" t="str">
        <f>IF(tbl_data[[#This Row],[Transmission]]="Automatic","Auto","Manual")</f>
        <v>Auto</v>
      </c>
      <c r="Q517" s="1" t="str">
        <f>IFERROR(IF(VALUE(tbl_data[[#This Row],[Engine_CC]])=0,"",VALUE(tbl_data[[#This Row],[Price_USD]])/VALUE(tbl_data[[#This Row],[Engine_CC]])),"")</f>
        <v/>
      </c>
      <c r="R517" s="1" t="str">
        <f>TRIM(tbl_data[[#This Row],[Brand]])</f>
        <v>Volkswagen</v>
      </c>
      <c r="S517" s="1">
        <f>_xlfn.NUMBERVALUE(tbl_data[[#This Row],[Price_USD]],".",",")</f>
        <v>62266.35</v>
      </c>
    </row>
    <row r="518" spans="1:19" x14ac:dyDescent="0.3">
      <c r="A518">
        <v>517</v>
      </c>
      <c r="B518" t="s">
        <v>30</v>
      </c>
      <c r="C518">
        <v>2024</v>
      </c>
      <c r="D518">
        <v>164803</v>
      </c>
      <c r="E518" t="s">
        <v>44</v>
      </c>
      <c r="F518" t="s">
        <v>14</v>
      </c>
      <c r="G518" t="s">
        <v>32</v>
      </c>
      <c r="H518">
        <v>3734</v>
      </c>
      <c r="I518" t="s">
        <v>1519</v>
      </c>
      <c r="J518" t="s">
        <v>1520</v>
      </c>
      <c r="K518">
        <v>5</v>
      </c>
      <c r="L518" t="s">
        <v>1521</v>
      </c>
      <c r="M518" s="1" t="str">
        <f>TEXT(DATE(tbl_data[[#This Row],[Model_Year]],1,1),"yyyy")</f>
        <v>2024</v>
      </c>
      <c r="N518" s="1" t="str">
        <f>IF(tbl_data[[#This Row],[Kilometers_Driven]]&lt;50000,"&lt;50k",
IF(tbl_data[[#This Row],[Kilometers_Driven]]&lt;100000,"50k-100k",
IF(tbl_data[[#This Row],[Kilometers_Driven]]&lt;150000,"100k-150k","150k+")))</f>
        <v>150k+</v>
      </c>
      <c r="O518" s="1" t="str">
        <f>IF(tbl_data[[#This Row],[Price_USD]]&gt;=87089,"High",
IF(tbl_data[[#This Row],[Price_USD]]&gt;=56807,"Mid","Low"))</f>
        <v>High</v>
      </c>
      <c r="P518" s="1" t="str">
        <f>IF(tbl_data[[#This Row],[Transmission]]="Automatic","Auto","Manual")</f>
        <v>Manual</v>
      </c>
      <c r="Q518" s="1" t="str">
        <f>IFERROR(IF(VALUE(tbl_data[[#This Row],[Engine_CC]])=0,"",VALUE(tbl_data[[#This Row],[Price_USD]])/VALUE(tbl_data[[#This Row],[Engine_CC]])),"")</f>
        <v/>
      </c>
      <c r="R518" s="1" t="str">
        <f>TRIM(tbl_data[[#This Row],[Brand]])</f>
        <v>Mercedes</v>
      </c>
      <c r="S518" s="1">
        <f>_xlfn.NUMBERVALUE(tbl_data[[#This Row],[Price_USD]],".",",")</f>
        <v>68851.14</v>
      </c>
    </row>
    <row r="519" spans="1:19" x14ac:dyDescent="0.3">
      <c r="A519">
        <v>518</v>
      </c>
      <c r="B519" t="s">
        <v>30</v>
      </c>
      <c r="C519">
        <v>2006</v>
      </c>
      <c r="D519">
        <v>114458</v>
      </c>
      <c r="E519" t="s">
        <v>44</v>
      </c>
      <c r="F519" t="s">
        <v>14</v>
      </c>
      <c r="G519" t="s">
        <v>26</v>
      </c>
      <c r="H519">
        <v>4534</v>
      </c>
      <c r="I519" t="s">
        <v>1522</v>
      </c>
      <c r="J519" t="s">
        <v>1523</v>
      </c>
      <c r="K519">
        <v>7</v>
      </c>
      <c r="L519" t="s">
        <v>1524</v>
      </c>
      <c r="M519" s="1" t="str">
        <f>TEXT(DATE(tbl_data[[#This Row],[Model_Year]],1,1),"yyyy")</f>
        <v>2006</v>
      </c>
      <c r="N519" s="1" t="str">
        <f>IF(tbl_data[[#This Row],[Kilometers_Driven]]&lt;50000,"&lt;50k",
IF(tbl_data[[#This Row],[Kilometers_Driven]]&lt;100000,"50k-100k",
IF(tbl_data[[#This Row],[Kilometers_Driven]]&lt;150000,"100k-150k","150k+")))</f>
        <v>100k-150k</v>
      </c>
      <c r="O519" s="1" t="str">
        <f>IF(tbl_data[[#This Row],[Price_USD]]&gt;=87089,"High",
IF(tbl_data[[#This Row],[Price_USD]]&gt;=56807,"Mid","Low"))</f>
        <v>High</v>
      </c>
      <c r="P519" s="1" t="str">
        <f>IF(tbl_data[[#This Row],[Transmission]]="Automatic","Auto","Manual")</f>
        <v>Manual</v>
      </c>
      <c r="Q519" s="1" t="str">
        <f>IFERROR(IF(VALUE(tbl_data[[#This Row],[Engine_CC]])=0,"",VALUE(tbl_data[[#This Row],[Price_USD]])/VALUE(tbl_data[[#This Row],[Engine_CC]])),"")</f>
        <v/>
      </c>
      <c r="R519" s="1" t="str">
        <f>TRIM(tbl_data[[#This Row],[Brand]])</f>
        <v>Mercedes</v>
      </c>
      <c r="S519" s="1">
        <f>_xlfn.NUMBERVALUE(tbl_data[[#This Row],[Price_USD]],".",",")</f>
        <v>39664.019999999997</v>
      </c>
    </row>
    <row r="520" spans="1:19" x14ac:dyDescent="0.3">
      <c r="A520">
        <v>519</v>
      </c>
      <c r="B520" t="s">
        <v>43</v>
      </c>
      <c r="C520">
        <v>2019</v>
      </c>
      <c r="D520">
        <v>115384</v>
      </c>
      <c r="E520" t="s">
        <v>31</v>
      </c>
      <c r="F520" t="s">
        <v>14</v>
      </c>
      <c r="G520" t="s">
        <v>32</v>
      </c>
      <c r="H520">
        <v>4146</v>
      </c>
      <c r="I520" t="s">
        <v>1525</v>
      </c>
      <c r="J520" t="s">
        <v>1526</v>
      </c>
      <c r="K520">
        <v>7</v>
      </c>
      <c r="L520" t="s">
        <v>1527</v>
      </c>
      <c r="M520" s="1" t="str">
        <f>TEXT(DATE(tbl_data[[#This Row],[Model_Year]],1,1),"yyyy")</f>
        <v>2019</v>
      </c>
      <c r="N520" s="1" t="str">
        <f>IF(tbl_data[[#This Row],[Kilometers_Driven]]&lt;50000,"&lt;50k",
IF(tbl_data[[#This Row],[Kilometers_Driven]]&lt;100000,"50k-100k",
IF(tbl_data[[#This Row],[Kilometers_Driven]]&lt;150000,"100k-150k","150k+")))</f>
        <v>100k-150k</v>
      </c>
      <c r="O520" s="1" t="str">
        <f>IF(tbl_data[[#This Row],[Price_USD]]&gt;=87089,"High",
IF(tbl_data[[#This Row],[Price_USD]]&gt;=56807,"Mid","Low"))</f>
        <v>High</v>
      </c>
      <c r="P520" s="1" t="str">
        <f>IF(tbl_data[[#This Row],[Transmission]]="Automatic","Auto","Manual")</f>
        <v>Manual</v>
      </c>
      <c r="Q520" s="1" t="str">
        <f>IFERROR(IF(VALUE(tbl_data[[#This Row],[Engine_CC]])=0,"",VALUE(tbl_data[[#This Row],[Price_USD]])/VALUE(tbl_data[[#This Row],[Engine_CC]])),"")</f>
        <v/>
      </c>
      <c r="R520" s="1" t="str">
        <f>TRIM(tbl_data[[#This Row],[Brand]])</f>
        <v>Ford</v>
      </c>
      <c r="S520" s="1">
        <f>_xlfn.NUMBERVALUE(tbl_data[[#This Row],[Price_USD]],".",",")</f>
        <v>37527.74</v>
      </c>
    </row>
    <row r="521" spans="1:19" x14ac:dyDescent="0.3">
      <c r="A521">
        <v>520</v>
      </c>
      <c r="B521" t="s">
        <v>102</v>
      </c>
      <c r="C521">
        <v>2018</v>
      </c>
      <c r="D521">
        <v>73926</v>
      </c>
      <c r="E521" t="s">
        <v>31</v>
      </c>
      <c r="F521" t="s">
        <v>14</v>
      </c>
      <c r="G521" t="s">
        <v>15</v>
      </c>
      <c r="H521">
        <v>2673</v>
      </c>
      <c r="I521" t="s">
        <v>1528</v>
      </c>
      <c r="J521" t="s">
        <v>1529</v>
      </c>
      <c r="K521">
        <v>7</v>
      </c>
      <c r="L521" t="s">
        <v>1530</v>
      </c>
      <c r="M521" s="1" t="str">
        <f>TEXT(DATE(tbl_data[[#This Row],[Model_Year]],1,1),"yyyy")</f>
        <v>2018</v>
      </c>
      <c r="N521" s="1" t="str">
        <f>IF(tbl_data[[#This Row],[Kilometers_Driven]]&lt;50000,"&lt;50k",
IF(tbl_data[[#This Row],[Kilometers_Driven]]&lt;100000,"50k-100k",
IF(tbl_data[[#This Row],[Kilometers_Driven]]&lt;150000,"100k-150k","150k+")))</f>
        <v>50k-100k</v>
      </c>
      <c r="O521" s="1" t="str">
        <f>IF(tbl_data[[#This Row],[Price_USD]]&gt;=87089,"High",
IF(tbl_data[[#This Row],[Price_USD]]&gt;=56807,"Mid","Low"))</f>
        <v>High</v>
      </c>
      <c r="P521" s="1" t="str">
        <f>IF(tbl_data[[#This Row],[Transmission]]="Automatic","Auto","Manual")</f>
        <v>Manual</v>
      </c>
      <c r="Q521" s="1" t="str">
        <f>IFERROR(IF(VALUE(tbl_data[[#This Row],[Engine_CC]])=0,"",VALUE(tbl_data[[#This Row],[Price_USD]])/VALUE(tbl_data[[#This Row],[Engine_CC]])),"")</f>
        <v/>
      </c>
      <c r="R521" s="1" t="str">
        <f>TRIM(tbl_data[[#This Row],[Brand]])</f>
        <v>Nissan</v>
      </c>
      <c r="S521" s="1">
        <f>_xlfn.NUMBERVALUE(tbl_data[[#This Row],[Price_USD]],".",",")</f>
        <v>88808.02</v>
      </c>
    </row>
    <row r="522" spans="1:19" x14ac:dyDescent="0.3">
      <c r="A522">
        <v>521</v>
      </c>
      <c r="B522" t="s">
        <v>19</v>
      </c>
      <c r="C522">
        <v>2024</v>
      </c>
      <c r="D522">
        <v>142069</v>
      </c>
      <c r="E522" t="s">
        <v>44</v>
      </c>
      <c r="F522" t="s">
        <v>21</v>
      </c>
      <c r="G522" t="s">
        <v>32</v>
      </c>
      <c r="H522">
        <v>4603</v>
      </c>
      <c r="I522" t="s">
        <v>1531</v>
      </c>
      <c r="J522" t="s">
        <v>1532</v>
      </c>
      <c r="K522">
        <v>4</v>
      </c>
      <c r="L522" t="s">
        <v>1533</v>
      </c>
      <c r="M522" s="1" t="str">
        <f>TEXT(DATE(tbl_data[[#This Row],[Model_Year]],1,1),"yyyy")</f>
        <v>2024</v>
      </c>
      <c r="N522" s="1" t="str">
        <f>IF(tbl_data[[#This Row],[Kilometers_Driven]]&lt;50000,"&lt;50k",
IF(tbl_data[[#This Row],[Kilometers_Driven]]&lt;100000,"50k-100k",
IF(tbl_data[[#This Row],[Kilometers_Driven]]&lt;150000,"100k-150k","150k+")))</f>
        <v>100k-150k</v>
      </c>
      <c r="O522" s="1" t="str">
        <f>IF(tbl_data[[#This Row],[Price_USD]]&gt;=87089,"High",
IF(tbl_data[[#This Row],[Price_USD]]&gt;=56807,"Mid","Low"))</f>
        <v>High</v>
      </c>
      <c r="P522" s="1" t="str">
        <f>IF(tbl_data[[#This Row],[Transmission]]="Automatic","Auto","Manual")</f>
        <v>Auto</v>
      </c>
      <c r="Q522" s="1" t="str">
        <f>IFERROR(IF(VALUE(tbl_data[[#This Row],[Engine_CC]])=0,"",VALUE(tbl_data[[#This Row],[Price_USD]])/VALUE(tbl_data[[#This Row],[Engine_CC]])),"")</f>
        <v/>
      </c>
      <c r="R522" s="1" t="str">
        <f>TRIM(tbl_data[[#This Row],[Brand]])</f>
        <v>BMW</v>
      </c>
      <c r="S522" s="1">
        <f>_xlfn.NUMBERVALUE(tbl_data[[#This Row],[Price_USD]],".",",")</f>
        <v>104939.41</v>
      </c>
    </row>
    <row r="523" spans="1:19" x14ac:dyDescent="0.3">
      <c r="A523">
        <v>522</v>
      </c>
      <c r="B523" t="s">
        <v>30</v>
      </c>
      <c r="C523">
        <v>2015</v>
      </c>
      <c r="D523">
        <v>60506</v>
      </c>
      <c r="E523" t="s">
        <v>13</v>
      </c>
      <c r="F523" t="s">
        <v>14</v>
      </c>
      <c r="G523" t="s">
        <v>32</v>
      </c>
      <c r="H523">
        <v>2779</v>
      </c>
      <c r="I523" t="s">
        <v>1534</v>
      </c>
      <c r="J523" t="s">
        <v>1535</v>
      </c>
      <c r="K523">
        <v>6</v>
      </c>
      <c r="L523" t="s">
        <v>1536</v>
      </c>
      <c r="M523" s="1" t="str">
        <f>TEXT(DATE(tbl_data[[#This Row],[Model_Year]],1,1),"yyyy")</f>
        <v>2015</v>
      </c>
      <c r="N523" s="1" t="str">
        <f>IF(tbl_data[[#This Row],[Kilometers_Driven]]&lt;50000,"&lt;50k",
IF(tbl_data[[#This Row],[Kilometers_Driven]]&lt;100000,"50k-100k",
IF(tbl_data[[#This Row],[Kilometers_Driven]]&lt;150000,"100k-150k","150k+")))</f>
        <v>50k-100k</v>
      </c>
      <c r="O523" s="1" t="str">
        <f>IF(tbl_data[[#This Row],[Price_USD]]&gt;=87089,"High",
IF(tbl_data[[#This Row],[Price_USD]]&gt;=56807,"Mid","Low"))</f>
        <v>High</v>
      </c>
      <c r="P523" s="1" t="str">
        <f>IF(tbl_data[[#This Row],[Transmission]]="Automatic","Auto","Manual")</f>
        <v>Manual</v>
      </c>
      <c r="Q523" s="1" t="str">
        <f>IFERROR(IF(VALUE(tbl_data[[#This Row],[Engine_CC]])=0,"",VALUE(tbl_data[[#This Row],[Price_USD]])/VALUE(tbl_data[[#This Row],[Engine_CC]])),"")</f>
        <v/>
      </c>
      <c r="R523" s="1" t="str">
        <f>TRIM(tbl_data[[#This Row],[Brand]])</f>
        <v>Mercedes</v>
      </c>
      <c r="S523" s="1">
        <f>_xlfn.NUMBERVALUE(tbl_data[[#This Row],[Price_USD]],".",",")</f>
        <v>25532.05</v>
      </c>
    </row>
    <row r="524" spans="1:19" x14ac:dyDescent="0.3">
      <c r="A524">
        <v>523</v>
      </c>
      <c r="B524" t="s">
        <v>19</v>
      </c>
      <c r="C524">
        <v>2007</v>
      </c>
      <c r="D524">
        <v>83229</v>
      </c>
      <c r="E524" t="s">
        <v>31</v>
      </c>
      <c r="F524" t="s">
        <v>21</v>
      </c>
      <c r="G524" t="s">
        <v>26</v>
      </c>
      <c r="H524">
        <v>1498</v>
      </c>
      <c r="I524" t="s">
        <v>1537</v>
      </c>
      <c r="J524" t="s">
        <v>1538</v>
      </c>
      <c r="K524">
        <v>5</v>
      </c>
      <c r="L524" t="s">
        <v>1539</v>
      </c>
      <c r="M524" s="1" t="str">
        <f>TEXT(DATE(tbl_data[[#This Row],[Model_Year]],1,1),"yyyy")</f>
        <v>2007</v>
      </c>
      <c r="N524" s="1" t="str">
        <f>IF(tbl_data[[#This Row],[Kilometers_Driven]]&lt;50000,"&lt;50k",
IF(tbl_data[[#This Row],[Kilometers_Driven]]&lt;100000,"50k-100k",
IF(tbl_data[[#This Row],[Kilometers_Driven]]&lt;150000,"100k-150k","150k+")))</f>
        <v>50k-100k</v>
      </c>
      <c r="O524" s="1" t="str">
        <f>IF(tbl_data[[#This Row],[Price_USD]]&gt;=87089,"High",
IF(tbl_data[[#This Row],[Price_USD]]&gt;=56807,"Mid","Low"))</f>
        <v>High</v>
      </c>
      <c r="P524" s="1" t="str">
        <f>IF(tbl_data[[#This Row],[Transmission]]="Automatic","Auto","Manual")</f>
        <v>Auto</v>
      </c>
      <c r="Q524" s="1" t="str">
        <f>IFERROR(IF(VALUE(tbl_data[[#This Row],[Engine_CC]])=0,"",VALUE(tbl_data[[#This Row],[Price_USD]])/VALUE(tbl_data[[#This Row],[Engine_CC]])),"")</f>
        <v/>
      </c>
      <c r="R524" s="1" t="str">
        <f>TRIM(tbl_data[[#This Row],[Brand]])</f>
        <v>BMW</v>
      </c>
      <c r="S524" s="1">
        <f>_xlfn.NUMBERVALUE(tbl_data[[#This Row],[Price_USD]],".",",")</f>
        <v>14421.39</v>
      </c>
    </row>
    <row r="525" spans="1:19" x14ac:dyDescent="0.3">
      <c r="A525">
        <v>524</v>
      </c>
      <c r="B525" t="s">
        <v>30</v>
      </c>
      <c r="C525">
        <v>2021</v>
      </c>
      <c r="D525">
        <v>185887</v>
      </c>
      <c r="E525" t="s">
        <v>44</v>
      </c>
      <c r="F525" t="s">
        <v>14</v>
      </c>
      <c r="G525" t="s">
        <v>32</v>
      </c>
      <c r="H525">
        <v>2112</v>
      </c>
      <c r="I525" t="s">
        <v>1540</v>
      </c>
      <c r="J525" t="s">
        <v>1541</v>
      </c>
      <c r="K525">
        <v>6</v>
      </c>
      <c r="L525" t="s">
        <v>1542</v>
      </c>
      <c r="M525" s="1" t="str">
        <f>TEXT(DATE(tbl_data[[#This Row],[Model_Year]],1,1),"yyyy")</f>
        <v>2021</v>
      </c>
      <c r="N525" s="1" t="str">
        <f>IF(tbl_data[[#This Row],[Kilometers_Driven]]&lt;50000,"&lt;50k",
IF(tbl_data[[#This Row],[Kilometers_Driven]]&lt;100000,"50k-100k",
IF(tbl_data[[#This Row],[Kilometers_Driven]]&lt;150000,"100k-150k","150k+")))</f>
        <v>150k+</v>
      </c>
      <c r="O525" s="1" t="str">
        <f>IF(tbl_data[[#This Row],[Price_USD]]&gt;=87089,"High",
IF(tbl_data[[#This Row],[Price_USD]]&gt;=56807,"Mid","Low"))</f>
        <v>High</v>
      </c>
      <c r="P525" s="1" t="str">
        <f>IF(tbl_data[[#This Row],[Transmission]]="Automatic","Auto","Manual")</f>
        <v>Manual</v>
      </c>
      <c r="Q525" s="1" t="str">
        <f>IFERROR(IF(VALUE(tbl_data[[#This Row],[Engine_CC]])=0,"",VALUE(tbl_data[[#This Row],[Price_USD]])/VALUE(tbl_data[[#This Row],[Engine_CC]])),"")</f>
        <v/>
      </c>
      <c r="R525" s="1" t="str">
        <f>TRIM(tbl_data[[#This Row],[Brand]])</f>
        <v>Mercedes</v>
      </c>
      <c r="S525" s="1">
        <f>_xlfn.NUMBERVALUE(tbl_data[[#This Row],[Price_USD]],".",",")</f>
        <v>108042.11</v>
      </c>
    </row>
    <row r="526" spans="1:19" x14ac:dyDescent="0.3">
      <c r="A526">
        <v>525</v>
      </c>
      <c r="B526" t="s">
        <v>12</v>
      </c>
      <c r="C526">
        <v>2016</v>
      </c>
      <c r="D526">
        <v>47092</v>
      </c>
      <c r="E526" t="s">
        <v>44</v>
      </c>
      <c r="F526" t="s">
        <v>14</v>
      </c>
      <c r="G526" t="s">
        <v>26</v>
      </c>
      <c r="H526">
        <v>3762</v>
      </c>
      <c r="I526" t="s">
        <v>1110</v>
      </c>
      <c r="J526" t="s">
        <v>1543</v>
      </c>
      <c r="K526">
        <v>2</v>
      </c>
      <c r="L526" t="s">
        <v>1544</v>
      </c>
      <c r="M526" s="1" t="str">
        <f>TEXT(DATE(tbl_data[[#This Row],[Model_Year]],1,1),"yyyy")</f>
        <v>2016</v>
      </c>
      <c r="N526" s="1" t="str">
        <f>IF(tbl_data[[#This Row],[Kilometers_Driven]]&lt;50000,"&lt;50k",
IF(tbl_data[[#This Row],[Kilometers_Driven]]&lt;100000,"50k-100k",
IF(tbl_data[[#This Row],[Kilometers_Driven]]&lt;150000,"100k-150k","150k+")))</f>
        <v>&lt;50k</v>
      </c>
      <c r="O526" s="1" t="str">
        <f>IF(tbl_data[[#This Row],[Price_USD]]&gt;=87089,"High",
IF(tbl_data[[#This Row],[Price_USD]]&gt;=56807,"Mid","Low"))</f>
        <v>High</v>
      </c>
      <c r="P526" s="1" t="str">
        <f>IF(tbl_data[[#This Row],[Transmission]]="Automatic","Auto","Manual")</f>
        <v>Manual</v>
      </c>
      <c r="Q526" s="1" t="str">
        <f>IFERROR(IF(VALUE(tbl_data[[#This Row],[Engine_CC]])=0,"",VALUE(tbl_data[[#This Row],[Price_USD]])/VALUE(tbl_data[[#This Row],[Engine_CC]])),"")</f>
        <v/>
      </c>
      <c r="R526" s="1" t="str">
        <f>TRIM(tbl_data[[#This Row],[Brand]])</f>
        <v>Audi</v>
      </c>
      <c r="S526" s="1">
        <f>_xlfn.NUMBERVALUE(tbl_data[[#This Row],[Price_USD]],".",",")</f>
        <v>43937.77</v>
      </c>
    </row>
    <row r="527" spans="1:19" x14ac:dyDescent="0.3">
      <c r="A527">
        <v>526</v>
      </c>
      <c r="B527" t="s">
        <v>102</v>
      </c>
      <c r="C527">
        <v>2019</v>
      </c>
      <c r="D527">
        <v>67539</v>
      </c>
      <c r="E527" t="s">
        <v>20</v>
      </c>
      <c r="F527" t="s">
        <v>14</v>
      </c>
      <c r="G527" t="s">
        <v>26</v>
      </c>
      <c r="H527">
        <v>3738</v>
      </c>
      <c r="I527" t="s">
        <v>1545</v>
      </c>
      <c r="J527" t="s">
        <v>543</v>
      </c>
      <c r="K527">
        <v>5</v>
      </c>
      <c r="L527" t="s">
        <v>1546</v>
      </c>
      <c r="M527" s="1" t="str">
        <f>TEXT(DATE(tbl_data[[#This Row],[Model_Year]],1,1),"yyyy")</f>
        <v>2019</v>
      </c>
      <c r="N527" s="1" t="str">
        <f>IF(tbl_data[[#This Row],[Kilometers_Driven]]&lt;50000,"&lt;50k",
IF(tbl_data[[#This Row],[Kilometers_Driven]]&lt;100000,"50k-100k",
IF(tbl_data[[#This Row],[Kilometers_Driven]]&lt;150000,"100k-150k","150k+")))</f>
        <v>50k-100k</v>
      </c>
      <c r="O527" s="1" t="str">
        <f>IF(tbl_data[[#This Row],[Price_USD]]&gt;=87089,"High",
IF(tbl_data[[#This Row],[Price_USD]]&gt;=56807,"Mid","Low"))</f>
        <v>High</v>
      </c>
      <c r="P527" s="1" t="str">
        <f>IF(tbl_data[[#This Row],[Transmission]]="Automatic","Auto","Manual")</f>
        <v>Manual</v>
      </c>
      <c r="Q527" s="1" t="str">
        <f>IFERROR(IF(VALUE(tbl_data[[#This Row],[Engine_CC]])=0,"",VALUE(tbl_data[[#This Row],[Price_USD]])/VALUE(tbl_data[[#This Row],[Engine_CC]])),"")</f>
        <v/>
      </c>
      <c r="R527" s="1" t="str">
        <f>TRIM(tbl_data[[#This Row],[Brand]])</f>
        <v>Nissan</v>
      </c>
      <c r="S527" s="1">
        <f>_xlfn.NUMBERVALUE(tbl_data[[#This Row],[Price_USD]],".",",")</f>
        <v>67504.13</v>
      </c>
    </row>
    <row r="528" spans="1:19" x14ac:dyDescent="0.3">
      <c r="A528">
        <v>527</v>
      </c>
      <c r="B528" t="s">
        <v>12</v>
      </c>
      <c r="C528">
        <v>2020</v>
      </c>
      <c r="D528">
        <v>157889</v>
      </c>
      <c r="E528" t="s">
        <v>13</v>
      </c>
      <c r="F528" t="s">
        <v>21</v>
      </c>
      <c r="G528" t="s">
        <v>15</v>
      </c>
      <c r="H528">
        <v>3100</v>
      </c>
      <c r="I528" t="s">
        <v>819</v>
      </c>
      <c r="J528" t="s">
        <v>579</v>
      </c>
      <c r="K528">
        <v>6</v>
      </c>
      <c r="L528" t="s">
        <v>1547</v>
      </c>
      <c r="M528" s="1" t="str">
        <f>TEXT(DATE(tbl_data[[#This Row],[Model_Year]],1,1),"yyyy")</f>
        <v>2020</v>
      </c>
      <c r="N528" s="1" t="str">
        <f>IF(tbl_data[[#This Row],[Kilometers_Driven]]&lt;50000,"&lt;50k",
IF(tbl_data[[#This Row],[Kilometers_Driven]]&lt;100000,"50k-100k",
IF(tbl_data[[#This Row],[Kilometers_Driven]]&lt;150000,"100k-150k","150k+")))</f>
        <v>150k+</v>
      </c>
      <c r="O528" s="1" t="str">
        <f>IF(tbl_data[[#This Row],[Price_USD]]&gt;=87089,"High",
IF(tbl_data[[#This Row],[Price_USD]]&gt;=56807,"Mid","Low"))</f>
        <v>High</v>
      </c>
      <c r="P528" s="1" t="str">
        <f>IF(tbl_data[[#This Row],[Transmission]]="Automatic","Auto","Manual")</f>
        <v>Auto</v>
      </c>
      <c r="Q528" s="1" t="str">
        <f>IFERROR(IF(VALUE(tbl_data[[#This Row],[Engine_CC]])=0,"",VALUE(tbl_data[[#This Row],[Price_USD]])/VALUE(tbl_data[[#This Row],[Engine_CC]])),"")</f>
        <v/>
      </c>
      <c r="R528" s="1" t="str">
        <f>TRIM(tbl_data[[#This Row],[Brand]])</f>
        <v>Audi</v>
      </c>
      <c r="S528" s="1">
        <f>_xlfn.NUMBERVALUE(tbl_data[[#This Row],[Price_USD]],".",",")</f>
        <v>45066.55</v>
      </c>
    </row>
    <row r="529" spans="1:19" x14ac:dyDescent="0.3">
      <c r="A529">
        <v>528</v>
      </c>
      <c r="B529" t="s">
        <v>30</v>
      </c>
      <c r="C529">
        <v>2009</v>
      </c>
      <c r="D529">
        <v>173933</v>
      </c>
      <c r="E529" t="s">
        <v>20</v>
      </c>
      <c r="F529" t="s">
        <v>21</v>
      </c>
      <c r="G529" t="s">
        <v>26</v>
      </c>
      <c r="H529">
        <v>3997</v>
      </c>
      <c r="I529" t="s">
        <v>1548</v>
      </c>
      <c r="J529" t="s">
        <v>740</v>
      </c>
      <c r="K529">
        <v>6</v>
      </c>
      <c r="L529" t="s">
        <v>1549</v>
      </c>
      <c r="M529" s="1" t="str">
        <f>TEXT(DATE(tbl_data[[#This Row],[Model_Year]],1,1),"yyyy")</f>
        <v>2009</v>
      </c>
      <c r="N529" s="1" t="str">
        <f>IF(tbl_data[[#This Row],[Kilometers_Driven]]&lt;50000,"&lt;50k",
IF(tbl_data[[#This Row],[Kilometers_Driven]]&lt;100000,"50k-100k",
IF(tbl_data[[#This Row],[Kilometers_Driven]]&lt;150000,"100k-150k","150k+")))</f>
        <v>150k+</v>
      </c>
      <c r="O529" s="1" t="str">
        <f>IF(tbl_data[[#This Row],[Price_USD]]&gt;=87089,"High",
IF(tbl_data[[#This Row],[Price_USD]]&gt;=56807,"Mid","Low"))</f>
        <v>High</v>
      </c>
      <c r="P529" s="1" t="str">
        <f>IF(tbl_data[[#This Row],[Transmission]]="Automatic","Auto","Manual")</f>
        <v>Auto</v>
      </c>
      <c r="Q529" s="1" t="str">
        <f>IFERROR(IF(VALUE(tbl_data[[#This Row],[Engine_CC]])=0,"",VALUE(tbl_data[[#This Row],[Price_USD]])/VALUE(tbl_data[[#This Row],[Engine_CC]])),"")</f>
        <v/>
      </c>
      <c r="R529" s="1" t="str">
        <f>TRIM(tbl_data[[#This Row],[Brand]])</f>
        <v>Mercedes</v>
      </c>
      <c r="S529" s="1">
        <f>_xlfn.NUMBERVALUE(tbl_data[[#This Row],[Price_USD]],".",",")</f>
        <v>17718.87</v>
      </c>
    </row>
    <row r="530" spans="1:19" x14ac:dyDescent="0.3">
      <c r="A530">
        <v>529</v>
      </c>
      <c r="B530" t="s">
        <v>39</v>
      </c>
      <c r="C530">
        <v>2024</v>
      </c>
      <c r="D530">
        <v>18428</v>
      </c>
      <c r="E530" t="s">
        <v>13</v>
      </c>
      <c r="F530" t="s">
        <v>14</v>
      </c>
      <c r="G530" t="s">
        <v>26</v>
      </c>
      <c r="H530">
        <v>926</v>
      </c>
      <c r="I530" t="s">
        <v>1550</v>
      </c>
      <c r="J530" t="s">
        <v>1551</v>
      </c>
      <c r="K530">
        <v>2</v>
      </c>
      <c r="L530" t="s">
        <v>1552</v>
      </c>
      <c r="M530" s="1" t="str">
        <f>TEXT(DATE(tbl_data[[#This Row],[Model_Year]],1,1),"yyyy")</f>
        <v>2024</v>
      </c>
      <c r="N530" s="1" t="str">
        <f>IF(tbl_data[[#This Row],[Kilometers_Driven]]&lt;50000,"&lt;50k",
IF(tbl_data[[#This Row],[Kilometers_Driven]]&lt;100000,"50k-100k",
IF(tbl_data[[#This Row],[Kilometers_Driven]]&lt;150000,"100k-150k","150k+")))</f>
        <v>&lt;50k</v>
      </c>
      <c r="O530" s="1" t="str">
        <f>IF(tbl_data[[#This Row],[Price_USD]]&gt;=87089,"High",
IF(tbl_data[[#This Row],[Price_USD]]&gt;=56807,"Mid","Low"))</f>
        <v>High</v>
      </c>
      <c r="P530" s="1" t="str">
        <f>IF(tbl_data[[#This Row],[Transmission]]="Automatic","Auto","Manual")</f>
        <v>Manual</v>
      </c>
      <c r="Q530" s="1" t="str">
        <f>IFERROR(IF(VALUE(tbl_data[[#This Row],[Engine_CC]])=0,"",VALUE(tbl_data[[#This Row],[Price_USD]])/VALUE(tbl_data[[#This Row],[Engine_CC]])),"")</f>
        <v/>
      </c>
      <c r="R530" s="1" t="str">
        <f>TRIM(tbl_data[[#This Row],[Brand]])</f>
        <v>Volkswagen</v>
      </c>
      <c r="S530" s="1">
        <f>_xlfn.NUMBERVALUE(tbl_data[[#This Row],[Price_USD]],".",",")</f>
        <v>71951.8</v>
      </c>
    </row>
    <row r="531" spans="1:19" x14ac:dyDescent="0.3">
      <c r="A531">
        <v>530</v>
      </c>
      <c r="B531" t="s">
        <v>39</v>
      </c>
      <c r="C531">
        <v>2010</v>
      </c>
      <c r="D531">
        <v>180006</v>
      </c>
      <c r="E531" t="s">
        <v>31</v>
      </c>
      <c r="F531" t="s">
        <v>21</v>
      </c>
      <c r="G531" t="s">
        <v>15</v>
      </c>
      <c r="H531">
        <v>1991</v>
      </c>
      <c r="I531" t="s">
        <v>1553</v>
      </c>
      <c r="J531" t="s">
        <v>1554</v>
      </c>
      <c r="K531">
        <v>7</v>
      </c>
      <c r="L531" t="s">
        <v>1555</v>
      </c>
      <c r="M531" s="1" t="str">
        <f>TEXT(DATE(tbl_data[[#This Row],[Model_Year]],1,1),"yyyy")</f>
        <v>2010</v>
      </c>
      <c r="N531" s="1" t="str">
        <f>IF(tbl_data[[#This Row],[Kilometers_Driven]]&lt;50000,"&lt;50k",
IF(tbl_data[[#This Row],[Kilometers_Driven]]&lt;100000,"50k-100k",
IF(tbl_data[[#This Row],[Kilometers_Driven]]&lt;150000,"100k-150k","150k+")))</f>
        <v>150k+</v>
      </c>
      <c r="O531" s="1" t="str">
        <f>IF(tbl_data[[#This Row],[Price_USD]]&gt;=87089,"High",
IF(tbl_data[[#This Row],[Price_USD]]&gt;=56807,"Mid","Low"))</f>
        <v>High</v>
      </c>
      <c r="P531" s="1" t="str">
        <f>IF(tbl_data[[#This Row],[Transmission]]="Automatic","Auto","Manual")</f>
        <v>Auto</v>
      </c>
      <c r="Q531" s="1" t="str">
        <f>IFERROR(IF(VALUE(tbl_data[[#This Row],[Engine_CC]])=0,"",VALUE(tbl_data[[#This Row],[Price_USD]])/VALUE(tbl_data[[#This Row],[Engine_CC]])),"")</f>
        <v/>
      </c>
      <c r="R531" s="1" t="str">
        <f>TRIM(tbl_data[[#This Row],[Brand]])</f>
        <v>Volkswagen</v>
      </c>
      <c r="S531" s="1">
        <f>_xlfn.NUMBERVALUE(tbl_data[[#This Row],[Price_USD]],".",",")</f>
        <v>64441.48</v>
      </c>
    </row>
    <row r="532" spans="1:19" x14ac:dyDescent="0.3">
      <c r="A532">
        <v>531</v>
      </c>
      <c r="B532" t="s">
        <v>12</v>
      </c>
      <c r="C532">
        <v>2023</v>
      </c>
      <c r="D532">
        <v>146330</v>
      </c>
      <c r="E532" t="s">
        <v>13</v>
      </c>
      <c r="F532" t="s">
        <v>21</v>
      </c>
      <c r="G532" t="s">
        <v>26</v>
      </c>
      <c r="H532">
        <v>3439</v>
      </c>
      <c r="I532" t="s">
        <v>1556</v>
      </c>
      <c r="J532" t="s">
        <v>1557</v>
      </c>
      <c r="K532">
        <v>5</v>
      </c>
      <c r="L532" t="s">
        <v>1558</v>
      </c>
      <c r="M532" s="1" t="str">
        <f>TEXT(DATE(tbl_data[[#This Row],[Model_Year]],1,1),"yyyy")</f>
        <v>2023</v>
      </c>
      <c r="N532" s="1" t="str">
        <f>IF(tbl_data[[#This Row],[Kilometers_Driven]]&lt;50000,"&lt;50k",
IF(tbl_data[[#This Row],[Kilometers_Driven]]&lt;100000,"50k-100k",
IF(tbl_data[[#This Row],[Kilometers_Driven]]&lt;150000,"100k-150k","150k+")))</f>
        <v>100k-150k</v>
      </c>
      <c r="O532" s="1" t="str">
        <f>IF(tbl_data[[#This Row],[Price_USD]]&gt;=87089,"High",
IF(tbl_data[[#This Row],[Price_USD]]&gt;=56807,"Mid","Low"))</f>
        <v>High</v>
      </c>
      <c r="P532" s="1" t="str">
        <f>IF(tbl_data[[#This Row],[Transmission]]="Automatic","Auto","Manual")</f>
        <v>Auto</v>
      </c>
      <c r="Q532" s="1" t="str">
        <f>IFERROR(IF(VALUE(tbl_data[[#This Row],[Engine_CC]])=0,"",VALUE(tbl_data[[#This Row],[Price_USD]])/VALUE(tbl_data[[#This Row],[Engine_CC]])),"")</f>
        <v/>
      </c>
      <c r="R532" s="1" t="str">
        <f>TRIM(tbl_data[[#This Row],[Brand]])</f>
        <v>Audi</v>
      </c>
      <c r="S532" s="1">
        <f>_xlfn.NUMBERVALUE(tbl_data[[#This Row],[Price_USD]],".",",")</f>
        <v>26750.25</v>
      </c>
    </row>
    <row r="533" spans="1:19" x14ac:dyDescent="0.3">
      <c r="A533">
        <v>532</v>
      </c>
      <c r="B533" t="s">
        <v>39</v>
      </c>
      <c r="C533">
        <v>2009</v>
      </c>
      <c r="D533">
        <v>62775</v>
      </c>
      <c r="E533" t="s">
        <v>44</v>
      </c>
      <c r="F533" t="s">
        <v>14</v>
      </c>
      <c r="G533" t="s">
        <v>15</v>
      </c>
      <c r="H533">
        <v>4716</v>
      </c>
      <c r="I533" t="s">
        <v>1559</v>
      </c>
      <c r="J533" t="s">
        <v>1560</v>
      </c>
      <c r="K533">
        <v>5</v>
      </c>
      <c r="L533" t="s">
        <v>1561</v>
      </c>
      <c r="M533" s="1" t="str">
        <f>TEXT(DATE(tbl_data[[#This Row],[Model_Year]],1,1),"yyyy")</f>
        <v>2009</v>
      </c>
      <c r="N533" s="1" t="str">
        <f>IF(tbl_data[[#This Row],[Kilometers_Driven]]&lt;50000,"&lt;50k",
IF(tbl_data[[#This Row],[Kilometers_Driven]]&lt;100000,"50k-100k",
IF(tbl_data[[#This Row],[Kilometers_Driven]]&lt;150000,"100k-150k","150k+")))</f>
        <v>50k-100k</v>
      </c>
      <c r="O533" s="1" t="str">
        <f>IF(tbl_data[[#This Row],[Price_USD]]&gt;=87089,"High",
IF(tbl_data[[#This Row],[Price_USD]]&gt;=56807,"Mid","Low"))</f>
        <v>High</v>
      </c>
      <c r="P533" s="1" t="str">
        <f>IF(tbl_data[[#This Row],[Transmission]]="Automatic","Auto","Manual")</f>
        <v>Manual</v>
      </c>
      <c r="Q533" s="1" t="str">
        <f>IFERROR(IF(VALUE(tbl_data[[#This Row],[Engine_CC]])=0,"",VALUE(tbl_data[[#This Row],[Price_USD]])/VALUE(tbl_data[[#This Row],[Engine_CC]])),"")</f>
        <v/>
      </c>
      <c r="R533" s="1" t="str">
        <f>TRIM(tbl_data[[#This Row],[Brand]])</f>
        <v>Volkswagen</v>
      </c>
      <c r="S533" s="1">
        <f>_xlfn.NUMBERVALUE(tbl_data[[#This Row],[Price_USD]],".",",")</f>
        <v>55868.68</v>
      </c>
    </row>
    <row r="534" spans="1:19" x14ac:dyDescent="0.3">
      <c r="A534">
        <v>533</v>
      </c>
      <c r="B534" t="s">
        <v>30</v>
      </c>
      <c r="C534">
        <v>2007</v>
      </c>
      <c r="D534">
        <v>10469</v>
      </c>
      <c r="E534" t="s">
        <v>44</v>
      </c>
      <c r="F534" t="s">
        <v>14</v>
      </c>
      <c r="G534" t="s">
        <v>32</v>
      </c>
      <c r="H534">
        <v>2166</v>
      </c>
      <c r="I534" t="s">
        <v>1562</v>
      </c>
      <c r="J534" t="s">
        <v>1563</v>
      </c>
      <c r="K534">
        <v>2</v>
      </c>
      <c r="L534" t="s">
        <v>1564</v>
      </c>
      <c r="M534" s="1" t="str">
        <f>TEXT(DATE(tbl_data[[#This Row],[Model_Year]],1,1),"yyyy")</f>
        <v>2007</v>
      </c>
      <c r="N534" s="1" t="str">
        <f>IF(tbl_data[[#This Row],[Kilometers_Driven]]&lt;50000,"&lt;50k",
IF(tbl_data[[#This Row],[Kilometers_Driven]]&lt;100000,"50k-100k",
IF(tbl_data[[#This Row],[Kilometers_Driven]]&lt;150000,"100k-150k","150k+")))</f>
        <v>&lt;50k</v>
      </c>
      <c r="O534" s="1" t="str">
        <f>IF(tbl_data[[#This Row],[Price_USD]]&gt;=87089,"High",
IF(tbl_data[[#This Row],[Price_USD]]&gt;=56807,"Mid","Low"))</f>
        <v>High</v>
      </c>
      <c r="P534" s="1" t="str">
        <f>IF(tbl_data[[#This Row],[Transmission]]="Automatic","Auto","Manual")</f>
        <v>Manual</v>
      </c>
      <c r="Q534" s="1" t="str">
        <f>IFERROR(IF(VALUE(tbl_data[[#This Row],[Engine_CC]])=0,"",VALUE(tbl_data[[#This Row],[Price_USD]])/VALUE(tbl_data[[#This Row],[Engine_CC]])),"")</f>
        <v/>
      </c>
      <c r="R534" s="1" t="str">
        <f>TRIM(tbl_data[[#This Row],[Brand]])</f>
        <v>Mercedes</v>
      </c>
      <c r="S534" s="1">
        <f>_xlfn.NUMBERVALUE(tbl_data[[#This Row],[Price_USD]],".",",")</f>
        <v>96242.86</v>
      </c>
    </row>
    <row r="535" spans="1:19" x14ac:dyDescent="0.3">
      <c r="A535">
        <v>534</v>
      </c>
      <c r="B535" t="s">
        <v>43</v>
      </c>
      <c r="C535">
        <v>2005</v>
      </c>
      <c r="D535">
        <v>33854</v>
      </c>
      <c r="E535" t="s">
        <v>13</v>
      </c>
      <c r="F535" t="s">
        <v>21</v>
      </c>
      <c r="G535" t="s">
        <v>15</v>
      </c>
      <c r="H535">
        <v>1819</v>
      </c>
      <c r="I535" t="s">
        <v>1565</v>
      </c>
      <c r="J535" t="s">
        <v>511</v>
      </c>
      <c r="K535">
        <v>7</v>
      </c>
      <c r="L535" t="s">
        <v>1566</v>
      </c>
      <c r="M535" s="1" t="str">
        <f>TEXT(DATE(tbl_data[[#This Row],[Model_Year]],1,1),"yyyy")</f>
        <v>2005</v>
      </c>
      <c r="N535" s="1" t="str">
        <f>IF(tbl_data[[#This Row],[Kilometers_Driven]]&lt;50000,"&lt;50k",
IF(tbl_data[[#This Row],[Kilometers_Driven]]&lt;100000,"50k-100k",
IF(tbl_data[[#This Row],[Kilometers_Driven]]&lt;150000,"100k-150k","150k+")))</f>
        <v>&lt;50k</v>
      </c>
      <c r="O535" s="1" t="str">
        <f>IF(tbl_data[[#This Row],[Price_USD]]&gt;=87089,"High",
IF(tbl_data[[#This Row],[Price_USD]]&gt;=56807,"Mid","Low"))</f>
        <v>High</v>
      </c>
      <c r="P535" s="1" t="str">
        <f>IF(tbl_data[[#This Row],[Transmission]]="Automatic","Auto","Manual")</f>
        <v>Auto</v>
      </c>
      <c r="Q535" s="1" t="str">
        <f>IFERROR(IF(VALUE(tbl_data[[#This Row],[Engine_CC]])=0,"",VALUE(tbl_data[[#This Row],[Price_USD]])/VALUE(tbl_data[[#This Row],[Engine_CC]])),"")</f>
        <v/>
      </c>
      <c r="R535" s="1" t="str">
        <f>TRIM(tbl_data[[#This Row],[Brand]])</f>
        <v>Ford</v>
      </c>
      <c r="S535" s="1">
        <f>_xlfn.NUMBERVALUE(tbl_data[[#This Row],[Price_USD]],".",",")</f>
        <v>72079.850000000006</v>
      </c>
    </row>
    <row r="536" spans="1:19" x14ac:dyDescent="0.3">
      <c r="A536">
        <v>535</v>
      </c>
      <c r="B536" t="s">
        <v>12</v>
      </c>
      <c r="C536">
        <v>2010</v>
      </c>
      <c r="D536">
        <v>142328</v>
      </c>
      <c r="E536" t="s">
        <v>13</v>
      </c>
      <c r="F536" t="s">
        <v>21</v>
      </c>
      <c r="G536" t="s">
        <v>26</v>
      </c>
      <c r="H536">
        <v>4879</v>
      </c>
      <c r="I536" t="s">
        <v>1567</v>
      </c>
      <c r="J536" t="s">
        <v>1568</v>
      </c>
      <c r="K536">
        <v>5</v>
      </c>
      <c r="L536" t="s">
        <v>1569</v>
      </c>
      <c r="M536" s="1" t="str">
        <f>TEXT(DATE(tbl_data[[#This Row],[Model_Year]],1,1),"yyyy")</f>
        <v>2010</v>
      </c>
      <c r="N536" s="1" t="str">
        <f>IF(tbl_data[[#This Row],[Kilometers_Driven]]&lt;50000,"&lt;50k",
IF(tbl_data[[#This Row],[Kilometers_Driven]]&lt;100000,"50k-100k",
IF(tbl_data[[#This Row],[Kilometers_Driven]]&lt;150000,"100k-150k","150k+")))</f>
        <v>100k-150k</v>
      </c>
      <c r="O536" s="1" t="str">
        <f>IF(tbl_data[[#This Row],[Price_USD]]&gt;=87089,"High",
IF(tbl_data[[#This Row],[Price_USD]]&gt;=56807,"Mid","Low"))</f>
        <v>High</v>
      </c>
      <c r="P536" s="1" t="str">
        <f>IF(tbl_data[[#This Row],[Transmission]]="Automatic","Auto","Manual")</f>
        <v>Auto</v>
      </c>
      <c r="Q536" s="1" t="str">
        <f>IFERROR(IF(VALUE(tbl_data[[#This Row],[Engine_CC]])=0,"",VALUE(tbl_data[[#This Row],[Price_USD]])/VALUE(tbl_data[[#This Row],[Engine_CC]])),"")</f>
        <v/>
      </c>
      <c r="R536" s="1" t="str">
        <f>TRIM(tbl_data[[#This Row],[Brand]])</f>
        <v>Audi</v>
      </c>
      <c r="S536" s="1">
        <f>_xlfn.NUMBERVALUE(tbl_data[[#This Row],[Price_USD]],".",",")</f>
        <v>14339.33</v>
      </c>
    </row>
    <row r="537" spans="1:19" x14ac:dyDescent="0.3">
      <c r="A537">
        <v>536</v>
      </c>
      <c r="B537" t="s">
        <v>76</v>
      </c>
      <c r="C537">
        <v>2019</v>
      </c>
      <c r="D537">
        <v>81256</v>
      </c>
      <c r="E537" t="s">
        <v>13</v>
      </c>
      <c r="F537" t="s">
        <v>21</v>
      </c>
      <c r="G537" t="s">
        <v>15</v>
      </c>
      <c r="H537">
        <v>1484</v>
      </c>
      <c r="I537" t="s">
        <v>1570</v>
      </c>
      <c r="J537" t="s">
        <v>1571</v>
      </c>
      <c r="K537">
        <v>5</v>
      </c>
      <c r="L537" t="s">
        <v>1572</v>
      </c>
      <c r="M537" s="1" t="str">
        <f>TEXT(DATE(tbl_data[[#This Row],[Model_Year]],1,1),"yyyy")</f>
        <v>2019</v>
      </c>
      <c r="N537" s="1" t="str">
        <f>IF(tbl_data[[#This Row],[Kilometers_Driven]]&lt;50000,"&lt;50k",
IF(tbl_data[[#This Row],[Kilometers_Driven]]&lt;100000,"50k-100k",
IF(tbl_data[[#This Row],[Kilometers_Driven]]&lt;150000,"100k-150k","150k+")))</f>
        <v>50k-100k</v>
      </c>
      <c r="O537" s="1" t="str">
        <f>IF(tbl_data[[#This Row],[Price_USD]]&gt;=87089,"High",
IF(tbl_data[[#This Row],[Price_USD]]&gt;=56807,"Mid","Low"))</f>
        <v>High</v>
      </c>
      <c r="P537" s="1" t="str">
        <f>IF(tbl_data[[#This Row],[Transmission]]="Automatic","Auto","Manual")</f>
        <v>Auto</v>
      </c>
      <c r="Q537" s="1" t="str">
        <f>IFERROR(IF(VALUE(tbl_data[[#This Row],[Engine_CC]])=0,"",VALUE(tbl_data[[#This Row],[Price_USD]])/VALUE(tbl_data[[#This Row],[Engine_CC]])),"")</f>
        <v/>
      </c>
      <c r="R537" s="1" t="str">
        <f>TRIM(tbl_data[[#This Row],[Brand]])</f>
        <v>Honda</v>
      </c>
      <c r="S537" s="1">
        <f>_xlfn.NUMBERVALUE(tbl_data[[#This Row],[Price_USD]],".",",")</f>
        <v>67118.52</v>
      </c>
    </row>
    <row r="538" spans="1:19" x14ac:dyDescent="0.3">
      <c r="A538">
        <v>537</v>
      </c>
      <c r="B538" t="s">
        <v>102</v>
      </c>
      <c r="C538">
        <v>2006</v>
      </c>
      <c r="D538">
        <v>170009</v>
      </c>
      <c r="E538" t="s">
        <v>20</v>
      </c>
      <c r="F538" t="s">
        <v>14</v>
      </c>
      <c r="G538" t="s">
        <v>26</v>
      </c>
      <c r="H538">
        <v>4429</v>
      </c>
      <c r="I538" t="s">
        <v>1573</v>
      </c>
      <c r="J538" t="s">
        <v>1574</v>
      </c>
      <c r="K538">
        <v>5</v>
      </c>
      <c r="L538" t="s">
        <v>1575</v>
      </c>
      <c r="M538" s="1" t="str">
        <f>TEXT(DATE(tbl_data[[#This Row],[Model_Year]],1,1),"yyyy")</f>
        <v>2006</v>
      </c>
      <c r="N538" s="1" t="str">
        <f>IF(tbl_data[[#This Row],[Kilometers_Driven]]&lt;50000,"&lt;50k",
IF(tbl_data[[#This Row],[Kilometers_Driven]]&lt;100000,"50k-100k",
IF(tbl_data[[#This Row],[Kilometers_Driven]]&lt;150000,"100k-150k","150k+")))</f>
        <v>150k+</v>
      </c>
      <c r="O538" s="1" t="str">
        <f>IF(tbl_data[[#This Row],[Price_USD]]&gt;=87089,"High",
IF(tbl_data[[#This Row],[Price_USD]]&gt;=56807,"Mid","Low"))</f>
        <v>High</v>
      </c>
      <c r="P538" s="1" t="str">
        <f>IF(tbl_data[[#This Row],[Transmission]]="Automatic","Auto","Manual")</f>
        <v>Manual</v>
      </c>
      <c r="Q538" s="1" t="str">
        <f>IFERROR(IF(VALUE(tbl_data[[#This Row],[Engine_CC]])=0,"",VALUE(tbl_data[[#This Row],[Price_USD]])/VALUE(tbl_data[[#This Row],[Engine_CC]])),"")</f>
        <v/>
      </c>
      <c r="R538" s="1" t="str">
        <f>TRIM(tbl_data[[#This Row],[Brand]])</f>
        <v>Nissan</v>
      </c>
      <c r="S538" s="1">
        <f>_xlfn.NUMBERVALUE(tbl_data[[#This Row],[Price_USD]],".",",")</f>
        <v>85220.38</v>
      </c>
    </row>
    <row r="539" spans="1:19" x14ac:dyDescent="0.3">
      <c r="A539">
        <v>538</v>
      </c>
      <c r="B539" t="s">
        <v>39</v>
      </c>
      <c r="C539">
        <v>2007</v>
      </c>
      <c r="D539">
        <v>104134</v>
      </c>
      <c r="E539" t="s">
        <v>13</v>
      </c>
      <c r="F539" t="s">
        <v>14</v>
      </c>
      <c r="G539" t="s">
        <v>32</v>
      </c>
      <c r="H539">
        <v>3687</v>
      </c>
      <c r="I539" t="s">
        <v>1495</v>
      </c>
      <c r="J539" t="s">
        <v>1576</v>
      </c>
      <c r="K539">
        <v>7</v>
      </c>
      <c r="L539" t="s">
        <v>1577</v>
      </c>
      <c r="M539" s="1" t="str">
        <f>TEXT(DATE(tbl_data[[#This Row],[Model_Year]],1,1),"yyyy")</f>
        <v>2007</v>
      </c>
      <c r="N539" s="1" t="str">
        <f>IF(tbl_data[[#This Row],[Kilometers_Driven]]&lt;50000,"&lt;50k",
IF(tbl_data[[#This Row],[Kilometers_Driven]]&lt;100000,"50k-100k",
IF(tbl_data[[#This Row],[Kilometers_Driven]]&lt;150000,"100k-150k","150k+")))</f>
        <v>100k-150k</v>
      </c>
      <c r="O539" s="1" t="str">
        <f>IF(tbl_data[[#This Row],[Price_USD]]&gt;=87089,"High",
IF(tbl_data[[#This Row],[Price_USD]]&gt;=56807,"Mid","Low"))</f>
        <v>High</v>
      </c>
      <c r="P539" s="1" t="str">
        <f>IF(tbl_data[[#This Row],[Transmission]]="Automatic","Auto","Manual")</f>
        <v>Manual</v>
      </c>
      <c r="Q539" s="1" t="str">
        <f>IFERROR(IF(VALUE(tbl_data[[#This Row],[Engine_CC]])=0,"",VALUE(tbl_data[[#This Row],[Price_USD]])/VALUE(tbl_data[[#This Row],[Engine_CC]])),"")</f>
        <v/>
      </c>
      <c r="R539" s="1" t="str">
        <f>TRIM(tbl_data[[#This Row],[Brand]])</f>
        <v>Volkswagen</v>
      </c>
      <c r="S539" s="1">
        <f>_xlfn.NUMBERVALUE(tbl_data[[#This Row],[Price_USD]],".",",")</f>
        <v>95746.3</v>
      </c>
    </row>
    <row r="540" spans="1:19" x14ac:dyDescent="0.3">
      <c r="A540">
        <v>539</v>
      </c>
      <c r="B540" t="s">
        <v>39</v>
      </c>
      <c r="C540">
        <v>2021</v>
      </c>
      <c r="D540">
        <v>137723</v>
      </c>
      <c r="E540" t="s">
        <v>31</v>
      </c>
      <c r="F540" t="s">
        <v>21</v>
      </c>
      <c r="G540" t="s">
        <v>15</v>
      </c>
      <c r="H540">
        <v>2262</v>
      </c>
      <c r="I540" t="s">
        <v>1578</v>
      </c>
      <c r="J540" t="s">
        <v>1579</v>
      </c>
      <c r="K540">
        <v>2</v>
      </c>
      <c r="L540" t="s">
        <v>1580</v>
      </c>
      <c r="M540" s="1" t="str">
        <f>TEXT(DATE(tbl_data[[#This Row],[Model_Year]],1,1),"yyyy")</f>
        <v>2021</v>
      </c>
      <c r="N540" s="1" t="str">
        <f>IF(tbl_data[[#This Row],[Kilometers_Driven]]&lt;50000,"&lt;50k",
IF(tbl_data[[#This Row],[Kilometers_Driven]]&lt;100000,"50k-100k",
IF(tbl_data[[#This Row],[Kilometers_Driven]]&lt;150000,"100k-150k","150k+")))</f>
        <v>100k-150k</v>
      </c>
      <c r="O540" s="1" t="str">
        <f>IF(tbl_data[[#This Row],[Price_USD]]&gt;=87089,"High",
IF(tbl_data[[#This Row],[Price_USD]]&gt;=56807,"Mid","Low"))</f>
        <v>High</v>
      </c>
      <c r="P540" s="1" t="str">
        <f>IF(tbl_data[[#This Row],[Transmission]]="Automatic","Auto","Manual")</f>
        <v>Auto</v>
      </c>
      <c r="Q540" s="1" t="str">
        <f>IFERROR(IF(VALUE(tbl_data[[#This Row],[Engine_CC]])=0,"",VALUE(tbl_data[[#This Row],[Price_USD]])/VALUE(tbl_data[[#This Row],[Engine_CC]])),"")</f>
        <v/>
      </c>
      <c r="R540" s="1" t="str">
        <f>TRIM(tbl_data[[#This Row],[Brand]])</f>
        <v>Volkswagen</v>
      </c>
      <c r="S540" s="1">
        <f>_xlfn.NUMBERVALUE(tbl_data[[#This Row],[Price_USD]],".",",")</f>
        <v>76606.759999999995</v>
      </c>
    </row>
    <row r="541" spans="1:19" x14ac:dyDescent="0.3">
      <c r="A541">
        <v>540</v>
      </c>
      <c r="B541" t="s">
        <v>92</v>
      </c>
      <c r="C541">
        <v>2016</v>
      </c>
      <c r="D541">
        <v>186360</v>
      </c>
      <c r="E541" t="s">
        <v>20</v>
      </c>
      <c r="F541" t="s">
        <v>14</v>
      </c>
      <c r="G541" t="s">
        <v>32</v>
      </c>
      <c r="H541">
        <v>4886</v>
      </c>
      <c r="I541" t="s">
        <v>1545</v>
      </c>
      <c r="J541" t="s">
        <v>1581</v>
      </c>
      <c r="K541">
        <v>5</v>
      </c>
      <c r="L541" t="s">
        <v>1582</v>
      </c>
      <c r="M541" s="1" t="str">
        <f>TEXT(DATE(tbl_data[[#This Row],[Model_Year]],1,1),"yyyy")</f>
        <v>2016</v>
      </c>
      <c r="N541" s="1" t="str">
        <f>IF(tbl_data[[#This Row],[Kilometers_Driven]]&lt;50000,"&lt;50k",
IF(tbl_data[[#This Row],[Kilometers_Driven]]&lt;100000,"50k-100k",
IF(tbl_data[[#This Row],[Kilometers_Driven]]&lt;150000,"100k-150k","150k+")))</f>
        <v>150k+</v>
      </c>
      <c r="O541" s="1" t="str">
        <f>IF(tbl_data[[#This Row],[Price_USD]]&gt;=87089,"High",
IF(tbl_data[[#This Row],[Price_USD]]&gt;=56807,"Mid","Low"))</f>
        <v>High</v>
      </c>
      <c r="P541" s="1" t="str">
        <f>IF(tbl_data[[#This Row],[Transmission]]="Automatic","Auto","Manual")</f>
        <v>Manual</v>
      </c>
      <c r="Q541" s="1" t="str">
        <f>IFERROR(IF(VALUE(tbl_data[[#This Row],[Engine_CC]])=0,"",VALUE(tbl_data[[#This Row],[Price_USD]])/VALUE(tbl_data[[#This Row],[Engine_CC]])),"")</f>
        <v/>
      </c>
      <c r="R541" s="1" t="str">
        <f>TRIM(tbl_data[[#This Row],[Brand]])</f>
        <v>Toyota</v>
      </c>
      <c r="S541" s="1">
        <f>_xlfn.NUMBERVALUE(tbl_data[[#This Row],[Price_USD]],".",",")</f>
        <v>20861.009999999998</v>
      </c>
    </row>
    <row r="542" spans="1:19" x14ac:dyDescent="0.3">
      <c r="A542">
        <v>541</v>
      </c>
      <c r="B542" t="s">
        <v>69</v>
      </c>
      <c r="C542">
        <v>2022</v>
      </c>
      <c r="D542">
        <v>89730</v>
      </c>
      <c r="E542" t="s">
        <v>20</v>
      </c>
      <c r="F542" t="s">
        <v>14</v>
      </c>
      <c r="G542" t="s">
        <v>26</v>
      </c>
      <c r="H542">
        <v>3061</v>
      </c>
      <c r="I542" t="s">
        <v>1583</v>
      </c>
      <c r="J542" t="s">
        <v>1584</v>
      </c>
      <c r="K542">
        <v>6</v>
      </c>
      <c r="L542" t="s">
        <v>1585</v>
      </c>
      <c r="M542" s="1" t="str">
        <f>TEXT(DATE(tbl_data[[#This Row],[Model_Year]],1,1),"yyyy")</f>
        <v>2022</v>
      </c>
      <c r="N542" s="1" t="str">
        <f>IF(tbl_data[[#This Row],[Kilometers_Driven]]&lt;50000,"&lt;50k",
IF(tbl_data[[#This Row],[Kilometers_Driven]]&lt;100000,"50k-100k",
IF(tbl_data[[#This Row],[Kilometers_Driven]]&lt;150000,"100k-150k","150k+")))</f>
        <v>50k-100k</v>
      </c>
      <c r="O542" s="1" t="str">
        <f>IF(tbl_data[[#This Row],[Price_USD]]&gt;=87089,"High",
IF(tbl_data[[#This Row],[Price_USD]]&gt;=56807,"Mid","Low"))</f>
        <v>High</v>
      </c>
      <c r="P542" s="1" t="str">
        <f>IF(tbl_data[[#This Row],[Transmission]]="Automatic","Auto","Manual")</f>
        <v>Manual</v>
      </c>
      <c r="Q542" s="1" t="str">
        <f>IFERROR(IF(VALUE(tbl_data[[#This Row],[Engine_CC]])=0,"",VALUE(tbl_data[[#This Row],[Price_USD]])/VALUE(tbl_data[[#This Row],[Engine_CC]])),"")</f>
        <v/>
      </c>
      <c r="R542" s="1" t="str">
        <f>TRIM(tbl_data[[#This Row],[Brand]])</f>
        <v>Hyundai</v>
      </c>
      <c r="S542" s="1">
        <f>_xlfn.NUMBERVALUE(tbl_data[[#This Row],[Price_USD]],".",",")</f>
        <v>86090.27</v>
      </c>
    </row>
    <row r="543" spans="1:19" x14ac:dyDescent="0.3">
      <c r="A543">
        <v>542</v>
      </c>
      <c r="B543" t="s">
        <v>12</v>
      </c>
      <c r="C543">
        <v>2019</v>
      </c>
      <c r="D543">
        <v>161123</v>
      </c>
      <c r="E543" t="s">
        <v>13</v>
      </c>
      <c r="F543" t="s">
        <v>21</v>
      </c>
      <c r="G543" t="s">
        <v>26</v>
      </c>
      <c r="H543">
        <v>4980</v>
      </c>
      <c r="I543" t="s">
        <v>1586</v>
      </c>
      <c r="J543" t="s">
        <v>1587</v>
      </c>
      <c r="K543">
        <v>7</v>
      </c>
      <c r="L543" t="s">
        <v>1588</v>
      </c>
      <c r="M543" s="1" t="str">
        <f>TEXT(DATE(tbl_data[[#This Row],[Model_Year]],1,1),"yyyy")</f>
        <v>2019</v>
      </c>
      <c r="N543" s="1" t="str">
        <f>IF(tbl_data[[#This Row],[Kilometers_Driven]]&lt;50000,"&lt;50k",
IF(tbl_data[[#This Row],[Kilometers_Driven]]&lt;100000,"50k-100k",
IF(tbl_data[[#This Row],[Kilometers_Driven]]&lt;150000,"100k-150k","150k+")))</f>
        <v>150k+</v>
      </c>
      <c r="O543" s="1" t="str">
        <f>IF(tbl_data[[#This Row],[Price_USD]]&gt;=87089,"High",
IF(tbl_data[[#This Row],[Price_USD]]&gt;=56807,"Mid","Low"))</f>
        <v>High</v>
      </c>
      <c r="P543" s="1" t="str">
        <f>IF(tbl_data[[#This Row],[Transmission]]="Automatic","Auto","Manual")</f>
        <v>Auto</v>
      </c>
      <c r="Q543" s="1" t="str">
        <f>IFERROR(IF(VALUE(tbl_data[[#This Row],[Engine_CC]])=0,"",VALUE(tbl_data[[#This Row],[Price_USD]])/VALUE(tbl_data[[#This Row],[Engine_CC]])),"")</f>
        <v/>
      </c>
      <c r="R543" s="1" t="str">
        <f>TRIM(tbl_data[[#This Row],[Brand]])</f>
        <v>Audi</v>
      </c>
      <c r="S543" s="1">
        <f>_xlfn.NUMBERVALUE(tbl_data[[#This Row],[Price_USD]],".",",")</f>
        <v>82249</v>
      </c>
    </row>
    <row r="544" spans="1:19" x14ac:dyDescent="0.3">
      <c r="A544">
        <v>543</v>
      </c>
      <c r="B544" t="s">
        <v>25</v>
      </c>
      <c r="C544">
        <v>2016</v>
      </c>
      <c r="D544">
        <v>32386</v>
      </c>
      <c r="E544" t="s">
        <v>31</v>
      </c>
      <c r="F544" t="s">
        <v>21</v>
      </c>
      <c r="G544" t="s">
        <v>32</v>
      </c>
      <c r="H544">
        <v>3641</v>
      </c>
      <c r="I544" t="s">
        <v>1589</v>
      </c>
      <c r="J544" t="s">
        <v>1590</v>
      </c>
      <c r="K544">
        <v>4</v>
      </c>
      <c r="L544" t="s">
        <v>1591</v>
      </c>
      <c r="M544" s="1" t="str">
        <f>TEXT(DATE(tbl_data[[#This Row],[Model_Year]],1,1),"yyyy")</f>
        <v>2016</v>
      </c>
      <c r="N544" s="1" t="str">
        <f>IF(tbl_data[[#This Row],[Kilometers_Driven]]&lt;50000,"&lt;50k",
IF(tbl_data[[#This Row],[Kilometers_Driven]]&lt;100000,"50k-100k",
IF(tbl_data[[#This Row],[Kilometers_Driven]]&lt;150000,"100k-150k","150k+")))</f>
        <v>&lt;50k</v>
      </c>
      <c r="O544" s="1" t="str">
        <f>IF(tbl_data[[#This Row],[Price_USD]]&gt;=87089,"High",
IF(tbl_data[[#This Row],[Price_USD]]&gt;=56807,"Mid","Low"))</f>
        <v>High</v>
      </c>
      <c r="P544" s="1" t="str">
        <f>IF(tbl_data[[#This Row],[Transmission]]="Automatic","Auto","Manual")</f>
        <v>Auto</v>
      </c>
      <c r="Q544" s="1" t="str">
        <f>IFERROR(IF(VALUE(tbl_data[[#This Row],[Engine_CC]])=0,"",VALUE(tbl_data[[#This Row],[Price_USD]])/VALUE(tbl_data[[#This Row],[Engine_CC]])),"")</f>
        <v/>
      </c>
      <c r="R544" s="1" t="str">
        <f>TRIM(tbl_data[[#This Row],[Brand]])</f>
        <v>Kia</v>
      </c>
      <c r="S544" s="1">
        <f>_xlfn.NUMBERVALUE(tbl_data[[#This Row],[Price_USD]],".",",")</f>
        <v>5857.95</v>
      </c>
    </row>
    <row r="545" spans="1:19" x14ac:dyDescent="0.3">
      <c r="A545">
        <v>544</v>
      </c>
      <c r="B545" t="s">
        <v>39</v>
      </c>
      <c r="C545">
        <v>2020</v>
      </c>
      <c r="D545">
        <v>152256</v>
      </c>
      <c r="E545" t="s">
        <v>20</v>
      </c>
      <c r="F545" t="s">
        <v>14</v>
      </c>
      <c r="G545" t="s">
        <v>15</v>
      </c>
      <c r="H545">
        <v>2567</v>
      </c>
      <c r="I545" t="s">
        <v>1592</v>
      </c>
      <c r="J545" t="s">
        <v>1593</v>
      </c>
      <c r="K545">
        <v>2</v>
      </c>
      <c r="L545" t="s">
        <v>1594</v>
      </c>
      <c r="M545" s="1" t="str">
        <f>TEXT(DATE(tbl_data[[#This Row],[Model_Year]],1,1),"yyyy")</f>
        <v>2020</v>
      </c>
      <c r="N545" s="1" t="str">
        <f>IF(tbl_data[[#This Row],[Kilometers_Driven]]&lt;50000,"&lt;50k",
IF(tbl_data[[#This Row],[Kilometers_Driven]]&lt;100000,"50k-100k",
IF(tbl_data[[#This Row],[Kilometers_Driven]]&lt;150000,"100k-150k","150k+")))</f>
        <v>150k+</v>
      </c>
      <c r="O545" s="1" t="str">
        <f>IF(tbl_data[[#This Row],[Price_USD]]&gt;=87089,"High",
IF(tbl_data[[#This Row],[Price_USD]]&gt;=56807,"Mid","Low"))</f>
        <v>High</v>
      </c>
      <c r="P545" s="1" t="str">
        <f>IF(tbl_data[[#This Row],[Transmission]]="Automatic","Auto","Manual")</f>
        <v>Manual</v>
      </c>
      <c r="Q545" s="1" t="str">
        <f>IFERROR(IF(VALUE(tbl_data[[#This Row],[Engine_CC]])=0,"",VALUE(tbl_data[[#This Row],[Price_USD]])/VALUE(tbl_data[[#This Row],[Engine_CC]])),"")</f>
        <v/>
      </c>
      <c r="R545" s="1" t="str">
        <f>TRIM(tbl_data[[#This Row],[Brand]])</f>
        <v>Volkswagen</v>
      </c>
      <c r="S545" s="1">
        <f>_xlfn.NUMBERVALUE(tbl_data[[#This Row],[Price_USD]],".",",")</f>
        <v>51174.48</v>
      </c>
    </row>
    <row r="546" spans="1:19" x14ac:dyDescent="0.3">
      <c r="A546">
        <v>545</v>
      </c>
      <c r="B546" t="s">
        <v>102</v>
      </c>
      <c r="C546">
        <v>2012</v>
      </c>
      <c r="D546">
        <v>38787</v>
      </c>
      <c r="E546" t="s">
        <v>44</v>
      </c>
      <c r="F546" t="s">
        <v>14</v>
      </c>
      <c r="G546" t="s">
        <v>15</v>
      </c>
      <c r="H546">
        <v>4980</v>
      </c>
      <c r="I546" t="s">
        <v>1595</v>
      </c>
      <c r="J546" t="s">
        <v>629</v>
      </c>
      <c r="K546">
        <v>6</v>
      </c>
      <c r="L546" t="s">
        <v>1596</v>
      </c>
      <c r="M546" s="1" t="str">
        <f>TEXT(DATE(tbl_data[[#This Row],[Model_Year]],1,1),"yyyy")</f>
        <v>2012</v>
      </c>
      <c r="N546" s="1" t="str">
        <f>IF(tbl_data[[#This Row],[Kilometers_Driven]]&lt;50000,"&lt;50k",
IF(tbl_data[[#This Row],[Kilometers_Driven]]&lt;100000,"50k-100k",
IF(tbl_data[[#This Row],[Kilometers_Driven]]&lt;150000,"100k-150k","150k+")))</f>
        <v>&lt;50k</v>
      </c>
      <c r="O546" s="1" t="str">
        <f>IF(tbl_data[[#This Row],[Price_USD]]&gt;=87089,"High",
IF(tbl_data[[#This Row],[Price_USD]]&gt;=56807,"Mid","Low"))</f>
        <v>High</v>
      </c>
      <c r="P546" s="1" t="str">
        <f>IF(tbl_data[[#This Row],[Transmission]]="Automatic","Auto","Manual")</f>
        <v>Manual</v>
      </c>
      <c r="Q546" s="1" t="str">
        <f>IFERROR(IF(VALUE(tbl_data[[#This Row],[Engine_CC]])=0,"",VALUE(tbl_data[[#This Row],[Price_USD]])/VALUE(tbl_data[[#This Row],[Engine_CC]])),"")</f>
        <v/>
      </c>
      <c r="R546" s="1" t="str">
        <f>TRIM(tbl_data[[#This Row],[Brand]])</f>
        <v>Nissan</v>
      </c>
      <c r="S546" s="1">
        <f>_xlfn.NUMBERVALUE(tbl_data[[#This Row],[Price_USD]],".",",")</f>
        <v>41955.18</v>
      </c>
    </row>
    <row r="547" spans="1:19" x14ac:dyDescent="0.3">
      <c r="A547">
        <v>546</v>
      </c>
      <c r="B547" t="s">
        <v>76</v>
      </c>
      <c r="C547">
        <v>2018</v>
      </c>
      <c r="D547">
        <v>26621</v>
      </c>
      <c r="E547" t="s">
        <v>20</v>
      </c>
      <c r="F547" t="s">
        <v>21</v>
      </c>
      <c r="G547" t="s">
        <v>26</v>
      </c>
      <c r="H547">
        <v>4360</v>
      </c>
      <c r="I547" t="s">
        <v>1505</v>
      </c>
      <c r="J547" t="s">
        <v>1597</v>
      </c>
      <c r="K547">
        <v>5</v>
      </c>
      <c r="L547" t="s">
        <v>1598</v>
      </c>
      <c r="M547" s="1" t="str">
        <f>TEXT(DATE(tbl_data[[#This Row],[Model_Year]],1,1),"yyyy")</f>
        <v>2018</v>
      </c>
      <c r="N547" s="1" t="str">
        <f>IF(tbl_data[[#This Row],[Kilometers_Driven]]&lt;50000,"&lt;50k",
IF(tbl_data[[#This Row],[Kilometers_Driven]]&lt;100000,"50k-100k",
IF(tbl_data[[#This Row],[Kilometers_Driven]]&lt;150000,"100k-150k","150k+")))</f>
        <v>&lt;50k</v>
      </c>
      <c r="O547" s="1" t="str">
        <f>IF(tbl_data[[#This Row],[Price_USD]]&gt;=87089,"High",
IF(tbl_data[[#This Row],[Price_USD]]&gt;=56807,"Mid","Low"))</f>
        <v>High</v>
      </c>
      <c r="P547" s="1" t="str">
        <f>IF(tbl_data[[#This Row],[Transmission]]="Automatic","Auto","Manual")</f>
        <v>Auto</v>
      </c>
      <c r="Q547" s="1" t="str">
        <f>IFERROR(IF(VALUE(tbl_data[[#This Row],[Engine_CC]])=0,"",VALUE(tbl_data[[#This Row],[Price_USD]])/VALUE(tbl_data[[#This Row],[Engine_CC]])),"")</f>
        <v/>
      </c>
      <c r="R547" s="1" t="str">
        <f>TRIM(tbl_data[[#This Row],[Brand]])</f>
        <v>Honda</v>
      </c>
      <c r="S547" s="1">
        <f>_xlfn.NUMBERVALUE(tbl_data[[#This Row],[Price_USD]],".",",")</f>
        <v>81321.210000000006</v>
      </c>
    </row>
    <row r="548" spans="1:19" x14ac:dyDescent="0.3">
      <c r="A548">
        <v>547</v>
      </c>
      <c r="B548" t="s">
        <v>39</v>
      </c>
      <c r="C548">
        <v>2021</v>
      </c>
      <c r="D548">
        <v>82984</v>
      </c>
      <c r="E548" t="s">
        <v>13</v>
      </c>
      <c r="F548" t="s">
        <v>14</v>
      </c>
      <c r="G548" t="s">
        <v>32</v>
      </c>
      <c r="H548">
        <v>2912</v>
      </c>
      <c r="I548" t="s">
        <v>1599</v>
      </c>
      <c r="J548" t="s">
        <v>1600</v>
      </c>
      <c r="K548">
        <v>4</v>
      </c>
      <c r="L548" t="s">
        <v>1601</v>
      </c>
      <c r="M548" s="1" t="str">
        <f>TEXT(DATE(tbl_data[[#This Row],[Model_Year]],1,1),"yyyy")</f>
        <v>2021</v>
      </c>
      <c r="N548" s="1" t="str">
        <f>IF(tbl_data[[#This Row],[Kilometers_Driven]]&lt;50000,"&lt;50k",
IF(tbl_data[[#This Row],[Kilometers_Driven]]&lt;100000,"50k-100k",
IF(tbl_data[[#This Row],[Kilometers_Driven]]&lt;150000,"100k-150k","150k+")))</f>
        <v>50k-100k</v>
      </c>
      <c r="O548" s="1" t="str">
        <f>IF(tbl_data[[#This Row],[Price_USD]]&gt;=87089,"High",
IF(tbl_data[[#This Row],[Price_USD]]&gt;=56807,"Mid","Low"))</f>
        <v>High</v>
      </c>
      <c r="P548" s="1" t="str">
        <f>IF(tbl_data[[#This Row],[Transmission]]="Automatic","Auto","Manual")</f>
        <v>Manual</v>
      </c>
      <c r="Q548" s="1" t="str">
        <f>IFERROR(IF(VALUE(tbl_data[[#This Row],[Engine_CC]])=0,"",VALUE(tbl_data[[#This Row],[Price_USD]])/VALUE(tbl_data[[#This Row],[Engine_CC]])),"")</f>
        <v/>
      </c>
      <c r="R548" s="1" t="str">
        <f>TRIM(tbl_data[[#This Row],[Brand]])</f>
        <v>Volkswagen</v>
      </c>
      <c r="S548" s="1">
        <f>_xlfn.NUMBERVALUE(tbl_data[[#This Row],[Price_USD]],".",",")</f>
        <v>28287.89</v>
      </c>
    </row>
    <row r="549" spans="1:19" x14ac:dyDescent="0.3">
      <c r="A549">
        <v>548</v>
      </c>
      <c r="B549" t="s">
        <v>76</v>
      </c>
      <c r="C549">
        <v>2012</v>
      </c>
      <c r="D549">
        <v>195864</v>
      </c>
      <c r="E549" t="s">
        <v>31</v>
      </c>
      <c r="F549" t="s">
        <v>14</v>
      </c>
      <c r="G549" t="s">
        <v>32</v>
      </c>
      <c r="H549">
        <v>1426</v>
      </c>
      <c r="I549" t="s">
        <v>1602</v>
      </c>
      <c r="J549" t="s">
        <v>1603</v>
      </c>
      <c r="K549">
        <v>2</v>
      </c>
      <c r="L549" t="s">
        <v>1604</v>
      </c>
      <c r="M549" s="1" t="str">
        <f>TEXT(DATE(tbl_data[[#This Row],[Model_Year]],1,1),"yyyy")</f>
        <v>2012</v>
      </c>
      <c r="N549" s="1" t="str">
        <f>IF(tbl_data[[#This Row],[Kilometers_Driven]]&lt;50000,"&lt;50k",
IF(tbl_data[[#This Row],[Kilometers_Driven]]&lt;100000,"50k-100k",
IF(tbl_data[[#This Row],[Kilometers_Driven]]&lt;150000,"100k-150k","150k+")))</f>
        <v>150k+</v>
      </c>
      <c r="O549" s="1" t="str">
        <f>IF(tbl_data[[#This Row],[Price_USD]]&gt;=87089,"High",
IF(tbl_data[[#This Row],[Price_USD]]&gt;=56807,"Mid","Low"))</f>
        <v>High</v>
      </c>
      <c r="P549" s="1" t="str">
        <f>IF(tbl_data[[#This Row],[Transmission]]="Automatic","Auto","Manual")</f>
        <v>Manual</v>
      </c>
      <c r="Q549" s="1" t="str">
        <f>IFERROR(IF(VALUE(tbl_data[[#This Row],[Engine_CC]])=0,"",VALUE(tbl_data[[#This Row],[Price_USD]])/VALUE(tbl_data[[#This Row],[Engine_CC]])),"")</f>
        <v/>
      </c>
      <c r="R549" s="1" t="str">
        <f>TRIM(tbl_data[[#This Row],[Brand]])</f>
        <v>Honda</v>
      </c>
      <c r="S549" s="1">
        <f>_xlfn.NUMBERVALUE(tbl_data[[#This Row],[Price_USD]],".",",")</f>
        <v>72132.009999999995</v>
      </c>
    </row>
    <row r="550" spans="1:19" x14ac:dyDescent="0.3">
      <c r="A550">
        <v>549</v>
      </c>
      <c r="B550" t="s">
        <v>30</v>
      </c>
      <c r="C550">
        <v>2019</v>
      </c>
      <c r="D550">
        <v>181325</v>
      </c>
      <c r="E550" t="s">
        <v>13</v>
      </c>
      <c r="F550" t="s">
        <v>21</v>
      </c>
      <c r="G550" t="s">
        <v>15</v>
      </c>
      <c r="H550">
        <v>4959</v>
      </c>
      <c r="I550" t="s">
        <v>1605</v>
      </c>
      <c r="J550" t="s">
        <v>1606</v>
      </c>
      <c r="K550">
        <v>7</v>
      </c>
      <c r="L550" t="s">
        <v>1607</v>
      </c>
      <c r="M550" s="1" t="str">
        <f>TEXT(DATE(tbl_data[[#This Row],[Model_Year]],1,1),"yyyy")</f>
        <v>2019</v>
      </c>
      <c r="N550" s="1" t="str">
        <f>IF(tbl_data[[#This Row],[Kilometers_Driven]]&lt;50000,"&lt;50k",
IF(tbl_data[[#This Row],[Kilometers_Driven]]&lt;100000,"50k-100k",
IF(tbl_data[[#This Row],[Kilometers_Driven]]&lt;150000,"100k-150k","150k+")))</f>
        <v>150k+</v>
      </c>
      <c r="O550" s="1" t="str">
        <f>IF(tbl_data[[#This Row],[Price_USD]]&gt;=87089,"High",
IF(tbl_data[[#This Row],[Price_USD]]&gt;=56807,"Mid","Low"))</f>
        <v>High</v>
      </c>
      <c r="P550" s="1" t="str">
        <f>IF(tbl_data[[#This Row],[Transmission]]="Automatic","Auto","Manual")</f>
        <v>Auto</v>
      </c>
      <c r="Q550" s="1" t="str">
        <f>IFERROR(IF(VALUE(tbl_data[[#This Row],[Engine_CC]])=0,"",VALUE(tbl_data[[#This Row],[Price_USD]])/VALUE(tbl_data[[#This Row],[Engine_CC]])),"")</f>
        <v/>
      </c>
      <c r="R550" s="1" t="str">
        <f>TRIM(tbl_data[[#This Row],[Brand]])</f>
        <v>Mercedes</v>
      </c>
      <c r="S550" s="1">
        <f>_xlfn.NUMBERVALUE(tbl_data[[#This Row],[Price_USD]],".",",")</f>
        <v>109845.1</v>
      </c>
    </row>
    <row r="551" spans="1:19" x14ac:dyDescent="0.3">
      <c r="A551">
        <v>550</v>
      </c>
      <c r="B551" t="s">
        <v>30</v>
      </c>
      <c r="C551">
        <v>2018</v>
      </c>
      <c r="D551">
        <v>39051</v>
      </c>
      <c r="E551" t="s">
        <v>44</v>
      </c>
      <c r="F551" t="s">
        <v>21</v>
      </c>
      <c r="G551" t="s">
        <v>15</v>
      </c>
      <c r="H551">
        <v>4214</v>
      </c>
      <c r="I551" t="s">
        <v>1608</v>
      </c>
      <c r="J551" t="s">
        <v>1609</v>
      </c>
      <c r="K551">
        <v>4</v>
      </c>
      <c r="L551" t="s">
        <v>1610</v>
      </c>
      <c r="M551" s="1" t="str">
        <f>TEXT(DATE(tbl_data[[#This Row],[Model_Year]],1,1),"yyyy")</f>
        <v>2018</v>
      </c>
      <c r="N551" s="1" t="str">
        <f>IF(tbl_data[[#This Row],[Kilometers_Driven]]&lt;50000,"&lt;50k",
IF(tbl_data[[#This Row],[Kilometers_Driven]]&lt;100000,"50k-100k",
IF(tbl_data[[#This Row],[Kilometers_Driven]]&lt;150000,"100k-150k","150k+")))</f>
        <v>&lt;50k</v>
      </c>
      <c r="O551" s="1" t="str">
        <f>IF(tbl_data[[#This Row],[Price_USD]]&gt;=87089,"High",
IF(tbl_data[[#This Row],[Price_USD]]&gt;=56807,"Mid","Low"))</f>
        <v>High</v>
      </c>
      <c r="P551" s="1" t="str">
        <f>IF(tbl_data[[#This Row],[Transmission]]="Automatic","Auto","Manual")</f>
        <v>Auto</v>
      </c>
      <c r="Q551" s="1" t="str">
        <f>IFERROR(IF(VALUE(tbl_data[[#This Row],[Engine_CC]])=0,"",VALUE(tbl_data[[#This Row],[Price_USD]])/VALUE(tbl_data[[#This Row],[Engine_CC]])),"")</f>
        <v/>
      </c>
      <c r="R551" s="1" t="str">
        <f>TRIM(tbl_data[[#This Row],[Brand]])</f>
        <v>Mercedes</v>
      </c>
      <c r="S551" s="1">
        <f>_xlfn.NUMBERVALUE(tbl_data[[#This Row],[Price_USD]],".",",")</f>
        <v>96342.88</v>
      </c>
    </row>
    <row r="552" spans="1:19" x14ac:dyDescent="0.3">
      <c r="A552">
        <v>551</v>
      </c>
      <c r="B552" t="s">
        <v>69</v>
      </c>
      <c r="C552">
        <v>2022</v>
      </c>
      <c r="D552">
        <v>54811</v>
      </c>
      <c r="E552" t="s">
        <v>44</v>
      </c>
      <c r="F552" t="s">
        <v>14</v>
      </c>
      <c r="G552" t="s">
        <v>15</v>
      </c>
      <c r="H552">
        <v>2175</v>
      </c>
      <c r="I552" t="s">
        <v>1611</v>
      </c>
      <c r="J552" t="s">
        <v>1246</v>
      </c>
      <c r="K552">
        <v>4</v>
      </c>
      <c r="L552" t="s">
        <v>1612</v>
      </c>
      <c r="M552" s="1" t="str">
        <f>TEXT(DATE(tbl_data[[#This Row],[Model_Year]],1,1),"yyyy")</f>
        <v>2022</v>
      </c>
      <c r="N552" s="1" t="str">
        <f>IF(tbl_data[[#This Row],[Kilometers_Driven]]&lt;50000,"&lt;50k",
IF(tbl_data[[#This Row],[Kilometers_Driven]]&lt;100000,"50k-100k",
IF(tbl_data[[#This Row],[Kilometers_Driven]]&lt;150000,"100k-150k","150k+")))</f>
        <v>50k-100k</v>
      </c>
      <c r="O552" s="1" t="str">
        <f>IF(tbl_data[[#This Row],[Price_USD]]&gt;=87089,"High",
IF(tbl_data[[#This Row],[Price_USD]]&gt;=56807,"Mid","Low"))</f>
        <v>High</v>
      </c>
      <c r="P552" s="1" t="str">
        <f>IF(tbl_data[[#This Row],[Transmission]]="Automatic","Auto","Manual")</f>
        <v>Manual</v>
      </c>
      <c r="Q552" s="1" t="str">
        <f>IFERROR(IF(VALUE(tbl_data[[#This Row],[Engine_CC]])=0,"",VALUE(tbl_data[[#This Row],[Price_USD]])/VALUE(tbl_data[[#This Row],[Engine_CC]])),"")</f>
        <v/>
      </c>
      <c r="R552" s="1" t="str">
        <f>TRIM(tbl_data[[#This Row],[Brand]])</f>
        <v>Hyundai</v>
      </c>
      <c r="S552" s="1">
        <f>_xlfn.NUMBERVALUE(tbl_data[[#This Row],[Price_USD]],".",",")</f>
        <v>110810.56</v>
      </c>
    </row>
    <row r="553" spans="1:19" x14ac:dyDescent="0.3">
      <c r="A553">
        <v>552</v>
      </c>
      <c r="B553" t="s">
        <v>43</v>
      </c>
      <c r="C553">
        <v>2024</v>
      </c>
      <c r="D553">
        <v>35447</v>
      </c>
      <c r="E553" t="s">
        <v>44</v>
      </c>
      <c r="F553" t="s">
        <v>14</v>
      </c>
      <c r="G553" t="s">
        <v>32</v>
      </c>
      <c r="H553">
        <v>1981</v>
      </c>
      <c r="I553" t="s">
        <v>1613</v>
      </c>
      <c r="J553" t="s">
        <v>1614</v>
      </c>
      <c r="K553">
        <v>6</v>
      </c>
      <c r="L553" t="s">
        <v>1615</v>
      </c>
      <c r="M553" s="1" t="str">
        <f>TEXT(DATE(tbl_data[[#This Row],[Model_Year]],1,1),"yyyy")</f>
        <v>2024</v>
      </c>
      <c r="N553" s="1" t="str">
        <f>IF(tbl_data[[#This Row],[Kilometers_Driven]]&lt;50000,"&lt;50k",
IF(tbl_data[[#This Row],[Kilometers_Driven]]&lt;100000,"50k-100k",
IF(tbl_data[[#This Row],[Kilometers_Driven]]&lt;150000,"100k-150k","150k+")))</f>
        <v>&lt;50k</v>
      </c>
      <c r="O553" s="1" t="str">
        <f>IF(tbl_data[[#This Row],[Price_USD]]&gt;=87089,"High",
IF(tbl_data[[#This Row],[Price_USD]]&gt;=56807,"Mid","Low"))</f>
        <v>High</v>
      </c>
      <c r="P553" s="1" t="str">
        <f>IF(tbl_data[[#This Row],[Transmission]]="Automatic","Auto","Manual")</f>
        <v>Manual</v>
      </c>
      <c r="Q553" s="1" t="str">
        <f>IFERROR(IF(VALUE(tbl_data[[#This Row],[Engine_CC]])=0,"",VALUE(tbl_data[[#This Row],[Price_USD]])/VALUE(tbl_data[[#This Row],[Engine_CC]])),"")</f>
        <v/>
      </c>
      <c r="R553" s="1" t="str">
        <f>TRIM(tbl_data[[#This Row],[Brand]])</f>
        <v>Ford</v>
      </c>
      <c r="S553" s="1">
        <f>_xlfn.NUMBERVALUE(tbl_data[[#This Row],[Price_USD]],".",",")</f>
        <v>117485.2</v>
      </c>
    </row>
    <row r="554" spans="1:19" x14ac:dyDescent="0.3">
      <c r="A554">
        <v>553</v>
      </c>
      <c r="B554" t="s">
        <v>25</v>
      </c>
      <c r="C554">
        <v>2011</v>
      </c>
      <c r="D554">
        <v>133046</v>
      </c>
      <c r="E554" t="s">
        <v>13</v>
      </c>
      <c r="F554" t="s">
        <v>14</v>
      </c>
      <c r="G554" t="s">
        <v>15</v>
      </c>
      <c r="H554">
        <v>1290</v>
      </c>
      <c r="I554" t="s">
        <v>1616</v>
      </c>
      <c r="J554" t="s">
        <v>1617</v>
      </c>
      <c r="K554">
        <v>2</v>
      </c>
      <c r="L554" t="s">
        <v>1618</v>
      </c>
      <c r="M554" s="1" t="str">
        <f>TEXT(DATE(tbl_data[[#This Row],[Model_Year]],1,1),"yyyy")</f>
        <v>2011</v>
      </c>
      <c r="N554" s="1" t="str">
        <f>IF(tbl_data[[#This Row],[Kilometers_Driven]]&lt;50000,"&lt;50k",
IF(tbl_data[[#This Row],[Kilometers_Driven]]&lt;100000,"50k-100k",
IF(tbl_data[[#This Row],[Kilometers_Driven]]&lt;150000,"100k-150k","150k+")))</f>
        <v>100k-150k</v>
      </c>
      <c r="O554" s="1" t="str">
        <f>IF(tbl_data[[#This Row],[Price_USD]]&gt;=87089,"High",
IF(tbl_data[[#This Row],[Price_USD]]&gt;=56807,"Mid","Low"))</f>
        <v>High</v>
      </c>
      <c r="P554" s="1" t="str">
        <f>IF(tbl_data[[#This Row],[Transmission]]="Automatic","Auto","Manual")</f>
        <v>Manual</v>
      </c>
      <c r="Q554" s="1" t="str">
        <f>IFERROR(IF(VALUE(tbl_data[[#This Row],[Engine_CC]])=0,"",VALUE(tbl_data[[#This Row],[Price_USD]])/VALUE(tbl_data[[#This Row],[Engine_CC]])),"")</f>
        <v/>
      </c>
      <c r="R554" s="1" t="str">
        <f>TRIM(tbl_data[[#This Row],[Brand]])</f>
        <v>Kia</v>
      </c>
      <c r="S554" s="1">
        <f>_xlfn.NUMBERVALUE(tbl_data[[#This Row],[Price_USD]],".",",")</f>
        <v>4248.3999999999996</v>
      </c>
    </row>
    <row r="555" spans="1:19" x14ac:dyDescent="0.3">
      <c r="A555">
        <v>554</v>
      </c>
      <c r="B555" t="s">
        <v>92</v>
      </c>
      <c r="C555">
        <v>2007</v>
      </c>
      <c r="D555">
        <v>166326</v>
      </c>
      <c r="E555" t="s">
        <v>20</v>
      </c>
      <c r="F555" t="s">
        <v>21</v>
      </c>
      <c r="G555" t="s">
        <v>15</v>
      </c>
      <c r="H555">
        <v>4529</v>
      </c>
      <c r="I555" t="s">
        <v>1619</v>
      </c>
      <c r="J555" t="s">
        <v>1620</v>
      </c>
      <c r="K555">
        <v>6</v>
      </c>
      <c r="L555" t="s">
        <v>1621</v>
      </c>
      <c r="M555" s="1" t="str">
        <f>TEXT(DATE(tbl_data[[#This Row],[Model_Year]],1,1),"yyyy")</f>
        <v>2007</v>
      </c>
      <c r="N555" s="1" t="str">
        <f>IF(tbl_data[[#This Row],[Kilometers_Driven]]&lt;50000,"&lt;50k",
IF(tbl_data[[#This Row],[Kilometers_Driven]]&lt;100000,"50k-100k",
IF(tbl_data[[#This Row],[Kilometers_Driven]]&lt;150000,"100k-150k","150k+")))</f>
        <v>150k+</v>
      </c>
      <c r="O555" s="1" t="str">
        <f>IF(tbl_data[[#This Row],[Price_USD]]&gt;=87089,"High",
IF(tbl_data[[#This Row],[Price_USD]]&gt;=56807,"Mid","Low"))</f>
        <v>High</v>
      </c>
      <c r="P555" s="1" t="str">
        <f>IF(tbl_data[[#This Row],[Transmission]]="Automatic","Auto","Manual")</f>
        <v>Auto</v>
      </c>
      <c r="Q555" s="1" t="str">
        <f>IFERROR(IF(VALUE(tbl_data[[#This Row],[Engine_CC]])=0,"",VALUE(tbl_data[[#This Row],[Price_USD]])/VALUE(tbl_data[[#This Row],[Engine_CC]])),"")</f>
        <v/>
      </c>
      <c r="R555" s="1" t="str">
        <f>TRIM(tbl_data[[#This Row],[Brand]])</f>
        <v>Toyota</v>
      </c>
      <c r="S555" s="1">
        <f>_xlfn.NUMBERVALUE(tbl_data[[#This Row],[Price_USD]],".",",")</f>
        <v>75860.73</v>
      </c>
    </row>
    <row r="556" spans="1:19" x14ac:dyDescent="0.3">
      <c r="A556">
        <v>555</v>
      </c>
      <c r="B556" t="s">
        <v>69</v>
      </c>
      <c r="C556">
        <v>2016</v>
      </c>
      <c r="D556">
        <v>89045</v>
      </c>
      <c r="E556" t="s">
        <v>13</v>
      </c>
      <c r="F556" t="s">
        <v>14</v>
      </c>
      <c r="G556" t="s">
        <v>26</v>
      </c>
      <c r="H556">
        <v>4334</v>
      </c>
      <c r="I556" t="s">
        <v>1622</v>
      </c>
      <c r="J556" t="s">
        <v>1623</v>
      </c>
      <c r="K556">
        <v>6</v>
      </c>
      <c r="L556" t="s">
        <v>1624</v>
      </c>
      <c r="M556" s="1" t="str">
        <f>TEXT(DATE(tbl_data[[#This Row],[Model_Year]],1,1),"yyyy")</f>
        <v>2016</v>
      </c>
      <c r="N556" s="1" t="str">
        <f>IF(tbl_data[[#This Row],[Kilometers_Driven]]&lt;50000,"&lt;50k",
IF(tbl_data[[#This Row],[Kilometers_Driven]]&lt;100000,"50k-100k",
IF(tbl_data[[#This Row],[Kilometers_Driven]]&lt;150000,"100k-150k","150k+")))</f>
        <v>50k-100k</v>
      </c>
      <c r="O556" s="1" t="str">
        <f>IF(tbl_data[[#This Row],[Price_USD]]&gt;=87089,"High",
IF(tbl_data[[#This Row],[Price_USD]]&gt;=56807,"Mid","Low"))</f>
        <v>High</v>
      </c>
      <c r="P556" s="1" t="str">
        <f>IF(tbl_data[[#This Row],[Transmission]]="Automatic","Auto","Manual")</f>
        <v>Manual</v>
      </c>
      <c r="Q556" s="1" t="str">
        <f>IFERROR(IF(VALUE(tbl_data[[#This Row],[Engine_CC]])=0,"",VALUE(tbl_data[[#This Row],[Price_USD]])/VALUE(tbl_data[[#This Row],[Engine_CC]])),"")</f>
        <v/>
      </c>
      <c r="R556" s="1" t="str">
        <f>TRIM(tbl_data[[#This Row],[Brand]])</f>
        <v>Hyundai</v>
      </c>
      <c r="S556" s="1">
        <f>_xlfn.NUMBERVALUE(tbl_data[[#This Row],[Price_USD]],".",",")</f>
        <v>51302.21</v>
      </c>
    </row>
    <row r="557" spans="1:19" x14ac:dyDescent="0.3">
      <c r="A557">
        <v>556</v>
      </c>
      <c r="B557" t="s">
        <v>19</v>
      </c>
      <c r="C557">
        <v>2007</v>
      </c>
      <c r="D557">
        <v>121859</v>
      </c>
      <c r="E557" t="s">
        <v>31</v>
      </c>
      <c r="F557" t="s">
        <v>14</v>
      </c>
      <c r="G557" t="s">
        <v>15</v>
      </c>
      <c r="H557">
        <v>4096</v>
      </c>
      <c r="I557" t="s">
        <v>1625</v>
      </c>
      <c r="J557" t="s">
        <v>1626</v>
      </c>
      <c r="K557">
        <v>5</v>
      </c>
      <c r="L557" t="s">
        <v>1627</v>
      </c>
      <c r="M557" s="1" t="str">
        <f>TEXT(DATE(tbl_data[[#This Row],[Model_Year]],1,1),"yyyy")</f>
        <v>2007</v>
      </c>
      <c r="N557" s="1" t="str">
        <f>IF(tbl_data[[#This Row],[Kilometers_Driven]]&lt;50000,"&lt;50k",
IF(tbl_data[[#This Row],[Kilometers_Driven]]&lt;100000,"50k-100k",
IF(tbl_data[[#This Row],[Kilometers_Driven]]&lt;150000,"100k-150k","150k+")))</f>
        <v>100k-150k</v>
      </c>
      <c r="O557" s="1" t="str">
        <f>IF(tbl_data[[#This Row],[Price_USD]]&gt;=87089,"High",
IF(tbl_data[[#This Row],[Price_USD]]&gt;=56807,"Mid","Low"))</f>
        <v>High</v>
      </c>
      <c r="P557" s="1" t="str">
        <f>IF(tbl_data[[#This Row],[Transmission]]="Automatic","Auto","Manual")</f>
        <v>Manual</v>
      </c>
      <c r="Q557" s="1" t="str">
        <f>IFERROR(IF(VALUE(tbl_data[[#This Row],[Engine_CC]])=0,"",VALUE(tbl_data[[#This Row],[Price_USD]])/VALUE(tbl_data[[#This Row],[Engine_CC]])),"")</f>
        <v/>
      </c>
      <c r="R557" s="1" t="str">
        <f>TRIM(tbl_data[[#This Row],[Brand]])</f>
        <v>BMW</v>
      </c>
      <c r="S557" s="1">
        <f>_xlfn.NUMBERVALUE(tbl_data[[#This Row],[Price_USD]],".",",")</f>
        <v>103602.98</v>
      </c>
    </row>
    <row r="558" spans="1:19" x14ac:dyDescent="0.3">
      <c r="A558">
        <v>557</v>
      </c>
      <c r="B558" t="s">
        <v>92</v>
      </c>
      <c r="C558">
        <v>2024</v>
      </c>
      <c r="D558">
        <v>193490</v>
      </c>
      <c r="E558" t="s">
        <v>20</v>
      </c>
      <c r="F558" t="s">
        <v>21</v>
      </c>
      <c r="G558" t="s">
        <v>15</v>
      </c>
      <c r="H558">
        <v>2740</v>
      </c>
      <c r="I558" t="s">
        <v>1628</v>
      </c>
      <c r="J558" t="s">
        <v>1206</v>
      </c>
      <c r="K558">
        <v>7</v>
      </c>
      <c r="L558" t="s">
        <v>1629</v>
      </c>
      <c r="M558" s="1" t="str">
        <f>TEXT(DATE(tbl_data[[#This Row],[Model_Year]],1,1),"yyyy")</f>
        <v>2024</v>
      </c>
      <c r="N558" s="1" t="str">
        <f>IF(tbl_data[[#This Row],[Kilometers_Driven]]&lt;50000,"&lt;50k",
IF(tbl_data[[#This Row],[Kilometers_Driven]]&lt;100000,"50k-100k",
IF(tbl_data[[#This Row],[Kilometers_Driven]]&lt;150000,"100k-150k","150k+")))</f>
        <v>150k+</v>
      </c>
      <c r="O558" s="1" t="str">
        <f>IF(tbl_data[[#This Row],[Price_USD]]&gt;=87089,"High",
IF(tbl_data[[#This Row],[Price_USD]]&gt;=56807,"Mid","Low"))</f>
        <v>High</v>
      </c>
      <c r="P558" s="1" t="str">
        <f>IF(tbl_data[[#This Row],[Transmission]]="Automatic","Auto","Manual")</f>
        <v>Auto</v>
      </c>
      <c r="Q558" s="1" t="str">
        <f>IFERROR(IF(VALUE(tbl_data[[#This Row],[Engine_CC]])=0,"",VALUE(tbl_data[[#This Row],[Price_USD]])/VALUE(tbl_data[[#This Row],[Engine_CC]])),"")</f>
        <v/>
      </c>
      <c r="R558" s="1" t="str">
        <f>TRIM(tbl_data[[#This Row],[Brand]])</f>
        <v>Toyota</v>
      </c>
      <c r="S558" s="1">
        <f>_xlfn.NUMBERVALUE(tbl_data[[#This Row],[Price_USD]],".",",")</f>
        <v>32462.32</v>
      </c>
    </row>
    <row r="559" spans="1:19" x14ac:dyDescent="0.3">
      <c r="A559">
        <v>558</v>
      </c>
      <c r="B559" t="s">
        <v>12</v>
      </c>
      <c r="C559">
        <v>2018</v>
      </c>
      <c r="D559">
        <v>150544</v>
      </c>
      <c r="E559" t="s">
        <v>44</v>
      </c>
      <c r="F559" t="s">
        <v>21</v>
      </c>
      <c r="G559" t="s">
        <v>32</v>
      </c>
      <c r="H559">
        <v>2682</v>
      </c>
      <c r="I559" t="s">
        <v>1630</v>
      </c>
      <c r="J559" t="s">
        <v>1557</v>
      </c>
      <c r="K559">
        <v>4</v>
      </c>
      <c r="L559" t="s">
        <v>1631</v>
      </c>
      <c r="M559" s="1" t="str">
        <f>TEXT(DATE(tbl_data[[#This Row],[Model_Year]],1,1),"yyyy")</f>
        <v>2018</v>
      </c>
      <c r="N559" s="1" t="str">
        <f>IF(tbl_data[[#This Row],[Kilometers_Driven]]&lt;50000,"&lt;50k",
IF(tbl_data[[#This Row],[Kilometers_Driven]]&lt;100000,"50k-100k",
IF(tbl_data[[#This Row],[Kilometers_Driven]]&lt;150000,"100k-150k","150k+")))</f>
        <v>150k+</v>
      </c>
      <c r="O559" s="1" t="str">
        <f>IF(tbl_data[[#This Row],[Price_USD]]&gt;=87089,"High",
IF(tbl_data[[#This Row],[Price_USD]]&gt;=56807,"Mid","Low"))</f>
        <v>High</v>
      </c>
      <c r="P559" s="1" t="str">
        <f>IF(tbl_data[[#This Row],[Transmission]]="Automatic","Auto","Manual")</f>
        <v>Auto</v>
      </c>
      <c r="Q559" s="1" t="str">
        <f>IFERROR(IF(VALUE(tbl_data[[#This Row],[Engine_CC]])=0,"",VALUE(tbl_data[[#This Row],[Price_USD]])/VALUE(tbl_data[[#This Row],[Engine_CC]])),"")</f>
        <v/>
      </c>
      <c r="R559" s="1" t="str">
        <f>TRIM(tbl_data[[#This Row],[Brand]])</f>
        <v>Audi</v>
      </c>
      <c r="S559" s="1">
        <f>_xlfn.NUMBERVALUE(tbl_data[[#This Row],[Price_USD]],".",",")</f>
        <v>117780.45</v>
      </c>
    </row>
    <row r="560" spans="1:19" x14ac:dyDescent="0.3">
      <c r="A560">
        <v>559</v>
      </c>
      <c r="B560" t="s">
        <v>102</v>
      </c>
      <c r="C560">
        <v>2019</v>
      </c>
      <c r="D560">
        <v>8471</v>
      </c>
      <c r="E560" t="s">
        <v>13</v>
      </c>
      <c r="F560" t="s">
        <v>14</v>
      </c>
      <c r="G560" t="s">
        <v>32</v>
      </c>
      <c r="H560">
        <v>3787</v>
      </c>
      <c r="I560" t="s">
        <v>1632</v>
      </c>
      <c r="J560" t="s">
        <v>1633</v>
      </c>
      <c r="K560">
        <v>2</v>
      </c>
      <c r="L560" t="s">
        <v>1634</v>
      </c>
      <c r="M560" s="1" t="str">
        <f>TEXT(DATE(tbl_data[[#This Row],[Model_Year]],1,1),"yyyy")</f>
        <v>2019</v>
      </c>
      <c r="N560" s="1" t="str">
        <f>IF(tbl_data[[#This Row],[Kilometers_Driven]]&lt;50000,"&lt;50k",
IF(tbl_data[[#This Row],[Kilometers_Driven]]&lt;100000,"50k-100k",
IF(tbl_data[[#This Row],[Kilometers_Driven]]&lt;150000,"100k-150k","150k+")))</f>
        <v>&lt;50k</v>
      </c>
      <c r="O560" s="1" t="str">
        <f>IF(tbl_data[[#This Row],[Price_USD]]&gt;=87089,"High",
IF(tbl_data[[#This Row],[Price_USD]]&gt;=56807,"Mid","Low"))</f>
        <v>High</v>
      </c>
      <c r="P560" s="1" t="str">
        <f>IF(tbl_data[[#This Row],[Transmission]]="Automatic","Auto","Manual")</f>
        <v>Manual</v>
      </c>
      <c r="Q560" s="1" t="str">
        <f>IFERROR(IF(VALUE(tbl_data[[#This Row],[Engine_CC]])=0,"",VALUE(tbl_data[[#This Row],[Price_USD]])/VALUE(tbl_data[[#This Row],[Engine_CC]])),"")</f>
        <v/>
      </c>
      <c r="R560" s="1" t="str">
        <f>TRIM(tbl_data[[#This Row],[Brand]])</f>
        <v>Nissan</v>
      </c>
      <c r="S560" s="1">
        <f>_xlfn.NUMBERVALUE(tbl_data[[#This Row],[Price_USD]],".",",")</f>
        <v>74803.83</v>
      </c>
    </row>
    <row r="561" spans="1:19" x14ac:dyDescent="0.3">
      <c r="A561">
        <v>560</v>
      </c>
      <c r="B561" t="s">
        <v>19</v>
      </c>
      <c r="C561">
        <v>2018</v>
      </c>
      <c r="D561">
        <v>125312</v>
      </c>
      <c r="E561" t="s">
        <v>44</v>
      </c>
      <c r="F561" t="s">
        <v>21</v>
      </c>
      <c r="G561" t="s">
        <v>26</v>
      </c>
      <c r="H561">
        <v>3959</v>
      </c>
      <c r="I561" t="s">
        <v>1635</v>
      </c>
      <c r="J561" t="s">
        <v>1636</v>
      </c>
      <c r="K561">
        <v>7</v>
      </c>
      <c r="L561" t="s">
        <v>1637</v>
      </c>
      <c r="M561" s="1" t="str">
        <f>TEXT(DATE(tbl_data[[#This Row],[Model_Year]],1,1),"yyyy")</f>
        <v>2018</v>
      </c>
      <c r="N561" s="1" t="str">
        <f>IF(tbl_data[[#This Row],[Kilometers_Driven]]&lt;50000,"&lt;50k",
IF(tbl_data[[#This Row],[Kilometers_Driven]]&lt;100000,"50k-100k",
IF(tbl_data[[#This Row],[Kilometers_Driven]]&lt;150000,"100k-150k","150k+")))</f>
        <v>100k-150k</v>
      </c>
      <c r="O561" s="1" t="str">
        <f>IF(tbl_data[[#This Row],[Price_USD]]&gt;=87089,"High",
IF(tbl_data[[#This Row],[Price_USD]]&gt;=56807,"Mid","Low"))</f>
        <v>High</v>
      </c>
      <c r="P561" s="1" t="str">
        <f>IF(tbl_data[[#This Row],[Transmission]]="Automatic","Auto","Manual")</f>
        <v>Auto</v>
      </c>
      <c r="Q561" s="1" t="str">
        <f>IFERROR(IF(VALUE(tbl_data[[#This Row],[Engine_CC]])=0,"",VALUE(tbl_data[[#This Row],[Price_USD]])/VALUE(tbl_data[[#This Row],[Engine_CC]])),"")</f>
        <v/>
      </c>
      <c r="R561" s="1" t="str">
        <f>TRIM(tbl_data[[#This Row],[Brand]])</f>
        <v>BMW</v>
      </c>
      <c r="S561" s="1">
        <f>_xlfn.NUMBERVALUE(tbl_data[[#This Row],[Price_USD]],".",",")</f>
        <v>95843.88</v>
      </c>
    </row>
    <row r="562" spans="1:19" x14ac:dyDescent="0.3">
      <c r="A562">
        <v>561</v>
      </c>
      <c r="B562" t="s">
        <v>19</v>
      </c>
      <c r="C562">
        <v>2011</v>
      </c>
      <c r="D562">
        <v>144401</v>
      </c>
      <c r="E562" t="s">
        <v>44</v>
      </c>
      <c r="F562" t="s">
        <v>21</v>
      </c>
      <c r="G562" t="s">
        <v>15</v>
      </c>
      <c r="H562">
        <v>1481</v>
      </c>
      <c r="I562" t="s">
        <v>1638</v>
      </c>
      <c r="J562" t="s">
        <v>1639</v>
      </c>
      <c r="K562">
        <v>7</v>
      </c>
      <c r="L562" t="s">
        <v>1640</v>
      </c>
      <c r="M562" s="1" t="str">
        <f>TEXT(DATE(tbl_data[[#This Row],[Model_Year]],1,1),"yyyy")</f>
        <v>2011</v>
      </c>
      <c r="N562" s="1" t="str">
        <f>IF(tbl_data[[#This Row],[Kilometers_Driven]]&lt;50000,"&lt;50k",
IF(tbl_data[[#This Row],[Kilometers_Driven]]&lt;100000,"50k-100k",
IF(tbl_data[[#This Row],[Kilometers_Driven]]&lt;150000,"100k-150k","150k+")))</f>
        <v>100k-150k</v>
      </c>
      <c r="O562" s="1" t="str">
        <f>IF(tbl_data[[#This Row],[Price_USD]]&gt;=87089,"High",
IF(tbl_data[[#This Row],[Price_USD]]&gt;=56807,"Mid","Low"))</f>
        <v>High</v>
      </c>
      <c r="P562" s="1" t="str">
        <f>IF(tbl_data[[#This Row],[Transmission]]="Automatic","Auto","Manual")</f>
        <v>Auto</v>
      </c>
      <c r="Q562" s="1" t="str">
        <f>IFERROR(IF(VALUE(tbl_data[[#This Row],[Engine_CC]])=0,"",VALUE(tbl_data[[#This Row],[Price_USD]])/VALUE(tbl_data[[#This Row],[Engine_CC]])),"")</f>
        <v/>
      </c>
      <c r="R562" s="1" t="str">
        <f>TRIM(tbl_data[[#This Row],[Brand]])</f>
        <v>BMW</v>
      </c>
      <c r="S562" s="1">
        <f>_xlfn.NUMBERVALUE(tbl_data[[#This Row],[Price_USD]],".",",")</f>
        <v>13015.15</v>
      </c>
    </row>
    <row r="563" spans="1:19" x14ac:dyDescent="0.3">
      <c r="A563">
        <v>562</v>
      </c>
      <c r="B563" t="s">
        <v>69</v>
      </c>
      <c r="C563">
        <v>2021</v>
      </c>
      <c r="D563">
        <v>170937</v>
      </c>
      <c r="E563" t="s">
        <v>31</v>
      </c>
      <c r="F563" t="s">
        <v>14</v>
      </c>
      <c r="G563" t="s">
        <v>26</v>
      </c>
      <c r="H563">
        <v>1873</v>
      </c>
      <c r="I563" t="s">
        <v>1641</v>
      </c>
      <c r="J563" t="s">
        <v>1642</v>
      </c>
      <c r="K563">
        <v>2</v>
      </c>
      <c r="L563" t="s">
        <v>1643</v>
      </c>
      <c r="M563" s="1" t="str">
        <f>TEXT(DATE(tbl_data[[#This Row],[Model_Year]],1,1),"yyyy")</f>
        <v>2021</v>
      </c>
      <c r="N563" s="1" t="str">
        <f>IF(tbl_data[[#This Row],[Kilometers_Driven]]&lt;50000,"&lt;50k",
IF(tbl_data[[#This Row],[Kilometers_Driven]]&lt;100000,"50k-100k",
IF(tbl_data[[#This Row],[Kilometers_Driven]]&lt;150000,"100k-150k","150k+")))</f>
        <v>150k+</v>
      </c>
      <c r="O563" s="1" t="str">
        <f>IF(tbl_data[[#This Row],[Price_USD]]&gt;=87089,"High",
IF(tbl_data[[#This Row],[Price_USD]]&gt;=56807,"Mid","Low"))</f>
        <v>High</v>
      </c>
      <c r="P563" s="1" t="str">
        <f>IF(tbl_data[[#This Row],[Transmission]]="Automatic","Auto","Manual")</f>
        <v>Manual</v>
      </c>
      <c r="Q563" s="1" t="str">
        <f>IFERROR(IF(VALUE(tbl_data[[#This Row],[Engine_CC]])=0,"",VALUE(tbl_data[[#This Row],[Price_USD]])/VALUE(tbl_data[[#This Row],[Engine_CC]])),"")</f>
        <v/>
      </c>
      <c r="R563" s="1" t="str">
        <f>TRIM(tbl_data[[#This Row],[Brand]])</f>
        <v>Hyundai</v>
      </c>
      <c r="S563" s="1">
        <f>_xlfn.NUMBERVALUE(tbl_data[[#This Row],[Price_USD]],".",",")</f>
        <v>24464.57</v>
      </c>
    </row>
    <row r="564" spans="1:19" x14ac:dyDescent="0.3">
      <c r="A564">
        <v>563</v>
      </c>
      <c r="B564" t="s">
        <v>43</v>
      </c>
      <c r="C564">
        <v>2016</v>
      </c>
      <c r="D564">
        <v>51850</v>
      </c>
      <c r="E564" t="s">
        <v>20</v>
      </c>
      <c r="F564" t="s">
        <v>21</v>
      </c>
      <c r="G564" t="s">
        <v>32</v>
      </c>
      <c r="H564">
        <v>3187</v>
      </c>
      <c r="I564" t="s">
        <v>1644</v>
      </c>
      <c r="J564" t="s">
        <v>1645</v>
      </c>
      <c r="K564">
        <v>7</v>
      </c>
      <c r="L564" t="s">
        <v>1646</v>
      </c>
      <c r="M564" s="1" t="str">
        <f>TEXT(DATE(tbl_data[[#This Row],[Model_Year]],1,1),"yyyy")</f>
        <v>2016</v>
      </c>
      <c r="N564" s="1" t="str">
        <f>IF(tbl_data[[#This Row],[Kilometers_Driven]]&lt;50000,"&lt;50k",
IF(tbl_data[[#This Row],[Kilometers_Driven]]&lt;100000,"50k-100k",
IF(tbl_data[[#This Row],[Kilometers_Driven]]&lt;150000,"100k-150k","150k+")))</f>
        <v>50k-100k</v>
      </c>
      <c r="O564" s="1" t="str">
        <f>IF(tbl_data[[#This Row],[Price_USD]]&gt;=87089,"High",
IF(tbl_data[[#This Row],[Price_USD]]&gt;=56807,"Mid","Low"))</f>
        <v>High</v>
      </c>
      <c r="P564" s="1" t="str">
        <f>IF(tbl_data[[#This Row],[Transmission]]="Automatic","Auto","Manual")</f>
        <v>Auto</v>
      </c>
      <c r="Q564" s="1" t="str">
        <f>IFERROR(IF(VALUE(tbl_data[[#This Row],[Engine_CC]])=0,"",VALUE(tbl_data[[#This Row],[Price_USD]])/VALUE(tbl_data[[#This Row],[Engine_CC]])),"")</f>
        <v/>
      </c>
      <c r="R564" s="1" t="str">
        <f>TRIM(tbl_data[[#This Row],[Brand]])</f>
        <v>Ford</v>
      </c>
      <c r="S564" s="1">
        <f>_xlfn.NUMBERVALUE(tbl_data[[#This Row],[Price_USD]],".",",")</f>
        <v>91733.23</v>
      </c>
    </row>
    <row r="565" spans="1:19" x14ac:dyDescent="0.3">
      <c r="A565">
        <v>564</v>
      </c>
      <c r="B565" t="s">
        <v>69</v>
      </c>
      <c r="C565">
        <v>2024</v>
      </c>
      <c r="D565">
        <v>59220</v>
      </c>
      <c r="E565" t="s">
        <v>31</v>
      </c>
      <c r="F565" t="s">
        <v>21</v>
      </c>
      <c r="G565" t="s">
        <v>26</v>
      </c>
      <c r="H565">
        <v>3194</v>
      </c>
      <c r="I565" t="s">
        <v>1647</v>
      </c>
      <c r="J565" t="s">
        <v>396</v>
      </c>
      <c r="K565">
        <v>5</v>
      </c>
      <c r="L565" t="s">
        <v>1648</v>
      </c>
      <c r="M565" s="1" t="str">
        <f>TEXT(DATE(tbl_data[[#This Row],[Model_Year]],1,1),"yyyy")</f>
        <v>2024</v>
      </c>
      <c r="N565" s="1" t="str">
        <f>IF(tbl_data[[#This Row],[Kilometers_Driven]]&lt;50000,"&lt;50k",
IF(tbl_data[[#This Row],[Kilometers_Driven]]&lt;100000,"50k-100k",
IF(tbl_data[[#This Row],[Kilometers_Driven]]&lt;150000,"100k-150k","150k+")))</f>
        <v>50k-100k</v>
      </c>
      <c r="O565" s="1" t="str">
        <f>IF(tbl_data[[#This Row],[Price_USD]]&gt;=87089,"High",
IF(tbl_data[[#This Row],[Price_USD]]&gt;=56807,"Mid","Low"))</f>
        <v>High</v>
      </c>
      <c r="P565" s="1" t="str">
        <f>IF(tbl_data[[#This Row],[Transmission]]="Automatic","Auto","Manual")</f>
        <v>Auto</v>
      </c>
      <c r="Q565" s="1" t="str">
        <f>IFERROR(IF(VALUE(tbl_data[[#This Row],[Engine_CC]])=0,"",VALUE(tbl_data[[#This Row],[Price_USD]])/VALUE(tbl_data[[#This Row],[Engine_CC]])),"")</f>
        <v/>
      </c>
      <c r="R565" s="1" t="str">
        <f>TRIM(tbl_data[[#This Row],[Brand]])</f>
        <v>Hyundai</v>
      </c>
      <c r="S565" s="1">
        <f>_xlfn.NUMBERVALUE(tbl_data[[#This Row],[Price_USD]],".",",")</f>
        <v>5572.42</v>
      </c>
    </row>
    <row r="566" spans="1:19" x14ac:dyDescent="0.3">
      <c r="A566">
        <v>565</v>
      </c>
      <c r="B566" t="s">
        <v>12</v>
      </c>
      <c r="C566">
        <v>2008</v>
      </c>
      <c r="D566">
        <v>98808</v>
      </c>
      <c r="E566" t="s">
        <v>31</v>
      </c>
      <c r="F566" t="s">
        <v>14</v>
      </c>
      <c r="G566" t="s">
        <v>32</v>
      </c>
      <c r="H566">
        <v>3493</v>
      </c>
      <c r="I566" t="s">
        <v>1649</v>
      </c>
      <c r="J566" t="s">
        <v>1650</v>
      </c>
      <c r="K566">
        <v>7</v>
      </c>
      <c r="L566" t="s">
        <v>1651</v>
      </c>
      <c r="M566" s="1" t="str">
        <f>TEXT(DATE(tbl_data[[#This Row],[Model_Year]],1,1),"yyyy")</f>
        <v>2008</v>
      </c>
      <c r="N566" s="1" t="str">
        <f>IF(tbl_data[[#This Row],[Kilometers_Driven]]&lt;50000,"&lt;50k",
IF(tbl_data[[#This Row],[Kilometers_Driven]]&lt;100000,"50k-100k",
IF(tbl_data[[#This Row],[Kilometers_Driven]]&lt;150000,"100k-150k","150k+")))</f>
        <v>50k-100k</v>
      </c>
      <c r="O566" s="1" t="str">
        <f>IF(tbl_data[[#This Row],[Price_USD]]&gt;=87089,"High",
IF(tbl_data[[#This Row],[Price_USD]]&gt;=56807,"Mid","Low"))</f>
        <v>High</v>
      </c>
      <c r="P566" s="1" t="str">
        <f>IF(tbl_data[[#This Row],[Transmission]]="Automatic","Auto","Manual")</f>
        <v>Manual</v>
      </c>
      <c r="Q566" s="1" t="str">
        <f>IFERROR(IF(VALUE(tbl_data[[#This Row],[Engine_CC]])=0,"",VALUE(tbl_data[[#This Row],[Price_USD]])/VALUE(tbl_data[[#This Row],[Engine_CC]])),"")</f>
        <v/>
      </c>
      <c r="R566" s="1" t="str">
        <f>TRIM(tbl_data[[#This Row],[Brand]])</f>
        <v>Audi</v>
      </c>
      <c r="S566" s="1">
        <f>_xlfn.NUMBERVALUE(tbl_data[[#This Row],[Price_USD]],".",",")</f>
        <v>98574.720000000001</v>
      </c>
    </row>
    <row r="567" spans="1:19" x14ac:dyDescent="0.3">
      <c r="A567">
        <v>566</v>
      </c>
      <c r="B567" t="s">
        <v>39</v>
      </c>
      <c r="C567">
        <v>2013</v>
      </c>
      <c r="D567">
        <v>142469</v>
      </c>
      <c r="E567" t="s">
        <v>31</v>
      </c>
      <c r="F567" t="s">
        <v>21</v>
      </c>
      <c r="G567" t="s">
        <v>26</v>
      </c>
      <c r="H567">
        <v>2170</v>
      </c>
      <c r="I567" t="s">
        <v>1652</v>
      </c>
      <c r="J567" t="s">
        <v>1653</v>
      </c>
      <c r="K567">
        <v>5</v>
      </c>
      <c r="L567" t="s">
        <v>1654</v>
      </c>
      <c r="M567" s="1" t="str">
        <f>TEXT(DATE(tbl_data[[#This Row],[Model_Year]],1,1),"yyyy")</f>
        <v>2013</v>
      </c>
      <c r="N567" s="1" t="str">
        <f>IF(tbl_data[[#This Row],[Kilometers_Driven]]&lt;50000,"&lt;50k",
IF(tbl_data[[#This Row],[Kilometers_Driven]]&lt;100000,"50k-100k",
IF(tbl_data[[#This Row],[Kilometers_Driven]]&lt;150000,"100k-150k","150k+")))</f>
        <v>100k-150k</v>
      </c>
      <c r="O567" s="1" t="str">
        <f>IF(tbl_data[[#This Row],[Price_USD]]&gt;=87089,"High",
IF(tbl_data[[#This Row],[Price_USD]]&gt;=56807,"Mid","Low"))</f>
        <v>High</v>
      </c>
      <c r="P567" s="1" t="str">
        <f>IF(tbl_data[[#This Row],[Transmission]]="Automatic","Auto","Manual")</f>
        <v>Auto</v>
      </c>
      <c r="Q567" s="1" t="str">
        <f>IFERROR(IF(VALUE(tbl_data[[#This Row],[Engine_CC]])=0,"",VALUE(tbl_data[[#This Row],[Price_USD]])/VALUE(tbl_data[[#This Row],[Engine_CC]])),"")</f>
        <v/>
      </c>
      <c r="R567" s="1" t="str">
        <f>TRIM(tbl_data[[#This Row],[Brand]])</f>
        <v>Volkswagen</v>
      </c>
      <c r="S567" s="1">
        <f>_xlfn.NUMBERVALUE(tbl_data[[#This Row],[Price_USD]],".",",")</f>
        <v>4632.04</v>
      </c>
    </row>
    <row r="568" spans="1:19" x14ac:dyDescent="0.3">
      <c r="A568">
        <v>567</v>
      </c>
      <c r="B568" t="s">
        <v>39</v>
      </c>
      <c r="C568">
        <v>2010</v>
      </c>
      <c r="D568">
        <v>171597</v>
      </c>
      <c r="E568" t="s">
        <v>44</v>
      </c>
      <c r="F568" t="s">
        <v>14</v>
      </c>
      <c r="G568" t="s">
        <v>26</v>
      </c>
      <c r="H568">
        <v>2956</v>
      </c>
      <c r="I568" t="s">
        <v>1655</v>
      </c>
      <c r="J568" t="s">
        <v>149</v>
      </c>
      <c r="K568">
        <v>4</v>
      </c>
      <c r="L568" t="s">
        <v>1656</v>
      </c>
      <c r="M568" s="1" t="str">
        <f>TEXT(DATE(tbl_data[[#This Row],[Model_Year]],1,1),"yyyy")</f>
        <v>2010</v>
      </c>
      <c r="N568" s="1" t="str">
        <f>IF(tbl_data[[#This Row],[Kilometers_Driven]]&lt;50000,"&lt;50k",
IF(tbl_data[[#This Row],[Kilometers_Driven]]&lt;100000,"50k-100k",
IF(tbl_data[[#This Row],[Kilometers_Driven]]&lt;150000,"100k-150k","150k+")))</f>
        <v>150k+</v>
      </c>
      <c r="O568" s="1" t="str">
        <f>IF(tbl_data[[#This Row],[Price_USD]]&gt;=87089,"High",
IF(tbl_data[[#This Row],[Price_USD]]&gt;=56807,"Mid","Low"))</f>
        <v>High</v>
      </c>
      <c r="P568" s="1" t="str">
        <f>IF(tbl_data[[#This Row],[Transmission]]="Automatic","Auto","Manual")</f>
        <v>Manual</v>
      </c>
      <c r="Q568" s="1" t="str">
        <f>IFERROR(IF(VALUE(tbl_data[[#This Row],[Engine_CC]])=0,"",VALUE(tbl_data[[#This Row],[Price_USD]])/VALUE(tbl_data[[#This Row],[Engine_CC]])),"")</f>
        <v/>
      </c>
      <c r="R568" s="1" t="str">
        <f>TRIM(tbl_data[[#This Row],[Brand]])</f>
        <v>Volkswagen</v>
      </c>
      <c r="S568" s="1">
        <f>_xlfn.NUMBERVALUE(tbl_data[[#This Row],[Price_USD]],".",",")</f>
        <v>79882.899999999994</v>
      </c>
    </row>
    <row r="569" spans="1:19" x14ac:dyDescent="0.3">
      <c r="A569">
        <v>568</v>
      </c>
      <c r="B569" t="s">
        <v>43</v>
      </c>
      <c r="C569">
        <v>2020</v>
      </c>
      <c r="D569">
        <v>58072</v>
      </c>
      <c r="E569" t="s">
        <v>31</v>
      </c>
      <c r="F569" t="s">
        <v>14</v>
      </c>
      <c r="G569" t="s">
        <v>15</v>
      </c>
      <c r="H569">
        <v>3380</v>
      </c>
      <c r="I569" t="s">
        <v>1657</v>
      </c>
      <c r="J569" t="s">
        <v>1658</v>
      </c>
      <c r="K569">
        <v>4</v>
      </c>
      <c r="L569" t="s">
        <v>1659</v>
      </c>
      <c r="M569" s="1" t="str">
        <f>TEXT(DATE(tbl_data[[#This Row],[Model_Year]],1,1),"yyyy")</f>
        <v>2020</v>
      </c>
      <c r="N569" s="1" t="str">
        <f>IF(tbl_data[[#This Row],[Kilometers_Driven]]&lt;50000,"&lt;50k",
IF(tbl_data[[#This Row],[Kilometers_Driven]]&lt;100000,"50k-100k",
IF(tbl_data[[#This Row],[Kilometers_Driven]]&lt;150000,"100k-150k","150k+")))</f>
        <v>50k-100k</v>
      </c>
      <c r="O569" s="1" t="str">
        <f>IF(tbl_data[[#This Row],[Price_USD]]&gt;=87089,"High",
IF(tbl_data[[#This Row],[Price_USD]]&gt;=56807,"Mid","Low"))</f>
        <v>High</v>
      </c>
      <c r="P569" s="1" t="str">
        <f>IF(tbl_data[[#This Row],[Transmission]]="Automatic","Auto","Manual")</f>
        <v>Manual</v>
      </c>
      <c r="Q569" s="1" t="str">
        <f>IFERROR(IF(VALUE(tbl_data[[#This Row],[Engine_CC]])=0,"",VALUE(tbl_data[[#This Row],[Price_USD]])/VALUE(tbl_data[[#This Row],[Engine_CC]])),"")</f>
        <v/>
      </c>
      <c r="R569" s="1" t="str">
        <f>TRIM(tbl_data[[#This Row],[Brand]])</f>
        <v>Ford</v>
      </c>
      <c r="S569" s="1">
        <f>_xlfn.NUMBERVALUE(tbl_data[[#This Row],[Price_USD]],".",",")</f>
        <v>45715.99</v>
      </c>
    </row>
    <row r="570" spans="1:19" x14ac:dyDescent="0.3">
      <c r="A570">
        <v>569</v>
      </c>
      <c r="B570" t="s">
        <v>12</v>
      </c>
      <c r="C570">
        <v>2006</v>
      </c>
      <c r="D570">
        <v>88820</v>
      </c>
      <c r="E570" t="s">
        <v>31</v>
      </c>
      <c r="F570" t="s">
        <v>21</v>
      </c>
      <c r="G570" t="s">
        <v>26</v>
      </c>
      <c r="H570">
        <v>2959</v>
      </c>
      <c r="I570" t="s">
        <v>1292</v>
      </c>
      <c r="J570" t="s">
        <v>1097</v>
      </c>
      <c r="K570">
        <v>6</v>
      </c>
      <c r="L570" t="s">
        <v>1660</v>
      </c>
      <c r="M570" s="1" t="str">
        <f>TEXT(DATE(tbl_data[[#This Row],[Model_Year]],1,1),"yyyy")</f>
        <v>2006</v>
      </c>
      <c r="N570" s="1" t="str">
        <f>IF(tbl_data[[#This Row],[Kilometers_Driven]]&lt;50000,"&lt;50k",
IF(tbl_data[[#This Row],[Kilometers_Driven]]&lt;100000,"50k-100k",
IF(tbl_data[[#This Row],[Kilometers_Driven]]&lt;150000,"100k-150k","150k+")))</f>
        <v>50k-100k</v>
      </c>
      <c r="O570" s="1" t="str">
        <f>IF(tbl_data[[#This Row],[Price_USD]]&gt;=87089,"High",
IF(tbl_data[[#This Row],[Price_USD]]&gt;=56807,"Mid","Low"))</f>
        <v>High</v>
      </c>
      <c r="P570" s="1" t="str">
        <f>IF(tbl_data[[#This Row],[Transmission]]="Automatic","Auto","Manual")</f>
        <v>Auto</v>
      </c>
      <c r="Q570" s="1" t="str">
        <f>IFERROR(IF(VALUE(tbl_data[[#This Row],[Engine_CC]])=0,"",VALUE(tbl_data[[#This Row],[Price_USD]])/VALUE(tbl_data[[#This Row],[Engine_CC]])),"")</f>
        <v/>
      </c>
      <c r="R570" s="1" t="str">
        <f>TRIM(tbl_data[[#This Row],[Brand]])</f>
        <v>Audi</v>
      </c>
      <c r="S570" s="1">
        <f>_xlfn.NUMBERVALUE(tbl_data[[#This Row],[Price_USD]],".",",")</f>
        <v>74544.899999999994</v>
      </c>
    </row>
    <row r="571" spans="1:19" x14ac:dyDescent="0.3">
      <c r="A571">
        <v>570</v>
      </c>
      <c r="B571" t="s">
        <v>43</v>
      </c>
      <c r="C571">
        <v>2012</v>
      </c>
      <c r="D571">
        <v>28284</v>
      </c>
      <c r="E571" t="s">
        <v>20</v>
      </c>
      <c r="F571" t="s">
        <v>21</v>
      </c>
      <c r="G571" t="s">
        <v>15</v>
      </c>
      <c r="H571">
        <v>4048</v>
      </c>
      <c r="I571" t="s">
        <v>1661</v>
      </c>
      <c r="J571" t="s">
        <v>1662</v>
      </c>
      <c r="K571">
        <v>5</v>
      </c>
      <c r="L571" t="s">
        <v>1663</v>
      </c>
      <c r="M571" s="1" t="str">
        <f>TEXT(DATE(tbl_data[[#This Row],[Model_Year]],1,1),"yyyy")</f>
        <v>2012</v>
      </c>
      <c r="N571" s="1" t="str">
        <f>IF(tbl_data[[#This Row],[Kilometers_Driven]]&lt;50000,"&lt;50k",
IF(tbl_data[[#This Row],[Kilometers_Driven]]&lt;100000,"50k-100k",
IF(tbl_data[[#This Row],[Kilometers_Driven]]&lt;150000,"100k-150k","150k+")))</f>
        <v>&lt;50k</v>
      </c>
      <c r="O571" s="1" t="str">
        <f>IF(tbl_data[[#This Row],[Price_USD]]&gt;=87089,"High",
IF(tbl_data[[#This Row],[Price_USD]]&gt;=56807,"Mid","Low"))</f>
        <v>High</v>
      </c>
      <c r="P571" s="1" t="str">
        <f>IF(tbl_data[[#This Row],[Transmission]]="Automatic","Auto","Manual")</f>
        <v>Auto</v>
      </c>
      <c r="Q571" s="1" t="str">
        <f>IFERROR(IF(VALUE(tbl_data[[#This Row],[Engine_CC]])=0,"",VALUE(tbl_data[[#This Row],[Price_USD]])/VALUE(tbl_data[[#This Row],[Engine_CC]])),"")</f>
        <v/>
      </c>
      <c r="R571" s="1" t="str">
        <f>TRIM(tbl_data[[#This Row],[Brand]])</f>
        <v>Ford</v>
      </c>
      <c r="S571" s="1">
        <f>_xlfn.NUMBERVALUE(tbl_data[[#This Row],[Price_USD]],".",",")</f>
        <v>84435.67</v>
      </c>
    </row>
    <row r="572" spans="1:19" x14ac:dyDescent="0.3">
      <c r="A572">
        <v>571</v>
      </c>
      <c r="B572" t="s">
        <v>76</v>
      </c>
      <c r="C572">
        <v>2015</v>
      </c>
      <c r="D572">
        <v>197402</v>
      </c>
      <c r="E572" t="s">
        <v>20</v>
      </c>
      <c r="F572" t="s">
        <v>21</v>
      </c>
      <c r="G572" t="s">
        <v>15</v>
      </c>
      <c r="H572">
        <v>4531</v>
      </c>
      <c r="I572" t="s">
        <v>1664</v>
      </c>
      <c r="J572" t="s">
        <v>433</v>
      </c>
      <c r="K572">
        <v>4</v>
      </c>
      <c r="L572" t="s">
        <v>1665</v>
      </c>
      <c r="M572" s="1" t="str">
        <f>TEXT(DATE(tbl_data[[#This Row],[Model_Year]],1,1),"yyyy")</f>
        <v>2015</v>
      </c>
      <c r="N572" s="1" t="str">
        <f>IF(tbl_data[[#This Row],[Kilometers_Driven]]&lt;50000,"&lt;50k",
IF(tbl_data[[#This Row],[Kilometers_Driven]]&lt;100000,"50k-100k",
IF(tbl_data[[#This Row],[Kilometers_Driven]]&lt;150000,"100k-150k","150k+")))</f>
        <v>150k+</v>
      </c>
      <c r="O572" s="1" t="str">
        <f>IF(tbl_data[[#This Row],[Price_USD]]&gt;=87089,"High",
IF(tbl_data[[#This Row],[Price_USD]]&gt;=56807,"Mid","Low"))</f>
        <v>High</v>
      </c>
      <c r="P572" s="1" t="str">
        <f>IF(tbl_data[[#This Row],[Transmission]]="Automatic","Auto","Manual")</f>
        <v>Auto</v>
      </c>
      <c r="Q572" s="1" t="str">
        <f>IFERROR(IF(VALUE(tbl_data[[#This Row],[Engine_CC]])=0,"",VALUE(tbl_data[[#This Row],[Price_USD]])/VALUE(tbl_data[[#This Row],[Engine_CC]])),"")</f>
        <v/>
      </c>
      <c r="R572" s="1" t="str">
        <f>TRIM(tbl_data[[#This Row],[Brand]])</f>
        <v>Honda</v>
      </c>
      <c r="S572" s="1">
        <f>_xlfn.NUMBERVALUE(tbl_data[[#This Row],[Price_USD]],".",",")</f>
        <v>43069.599999999999</v>
      </c>
    </row>
    <row r="573" spans="1:19" x14ac:dyDescent="0.3">
      <c r="A573">
        <v>572</v>
      </c>
      <c r="B573" t="s">
        <v>39</v>
      </c>
      <c r="C573">
        <v>2017</v>
      </c>
      <c r="D573">
        <v>88369</v>
      </c>
      <c r="E573" t="s">
        <v>31</v>
      </c>
      <c r="F573" t="s">
        <v>14</v>
      </c>
      <c r="G573" t="s">
        <v>15</v>
      </c>
      <c r="H573">
        <v>4629</v>
      </c>
      <c r="I573" t="s">
        <v>1666</v>
      </c>
      <c r="J573" t="s">
        <v>1667</v>
      </c>
      <c r="K573">
        <v>7</v>
      </c>
      <c r="L573" t="s">
        <v>1668</v>
      </c>
      <c r="M573" s="1" t="str">
        <f>TEXT(DATE(tbl_data[[#This Row],[Model_Year]],1,1),"yyyy")</f>
        <v>2017</v>
      </c>
      <c r="N573" s="1" t="str">
        <f>IF(tbl_data[[#This Row],[Kilometers_Driven]]&lt;50000,"&lt;50k",
IF(tbl_data[[#This Row],[Kilometers_Driven]]&lt;100000,"50k-100k",
IF(tbl_data[[#This Row],[Kilometers_Driven]]&lt;150000,"100k-150k","150k+")))</f>
        <v>50k-100k</v>
      </c>
      <c r="O573" s="1" t="str">
        <f>IF(tbl_data[[#This Row],[Price_USD]]&gt;=87089,"High",
IF(tbl_data[[#This Row],[Price_USD]]&gt;=56807,"Mid","Low"))</f>
        <v>High</v>
      </c>
      <c r="P573" s="1" t="str">
        <f>IF(tbl_data[[#This Row],[Transmission]]="Automatic","Auto","Manual")</f>
        <v>Manual</v>
      </c>
      <c r="Q573" s="1" t="str">
        <f>IFERROR(IF(VALUE(tbl_data[[#This Row],[Engine_CC]])=0,"",VALUE(tbl_data[[#This Row],[Price_USD]])/VALUE(tbl_data[[#This Row],[Engine_CC]])),"")</f>
        <v/>
      </c>
      <c r="R573" s="1" t="str">
        <f>TRIM(tbl_data[[#This Row],[Brand]])</f>
        <v>Volkswagen</v>
      </c>
      <c r="S573" s="1">
        <f>_xlfn.NUMBERVALUE(tbl_data[[#This Row],[Price_USD]],".",",")</f>
        <v>15631.61</v>
      </c>
    </row>
    <row r="574" spans="1:19" x14ac:dyDescent="0.3">
      <c r="A574">
        <v>573</v>
      </c>
      <c r="B574" t="s">
        <v>19</v>
      </c>
      <c r="C574">
        <v>2021</v>
      </c>
      <c r="D574">
        <v>30122</v>
      </c>
      <c r="E574" t="s">
        <v>20</v>
      </c>
      <c r="F574" t="s">
        <v>21</v>
      </c>
      <c r="G574" t="s">
        <v>15</v>
      </c>
      <c r="H574">
        <v>2427</v>
      </c>
      <c r="I574" t="s">
        <v>1669</v>
      </c>
      <c r="J574" t="s">
        <v>1670</v>
      </c>
      <c r="K574">
        <v>2</v>
      </c>
      <c r="L574" t="s">
        <v>1671</v>
      </c>
      <c r="M574" s="1" t="str">
        <f>TEXT(DATE(tbl_data[[#This Row],[Model_Year]],1,1),"yyyy")</f>
        <v>2021</v>
      </c>
      <c r="N574" s="1" t="str">
        <f>IF(tbl_data[[#This Row],[Kilometers_Driven]]&lt;50000,"&lt;50k",
IF(tbl_data[[#This Row],[Kilometers_Driven]]&lt;100000,"50k-100k",
IF(tbl_data[[#This Row],[Kilometers_Driven]]&lt;150000,"100k-150k","150k+")))</f>
        <v>&lt;50k</v>
      </c>
      <c r="O574" s="1" t="str">
        <f>IF(tbl_data[[#This Row],[Price_USD]]&gt;=87089,"High",
IF(tbl_data[[#This Row],[Price_USD]]&gt;=56807,"Mid","Low"))</f>
        <v>High</v>
      </c>
      <c r="P574" s="1" t="str">
        <f>IF(tbl_data[[#This Row],[Transmission]]="Automatic","Auto","Manual")</f>
        <v>Auto</v>
      </c>
      <c r="Q574" s="1" t="str">
        <f>IFERROR(IF(VALUE(tbl_data[[#This Row],[Engine_CC]])=0,"",VALUE(tbl_data[[#This Row],[Price_USD]])/VALUE(tbl_data[[#This Row],[Engine_CC]])),"")</f>
        <v/>
      </c>
      <c r="R574" s="1" t="str">
        <f>TRIM(tbl_data[[#This Row],[Brand]])</f>
        <v>BMW</v>
      </c>
      <c r="S574" s="1">
        <f>_xlfn.NUMBERVALUE(tbl_data[[#This Row],[Price_USD]],".",",")</f>
        <v>11148.57</v>
      </c>
    </row>
    <row r="575" spans="1:19" x14ac:dyDescent="0.3">
      <c r="A575">
        <v>574</v>
      </c>
      <c r="B575" t="s">
        <v>25</v>
      </c>
      <c r="C575">
        <v>2012</v>
      </c>
      <c r="D575">
        <v>135349</v>
      </c>
      <c r="E575" t="s">
        <v>20</v>
      </c>
      <c r="F575" t="s">
        <v>14</v>
      </c>
      <c r="G575" t="s">
        <v>26</v>
      </c>
      <c r="H575">
        <v>4272</v>
      </c>
      <c r="I575" t="s">
        <v>1672</v>
      </c>
      <c r="J575" t="s">
        <v>1673</v>
      </c>
      <c r="K575">
        <v>2</v>
      </c>
      <c r="L575" t="s">
        <v>1674</v>
      </c>
      <c r="M575" s="1" t="str">
        <f>TEXT(DATE(tbl_data[[#This Row],[Model_Year]],1,1),"yyyy")</f>
        <v>2012</v>
      </c>
      <c r="N575" s="1" t="str">
        <f>IF(tbl_data[[#This Row],[Kilometers_Driven]]&lt;50000,"&lt;50k",
IF(tbl_data[[#This Row],[Kilometers_Driven]]&lt;100000,"50k-100k",
IF(tbl_data[[#This Row],[Kilometers_Driven]]&lt;150000,"100k-150k","150k+")))</f>
        <v>100k-150k</v>
      </c>
      <c r="O575" s="1" t="str">
        <f>IF(tbl_data[[#This Row],[Price_USD]]&gt;=87089,"High",
IF(tbl_data[[#This Row],[Price_USD]]&gt;=56807,"Mid","Low"))</f>
        <v>High</v>
      </c>
      <c r="P575" s="1" t="str">
        <f>IF(tbl_data[[#This Row],[Transmission]]="Automatic","Auto","Manual")</f>
        <v>Manual</v>
      </c>
      <c r="Q575" s="1" t="str">
        <f>IFERROR(IF(VALUE(tbl_data[[#This Row],[Engine_CC]])=0,"",VALUE(tbl_data[[#This Row],[Price_USD]])/VALUE(tbl_data[[#This Row],[Engine_CC]])),"")</f>
        <v/>
      </c>
      <c r="R575" s="1" t="str">
        <f>TRIM(tbl_data[[#This Row],[Brand]])</f>
        <v>Kia</v>
      </c>
      <c r="S575" s="1">
        <f>_xlfn.NUMBERVALUE(tbl_data[[#This Row],[Price_USD]],".",",")</f>
        <v>71905.509999999995</v>
      </c>
    </row>
    <row r="576" spans="1:19" x14ac:dyDescent="0.3">
      <c r="A576">
        <v>575</v>
      </c>
      <c r="B576" t="s">
        <v>102</v>
      </c>
      <c r="C576">
        <v>2022</v>
      </c>
      <c r="D576">
        <v>75553</v>
      </c>
      <c r="E576" t="s">
        <v>31</v>
      </c>
      <c r="F576" t="s">
        <v>21</v>
      </c>
      <c r="G576" t="s">
        <v>32</v>
      </c>
      <c r="H576">
        <v>827</v>
      </c>
      <c r="I576" t="s">
        <v>1675</v>
      </c>
      <c r="J576" t="s">
        <v>1676</v>
      </c>
      <c r="K576">
        <v>5</v>
      </c>
      <c r="L576" t="s">
        <v>1677</v>
      </c>
      <c r="M576" s="1" t="str">
        <f>TEXT(DATE(tbl_data[[#This Row],[Model_Year]],1,1),"yyyy")</f>
        <v>2022</v>
      </c>
      <c r="N576" s="1" t="str">
        <f>IF(tbl_data[[#This Row],[Kilometers_Driven]]&lt;50000,"&lt;50k",
IF(tbl_data[[#This Row],[Kilometers_Driven]]&lt;100000,"50k-100k",
IF(tbl_data[[#This Row],[Kilometers_Driven]]&lt;150000,"100k-150k","150k+")))</f>
        <v>50k-100k</v>
      </c>
      <c r="O576" s="1" t="str">
        <f>IF(tbl_data[[#This Row],[Price_USD]]&gt;=87089,"High",
IF(tbl_data[[#This Row],[Price_USD]]&gt;=56807,"Mid","Low"))</f>
        <v>High</v>
      </c>
      <c r="P576" s="1" t="str">
        <f>IF(tbl_data[[#This Row],[Transmission]]="Automatic","Auto","Manual")</f>
        <v>Auto</v>
      </c>
      <c r="Q576" s="1" t="str">
        <f>IFERROR(IF(VALUE(tbl_data[[#This Row],[Engine_CC]])=0,"",VALUE(tbl_data[[#This Row],[Price_USD]])/VALUE(tbl_data[[#This Row],[Engine_CC]])),"")</f>
        <v/>
      </c>
      <c r="R576" s="1" t="str">
        <f>TRIM(tbl_data[[#This Row],[Brand]])</f>
        <v>Nissan</v>
      </c>
      <c r="S576" s="1">
        <f>_xlfn.NUMBERVALUE(tbl_data[[#This Row],[Price_USD]],".",",")</f>
        <v>63916.68</v>
      </c>
    </row>
    <row r="577" spans="1:19" x14ac:dyDescent="0.3">
      <c r="A577">
        <v>576</v>
      </c>
      <c r="B577" t="s">
        <v>12</v>
      </c>
      <c r="C577">
        <v>2022</v>
      </c>
      <c r="D577">
        <v>99788</v>
      </c>
      <c r="E577" t="s">
        <v>44</v>
      </c>
      <c r="F577" t="s">
        <v>21</v>
      </c>
      <c r="G577" t="s">
        <v>32</v>
      </c>
      <c r="H577">
        <v>2785</v>
      </c>
      <c r="I577" t="s">
        <v>1678</v>
      </c>
      <c r="J577" t="s">
        <v>1679</v>
      </c>
      <c r="K577">
        <v>6</v>
      </c>
      <c r="L577" t="s">
        <v>1680</v>
      </c>
      <c r="M577" s="1" t="str">
        <f>TEXT(DATE(tbl_data[[#This Row],[Model_Year]],1,1),"yyyy")</f>
        <v>2022</v>
      </c>
      <c r="N577" s="1" t="str">
        <f>IF(tbl_data[[#This Row],[Kilometers_Driven]]&lt;50000,"&lt;50k",
IF(tbl_data[[#This Row],[Kilometers_Driven]]&lt;100000,"50k-100k",
IF(tbl_data[[#This Row],[Kilometers_Driven]]&lt;150000,"100k-150k","150k+")))</f>
        <v>50k-100k</v>
      </c>
      <c r="O577" s="1" t="str">
        <f>IF(tbl_data[[#This Row],[Price_USD]]&gt;=87089,"High",
IF(tbl_data[[#This Row],[Price_USD]]&gt;=56807,"Mid","Low"))</f>
        <v>High</v>
      </c>
      <c r="P577" s="1" t="str">
        <f>IF(tbl_data[[#This Row],[Transmission]]="Automatic","Auto","Manual")</f>
        <v>Auto</v>
      </c>
      <c r="Q577" s="1" t="str">
        <f>IFERROR(IF(VALUE(tbl_data[[#This Row],[Engine_CC]])=0,"",VALUE(tbl_data[[#This Row],[Price_USD]])/VALUE(tbl_data[[#This Row],[Engine_CC]])),"")</f>
        <v/>
      </c>
      <c r="R577" s="1" t="str">
        <f>TRIM(tbl_data[[#This Row],[Brand]])</f>
        <v>Audi</v>
      </c>
      <c r="S577" s="1">
        <f>_xlfn.NUMBERVALUE(tbl_data[[#This Row],[Price_USD]],".",",")</f>
        <v>89837.52</v>
      </c>
    </row>
    <row r="578" spans="1:19" x14ac:dyDescent="0.3">
      <c r="A578">
        <v>577</v>
      </c>
      <c r="B578" t="s">
        <v>92</v>
      </c>
      <c r="C578">
        <v>2018</v>
      </c>
      <c r="D578">
        <v>67812</v>
      </c>
      <c r="E578" t="s">
        <v>31</v>
      </c>
      <c r="F578" t="s">
        <v>21</v>
      </c>
      <c r="G578" t="s">
        <v>32</v>
      </c>
      <c r="H578">
        <v>4953</v>
      </c>
      <c r="I578" t="s">
        <v>1681</v>
      </c>
      <c r="J578" t="s">
        <v>1682</v>
      </c>
      <c r="K578">
        <v>7</v>
      </c>
      <c r="L578" t="s">
        <v>1683</v>
      </c>
      <c r="M578" s="1" t="str">
        <f>TEXT(DATE(tbl_data[[#This Row],[Model_Year]],1,1),"yyyy")</f>
        <v>2018</v>
      </c>
      <c r="N578" s="1" t="str">
        <f>IF(tbl_data[[#This Row],[Kilometers_Driven]]&lt;50000,"&lt;50k",
IF(tbl_data[[#This Row],[Kilometers_Driven]]&lt;100000,"50k-100k",
IF(tbl_data[[#This Row],[Kilometers_Driven]]&lt;150000,"100k-150k","150k+")))</f>
        <v>50k-100k</v>
      </c>
      <c r="O578" s="1" t="str">
        <f>IF(tbl_data[[#This Row],[Price_USD]]&gt;=87089,"High",
IF(tbl_data[[#This Row],[Price_USD]]&gt;=56807,"Mid","Low"))</f>
        <v>High</v>
      </c>
      <c r="P578" s="1" t="str">
        <f>IF(tbl_data[[#This Row],[Transmission]]="Automatic","Auto","Manual")</f>
        <v>Auto</v>
      </c>
      <c r="Q578" s="1" t="str">
        <f>IFERROR(IF(VALUE(tbl_data[[#This Row],[Engine_CC]])=0,"",VALUE(tbl_data[[#This Row],[Price_USD]])/VALUE(tbl_data[[#This Row],[Engine_CC]])),"")</f>
        <v/>
      </c>
      <c r="R578" s="1" t="str">
        <f>TRIM(tbl_data[[#This Row],[Brand]])</f>
        <v>Toyota</v>
      </c>
      <c r="S578" s="1">
        <f>_xlfn.NUMBERVALUE(tbl_data[[#This Row],[Price_USD]],".",",")</f>
        <v>62639.05</v>
      </c>
    </row>
    <row r="579" spans="1:19" x14ac:dyDescent="0.3">
      <c r="A579">
        <v>578</v>
      </c>
      <c r="B579" t="s">
        <v>43</v>
      </c>
      <c r="C579">
        <v>2019</v>
      </c>
      <c r="D579">
        <v>12999</v>
      </c>
      <c r="E579" t="s">
        <v>20</v>
      </c>
      <c r="F579" t="s">
        <v>14</v>
      </c>
      <c r="G579" t="s">
        <v>26</v>
      </c>
      <c r="H579">
        <v>2321</v>
      </c>
      <c r="I579" t="s">
        <v>1684</v>
      </c>
      <c r="J579" t="s">
        <v>1685</v>
      </c>
      <c r="K579">
        <v>5</v>
      </c>
      <c r="L579" t="s">
        <v>1686</v>
      </c>
      <c r="M579" s="1" t="str">
        <f>TEXT(DATE(tbl_data[[#This Row],[Model_Year]],1,1),"yyyy")</f>
        <v>2019</v>
      </c>
      <c r="N579" s="1" t="str">
        <f>IF(tbl_data[[#This Row],[Kilometers_Driven]]&lt;50000,"&lt;50k",
IF(tbl_data[[#This Row],[Kilometers_Driven]]&lt;100000,"50k-100k",
IF(tbl_data[[#This Row],[Kilometers_Driven]]&lt;150000,"100k-150k","150k+")))</f>
        <v>&lt;50k</v>
      </c>
      <c r="O579" s="1" t="str">
        <f>IF(tbl_data[[#This Row],[Price_USD]]&gt;=87089,"High",
IF(tbl_data[[#This Row],[Price_USD]]&gt;=56807,"Mid","Low"))</f>
        <v>High</v>
      </c>
      <c r="P579" s="1" t="str">
        <f>IF(tbl_data[[#This Row],[Transmission]]="Automatic","Auto","Manual")</f>
        <v>Manual</v>
      </c>
      <c r="Q579" s="1" t="str">
        <f>IFERROR(IF(VALUE(tbl_data[[#This Row],[Engine_CC]])=0,"",VALUE(tbl_data[[#This Row],[Price_USD]])/VALUE(tbl_data[[#This Row],[Engine_CC]])),"")</f>
        <v/>
      </c>
      <c r="R579" s="1" t="str">
        <f>TRIM(tbl_data[[#This Row],[Brand]])</f>
        <v>Ford</v>
      </c>
      <c r="S579" s="1">
        <f>_xlfn.NUMBERVALUE(tbl_data[[#This Row],[Price_USD]],".",",")</f>
        <v>52426.16</v>
      </c>
    </row>
    <row r="580" spans="1:19" x14ac:dyDescent="0.3">
      <c r="A580">
        <v>579</v>
      </c>
      <c r="B580" t="s">
        <v>102</v>
      </c>
      <c r="C580">
        <v>2010</v>
      </c>
      <c r="D580">
        <v>27436</v>
      </c>
      <c r="E580" t="s">
        <v>44</v>
      </c>
      <c r="F580" t="s">
        <v>21</v>
      </c>
      <c r="G580" t="s">
        <v>15</v>
      </c>
      <c r="H580">
        <v>1096</v>
      </c>
      <c r="I580" t="s">
        <v>1687</v>
      </c>
      <c r="J580" t="s">
        <v>41</v>
      </c>
      <c r="K580">
        <v>2</v>
      </c>
      <c r="L580" t="s">
        <v>1688</v>
      </c>
      <c r="M580" s="1" t="str">
        <f>TEXT(DATE(tbl_data[[#This Row],[Model_Year]],1,1),"yyyy")</f>
        <v>2010</v>
      </c>
      <c r="N580" s="1" t="str">
        <f>IF(tbl_data[[#This Row],[Kilometers_Driven]]&lt;50000,"&lt;50k",
IF(tbl_data[[#This Row],[Kilometers_Driven]]&lt;100000,"50k-100k",
IF(tbl_data[[#This Row],[Kilometers_Driven]]&lt;150000,"100k-150k","150k+")))</f>
        <v>&lt;50k</v>
      </c>
      <c r="O580" s="1" t="str">
        <f>IF(tbl_data[[#This Row],[Price_USD]]&gt;=87089,"High",
IF(tbl_data[[#This Row],[Price_USD]]&gt;=56807,"Mid","Low"))</f>
        <v>High</v>
      </c>
      <c r="P580" s="1" t="str">
        <f>IF(tbl_data[[#This Row],[Transmission]]="Automatic","Auto","Manual")</f>
        <v>Auto</v>
      </c>
      <c r="Q580" s="1" t="str">
        <f>IFERROR(IF(VALUE(tbl_data[[#This Row],[Engine_CC]])=0,"",VALUE(tbl_data[[#This Row],[Price_USD]])/VALUE(tbl_data[[#This Row],[Engine_CC]])),"")</f>
        <v/>
      </c>
      <c r="R580" s="1" t="str">
        <f>TRIM(tbl_data[[#This Row],[Brand]])</f>
        <v>Nissan</v>
      </c>
      <c r="S580" s="1">
        <f>_xlfn.NUMBERVALUE(tbl_data[[#This Row],[Price_USD]],".",",")</f>
        <v>49576.2</v>
      </c>
    </row>
    <row r="581" spans="1:19" x14ac:dyDescent="0.3">
      <c r="A581">
        <v>580</v>
      </c>
      <c r="B581" t="s">
        <v>92</v>
      </c>
      <c r="C581">
        <v>2015</v>
      </c>
      <c r="D581">
        <v>47963</v>
      </c>
      <c r="E581" t="s">
        <v>13</v>
      </c>
      <c r="F581" t="s">
        <v>21</v>
      </c>
      <c r="G581" t="s">
        <v>32</v>
      </c>
      <c r="H581">
        <v>2981</v>
      </c>
      <c r="I581" t="s">
        <v>1689</v>
      </c>
      <c r="J581" t="s">
        <v>1690</v>
      </c>
      <c r="K581">
        <v>5</v>
      </c>
      <c r="L581" t="s">
        <v>1691</v>
      </c>
      <c r="M581" s="1" t="str">
        <f>TEXT(DATE(tbl_data[[#This Row],[Model_Year]],1,1),"yyyy")</f>
        <v>2015</v>
      </c>
      <c r="N581" s="1" t="str">
        <f>IF(tbl_data[[#This Row],[Kilometers_Driven]]&lt;50000,"&lt;50k",
IF(tbl_data[[#This Row],[Kilometers_Driven]]&lt;100000,"50k-100k",
IF(tbl_data[[#This Row],[Kilometers_Driven]]&lt;150000,"100k-150k","150k+")))</f>
        <v>&lt;50k</v>
      </c>
      <c r="O581" s="1" t="str">
        <f>IF(tbl_data[[#This Row],[Price_USD]]&gt;=87089,"High",
IF(tbl_data[[#This Row],[Price_USD]]&gt;=56807,"Mid","Low"))</f>
        <v>High</v>
      </c>
      <c r="P581" s="1" t="str">
        <f>IF(tbl_data[[#This Row],[Transmission]]="Automatic","Auto","Manual")</f>
        <v>Auto</v>
      </c>
      <c r="Q581" s="1" t="str">
        <f>IFERROR(IF(VALUE(tbl_data[[#This Row],[Engine_CC]])=0,"",VALUE(tbl_data[[#This Row],[Price_USD]])/VALUE(tbl_data[[#This Row],[Engine_CC]])),"")</f>
        <v/>
      </c>
      <c r="R581" s="1" t="str">
        <f>TRIM(tbl_data[[#This Row],[Brand]])</f>
        <v>Toyota</v>
      </c>
      <c r="S581" s="1">
        <f>_xlfn.NUMBERVALUE(tbl_data[[#This Row],[Price_USD]],".",",")</f>
        <v>6094.29</v>
      </c>
    </row>
    <row r="582" spans="1:19" x14ac:dyDescent="0.3">
      <c r="A582">
        <v>581</v>
      </c>
      <c r="B582" t="s">
        <v>102</v>
      </c>
      <c r="C582">
        <v>2017</v>
      </c>
      <c r="D582">
        <v>138168</v>
      </c>
      <c r="E582" t="s">
        <v>44</v>
      </c>
      <c r="F582" t="s">
        <v>14</v>
      </c>
      <c r="G582" t="s">
        <v>26</v>
      </c>
      <c r="H582">
        <v>4202</v>
      </c>
      <c r="I582" t="s">
        <v>1692</v>
      </c>
      <c r="J582" t="s">
        <v>1693</v>
      </c>
      <c r="K582">
        <v>7</v>
      </c>
      <c r="L582" t="s">
        <v>1694</v>
      </c>
      <c r="M582" s="1" t="str">
        <f>TEXT(DATE(tbl_data[[#This Row],[Model_Year]],1,1),"yyyy")</f>
        <v>2017</v>
      </c>
      <c r="N582" s="1" t="str">
        <f>IF(tbl_data[[#This Row],[Kilometers_Driven]]&lt;50000,"&lt;50k",
IF(tbl_data[[#This Row],[Kilometers_Driven]]&lt;100000,"50k-100k",
IF(tbl_data[[#This Row],[Kilometers_Driven]]&lt;150000,"100k-150k","150k+")))</f>
        <v>100k-150k</v>
      </c>
      <c r="O582" s="1" t="str">
        <f>IF(tbl_data[[#This Row],[Price_USD]]&gt;=87089,"High",
IF(tbl_data[[#This Row],[Price_USD]]&gt;=56807,"Mid","Low"))</f>
        <v>High</v>
      </c>
      <c r="P582" s="1" t="str">
        <f>IF(tbl_data[[#This Row],[Transmission]]="Automatic","Auto","Manual")</f>
        <v>Manual</v>
      </c>
      <c r="Q582" s="1" t="str">
        <f>IFERROR(IF(VALUE(tbl_data[[#This Row],[Engine_CC]])=0,"",VALUE(tbl_data[[#This Row],[Price_USD]])/VALUE(tbl_data[[#This Row],[Engine_CC]])),"")</f>
        <v/>
      </c>
      <c r="R582" s="1" t="str">
        <f>TRIM(tbl_data[[#This Row],[Brand]])</f>
        <v>Nissan</v>
      </c>
      <c r="S582" s="1">
        <f>_xlfn.NUMBERVALUE(tbl_data[[#This Row],[Price_USD]],".",",")</f>
        <v>42260.19</v>
      </c>
    </row>
    <row r="583" spans="1:19" x14ac:dyDescent="0.3">
      <c r="A583">
        <v>582</v>
      </c>
      <c r="B583" t="s">
        <v>25</v>
      </c>
      <c r="C583">
        <v>2005</v>
      </c>
      <c r="D583">
        <v>161351</v>
      </c>
      <c r="E583" t="s">
        <v>20</v>
      </c>
      <c r="F583" t="s">
        <v>14</v>
      </c>
      <c r="G583" t="s">
        <v>15</v>
      </c>
      <c r="H583">
        <v>3096</v>
      </c>
      <c r="I583" t="s">
        <v>1695</v>
      </c>
      <c r="J583" t="s">
        <v>1696</v>
      </c>
      <c r="K583">
        <v>4</v>
      </c>
      <c r="L583" t="s">
        <v>1697</v>
      </c>
      <c r="M583" s="1" t="str">
        <f>TEXT(DATE(tbl_data[[#This Row],[Model_Year]],1,1),"yyyy")</f>
        <v>2005</v>
      </c>
      <c r="N583" s="1" t="str">
        <f>IF(tbl_data[[#This Row],[Kilometers_Driven]]&lt;50000,"&lt;50k",
IF(tbl_data[[#This Row],[Kilometers_Driven]]&lt;100000,"50k-100k",
IF(tbl_data[[#This Row],[Kilometers_Driven]]&lt;150000,"100k-150k","150k+")))</f>
        <v>150k+</v>
      </c>
      <c r="O583" s="1" t="str">
        <f>IF(tbl_data[[#This Row],[Price_USD]]&gt;=87089,"High",
IF(tbl_data[[#This Row],[Price_USD]]&gt;=56807,"Mid","Low"))</f>
        <v>High</v>
      </c>
      <c r="P583" s="1" t="str">
        <f>IF(tbl_data[[#This Row],[Transmission]]="Automatic","Auto","Manual")</f>
        <v>Manual</v>
      </c>
      <c r="Q583" s="1" t="str">
        <f>IFERROR(IF(VALUE(tbl_data[[#This Row],[Engine_CC]])=0,"",VALUE(tbl_data[[#This Row],[Price_USD]])/VALUE(tbl_data[[#This Row],[Engine_CC]])),"")</f>
        <v/>
      </c>
      <c r="R583" s="1" t="str">
        <f>TRIM(tbl_data[[#This Row],[Brand]])</f>
        <v>Kia</v>
      </c>
      <c r="S583" s="1">
        <f>_xlfn.NUMBERVALUE(tbl_data[[#This Row],[Price_USD]],".",",")</f>
        <v>117194.36</v>
      </c>
    </row>
    <row r="584" spans="1:19" x14ac:dyDescent="0.3">
      <c r="A584">
        <v>583</v>
      </c>
      <c r="B584" t="s">
        <v>92</v>
      </c>
      <c r="C584">
        <v>2010</v>
      </c>
      <c r="D584">
        <v>113899</v>
      </c>
      <c r="E584" t="s">
        <v>44</v>
      </c>
      <c r="F584" t="s">
        <v>21</v>
      </c>
      <c r="G584" t="s">
        <v>32</v>
      </c>
      <c r="H584">
        <v>3397</v>
      </c>
      <c r="I584" t="s">
        <v>1405</v>
      </c>
      <c r="J584" t="s">
        <v>1698</v>
      </c>
      <c r="K584">
        <v>7</v>
      </c>
      <c r="L584" t="s">
        <v>1699</v>
      </c>
      <c r="M584" s="1" t="str">
        <f>TEXT(DATE(tbl_data[[#This Row],[Model_Year]],1,1),"yyyy")</f>
        <v>2010</v>
      </c>
      <c r="N584" s="1" t="str">
        <f>IF(tbl_data[[#This Row],[Kilometers_Driven]]&lt;50000,"&lt;50k",
IF(tbl_data[[#This Row],[Kilometers_Driven]]&lt;100000,"50k-100k",
IF(tbl_data[[#This Row],[Kilometers_Driven]]&lt;150000,"100k-150k","150k+")))</f>
        <v>100k-150k</v>
      </c>
      <c r="O584" s="1" t="str">
        <f>IF(tbl_data[[#This Row],[Price_USD]]&gt;=87089,"High",
IF(tbl_data[[#This Row],[Price_USD]]&gt;=56807,"Mid","Low"))</f>
        <v>High</v>
      </c>
      <c r="P584" s="1" t="str">
        <f>IF(tbl_data[[#This Row],[Transmission]]="Automatic","Auto","Manual")</f>
        <v>Auto</v>
      </c>
      <c r="Q584" s="1" t="str">
        <f>IFERROR(IF(VALUE(tbl_data[[#This Row],[Engine_CC]])=0,"",VALUE(tbl_data[[#This Row],[Price_USD]])/VALUE(tbl_data[[#This Row],[Engine_CC]])),"")</f>
        <v/>
      </c>
      <c r="R584" s="1" t="str">
        <f>TRIM(tbl_data[[#This Row],[Brand]])</f>
        <v>Toyota</v>
      </c>
      <c r="S584" s="1">
        <f>_xlfn.NUMBERVALUE(tbl_data[[#This Row],[Price_USD]],".",",")</f>
        <v>105206</v>
      </c>
    </row>
    <row r="585" spans="1:19" x14ac:dyDescent="0.3">
      <c r="A585">
        <v>584</v>
      </c>
      <c r="B585" t="s">
        <v>69</v>
      </c>
      <c r="C585">
        <v>2013</v>
      </c>
      <c r="D585">
        <v>31201</v>
      </c>
      <c r="E585" t="s">
        <v>31</v>
      </c>
      <c r="F585" t="s">
        <v>21</v>
      </c>
      <c r="G585" t="s">
        <v>15</v>
      </c>
      <c r="H585">
        <v>1701</v>
      </c>
      <c r="I585" t="s">
        <v>1700</v>
      </c>
      <c r="J585" t="s">
        <v>1701</v>
      </c>
      <c r="K585">
        <v>4</v>
      </c>
      <c r="L585" t="s">
        <v>1702</v>
      </c>
      <c r="M585" s="1" t="str">
        <f>TEXT(DATE(tbl_data[[#This Row],[Model_Year]],1,1),"yyyy")</f>
        <v>2013</v>
      </c>
      <c r="N585" s="1" t="str">
        <f>IF(tbl_data[[#This Row],[Kilometers_Driven]]&lt;50000,"&lt;50k",
IF(tbl_data[[#This Row],[Kilometers_Driven]]&lt;100000,"50k-100k",
IF(tbl_data[[#This Row],[Kilometers_Driven]]&lt;150000,"100k-150k","150k+")))</f>
        <v>&lt;50k</v>
      </c>
      <c r="O585" s="1" t="str">
        <f>IF(tbl_data[[#This Row],[Price_USD]]&gt;=87089,"High",
IF(tbl_data[[#This Row],[Price_USD]]&gt;=56807,"Mid","Low"))</f>
        <v>High</v>
      </c>
      <c r="P585" s="1" t="str">
        <f>IF(tbl_data[[#This Row],[Transmission]]="Automatic","Auto","Manual")</f>
        <v>Auto</v>
      </c>
      <c r="Q585" s="1" t="str">
        <f>IFERROR(IF(VALUE(tbl_data[[#This Row],[Engine_CC]])=0,"",VALUE(tbl_data[[#This Row],[Price_USD]])/VALUE(tbl_data[[#This Row],[Engine_CC]])),"")</f>
        <v/>
      </c>
      <c r="R585" s="1" t="str">
        <f>TRIM(tbl_data[[#This Row],[Brand]])</f>
        <v>Hyundai</v>
      </c>
      <c r="S585" s="1">
        <f>_xlfn.NUMBERVALUE(tbl_data[[#This Row],[Price_USD]],".",",")</f>
        <v>41537.230000000003</v>
      </c>
    </row>
    <row r="586" spans="1:19" x14ac:dyDescent="0.3">
      <c r="A586">
        <v>585</v>
      </c>
      <c r="B586" t="s">
        <v>30</v>
      </c>
      <c r="C586">
        <v>2012</v>
      </c>
      <c r="D586">
        <v>155787</v>
      </c>
      <c r="E586" t="s">
        <v>13</v>
      </c>
      <c r="F586" t="s">
        <v>21</v>
      </c>
      <c r="G586" t="s">
        <v>32</v>
      </c>
      <c r="H586">
        <v>1898</v>
      </c>
      <c r="I586" t="s">
        <v>1703</v>
      </c>
      <c r="J586" t="s">
        <v>1704</v>
      </c>
      <c r="K586">
        <v>4</v>
      </c>
      <c r="L586" t="s">
        <v>1705</v>
      </c>
      <c r="M586" s="1" t="str">
        <f>TEXT(DATE(tbl_data[[#This Row],[Model_Year]],1,1),"yyyy")</f>
        <v>2012</v>
      </c>
      <c r="N586" s="1" t="str">
        <f>IF(tbl_data[[#This Row],[Kilometers_Driven]]&lt;50000,"&lt;50k",
IF(tbl_data[[#This Row],[Kilometers_Driven]]&lt;100000,"50k-100k",
IF(tbl_data[[#This Row],[Kilometers_Driven]]&lt;150000,"100k-150k","150k+")))</f>
        <v>150k+</v>
      </c>
      <c r="O586" s="1" t="str">
        <f>IF(tbl_data[[#This Row],[Price_USD]]&gt;=87089,"High",
IF(tbl_data[[#This Row],[Price_USD]]&gt;=56807,"Mid","Low"))</f>
        <v>High</v>
      </c>
      <c r="P586" s="1" t="str">
        <f>IF(tbl_data[[#This Row],[Transmission]]="Automatic","Auto","Manual")</f>
        <v>Auto</v>
      </c>
      <c r="Q586" s="1" t="str">
        <f>IFERROR(IF(VALUE(tbl_data[[#This Row],[Engine_CC]])=0,"",VALUE(tbl_data[[#This Row],[Price_USD]])/VALUE(tbl_data[[#This Row],[Engine_CC]])),"")</f>
        <v/>
      </c>
      <c r="R586" s="1" t="str">
        <f>TRIM(tbl_data[[#This Row],[Brand]])</f>
        <v>Mercedes</v>
      </c>
      <c r="S586" s="1">
        <f>_xlfn.NUMBERVALUE(tbl_data[[#This Row],[Price_USD]],".",",")</f>
        <v>71772.06</v>
      </c>
    </row>
    <row r="587" spans="1:19" x14ac:dyDescent="0.3">
      <c r="A587">
        <v>586</v>
      </c>
      <c r="B587" t="s">
        <v>69</v>
      </c>
      <c r="C587">
        <v>2015</v>
      </c>
      <c r="D587">
        <v>165381</v>
      </c>
      <c r="E587" t="s">
        <v>13</v>
      </c>
      <c r="F587" t="s">
        <v>14</v>
      </c>
      <c r="G587" t="s">
        <v>32</v>
      </c>
      <c r="H587">
        <v>2477</v>
      </c>
      <c r="I587" t="s">
        <v>136</v>
      </c>
      <c r="J587" t="s">
        <v>1706</v>
      </c>
      <c r="K587">
        <v>4</v>
      </c>
      <c r="L587" t="s">
        <v>1707</v>
      </c>
      <c r="M587" s="1" t="str">
        <f>TEXT(DATE(tbl_data[[#This Row],[Model_Year]],1,1),"yyyy")</f>
        <v>2015</v>
      </c>
      <c r="N587" s="1" t="str">
        <f>IF(tbl_data[[#This Row],[Kilometers_Driven]]&lt;50000,"&lt;50k",
IF(tbl_data[[#This Row],[Kilometers_Driven]]&lt;100000,"50k-100k",
IF(tbl_data[[#This Row],[Kilometers_Driven]]&lt;150000,"100k-150k","150k+")))</f>
        <v>150k+</v>
      </c>
      <c r="O587" s="1" t="str">
        <f>IF(tbl_data[[#This Row],[Price_USD]]&gt;=87089,"High",
IF(tbl_data[[#This Row],[Price_USD]]&gt;=56807,"Mid","Low"))</f>
        <v>High</v>
      </c>
      <c r="P587" s="1" t="str">
        <f>IF(tbl_data[[#This Row],[Transmission]]="Automatic","Auto","Manual")</f>
        <v>Manual</v>
      </c>
      <c r="Q587" s="1" t="str">
        <f>IFERROR(IF(VALUE(tbl_data[[#This Row],[Engine_CC]])=0,"",VALUE(tbl_data[[#This Row],[Price_USD]])/VALUE(tbl_data[[#This Row],[Engine_CC]])),"")</f>
        <v/>
      </c>
      <c r="R587" s="1" t="str">
        <f>TRIM(tbl_data[[#This Row],[Brand]])</f>
        <v>Hyundai</v>
      </c>
      <c r="S587" s="1">
        <f>_xlfn.NUMBERVALUE(tbl_data[[#This Row],[Price_USD]],".",",")</f>
        <v>102133.72</v>
      </c>
    </row>
    <row r="588" spans="1:19" x14ac:dyDescent="0.3">
      <c r="A588">
        <v>587</v>
      </c>
      <c r="B588" t="s">
        <v>39</v>
      </c>
      <c r="C588">
        <v>2023</v>
      </c>
      <c r="D588">
        <v>151150</v>
      </c>
      <c r="E588" t="s">
        <v>13</v>
      </c>
      <c r="F588" t="s">
        <v>14</v>
      </c>
      <c r="G588" t="s">
        <v>32</v>
      </c>
      <c r="H588">
        <v>3681</v>
      </c>
      <c r="I588" t="s">
        <v>1708</v>
      </c>
      <c r="J588" t="s">
        <v>1709</v>
      </c>
      <c r="K588">
        <v>5</v>
      </c>
      <c r="L588" t="s">
        <v>1710</v>
      </c>
      <c r="M588" s="1" t="str">
        <f>TEXT(DATE(tbl_data[[#This Row],[Model_Year]],1,1),"yyyy")</f>
        <v>2023</v>
      </c>
      <c r="N588" s="1" t="str">
        <f>IF(tbl_data[[#This Row],[Kilometers_Driven]]&lt;50000,"&lt;50k",
IF(tbl_data[[#This Row],[Kilometers_Driven]]&lt;100000,"50k-100k",
IF(tbl_data[[#This Row],[Kilometers_Driven]]&lt;150000,"100k-150k","150k+")))</f>
        <v>150k+</v>
      </c>
      <c r="O588" s="1" t="str">
        <f>IF(tbl_data[[#This Row],[Price_USD]]&gt;=87089,"High",
IF(tbl_data[[#This Row],[Price_USD]]&gt;=56807,"Mid","Low"))</f>
        <v>High</v>
      </c>
      <c r="P588" s="1" t="str">
        <f>IF(tbl_data[[#This Row],[Transmission]]="Automatic","Auto","Manual")</f>
        <v>Manual</v>
      </c>
      <c r="Q588" s="1" t="str">
        <f>IFERROR(IF(VALUE(tbl_data[[#This Row],[Engine_CC]])=0,"",VALUE(tbl_data[[#This Row],[Price_USD]])/VALUE(tbl_data[[#This Row],[Engine_CC]])),"")</f>
        <v/>
      </c>
      <c r="R588" s="1" t="str">
        <f>TRIM(tbl_data[[#This Row],[Brand]])</f>
        <v>Volkswagen</v>
      </c>
      <c r="S588" s="1">
        <f>_xlfn.NUMBERVALUE(tbl_data[[#This Row],[Price_USD]],".",",")</f>
        <v>54629.1</v>
      </c>
    </row>
    <row r="589" spans="1:19" x14ac:dyDescent="0.3">
      <c r="A589">
        <v>588</v>
      </c>
      <c r="B589" t="s">
        <v>30</v>
      </c>
      <c r="C589">
        <v>2013</v>
      </c>
      <c r="D589">
        <v>192686</v>
      </c>
      <c r="E589" t="s">
        <v>20</v>
      </c>
      <c r="F589" t="s">
        <v>14</v>
      </c>
      <c r="G589" t="s">
        <v>15</v>
      </c>
      <c r="H589">
        <v>2178</v>
      </c>
      <c r="I589" t="s">
        <v>1711</v>
      </c>
      <c r="J589" t="s">
        <v>1658</v>
      </c>
      <c r="K589">
        <v>2</v>
      </c>
      <c r="L589" t="s">
        <v>1712</v>
      </c>
      <c r="M589" s="1" t="str">
        <f>TEXT(DATE(tbl_data[[#This Row],[Model_Year]],1,1),"yyyy")</f>
        <v>2013</v>
      </c>
      <c r="N589" s="1" t="str">
        <f>IF(tbl_data[[#This Row],[Kilometers_Driven]]&lt;50000,"&lt;50k",
IF(tbl_data[[#This Row],[Kilometers_Driven]]&lt;100000,"50k-100k",
IF(tbl_data[[#This Row],[Kilometers_Driven]]&lt;150000,"100k-150k","150k+")))</f>
        <v>150k+</v>
      </c>
      <c r="O589" s="1" t="str">
        <f>IF(tbl_data[[#This Row],[Price_USD]]&gt;=87089,"High",
IF(tbl_data[[#This Row],[Price_USD]]&gt;=56807,"Mid","Low"))</f>
        <v>High</v>
      </c>
      <c r="P589" s="1" t="str">
        <f>IF(tbl_data[[#This Row],[Transmission]]="Automatic","Auto","Manual")</f>
        <v>Manual</v>
      </c>
      <c r="Q589" s="1" t="str">
        <f>IFERROR(IF(VALUE(tbl_data[[#This Row],[Engine_CC]])=0,"",VALUE(tbl_data[[#This Row],[Price_USD]])/VALUE(tbl_data[[#This Row],[Engine_CC]])),"")</f>
        <v/>
      </c>
      <c r="R589" s="1" t="str">
        <f>TRIM(tbl_data[[#This Row],[Brand]])</f>
        <v>Mercedes</v>
      </c>
      <c r="S589" s="1">
        <f>_xlfn.NUMBERVALUE(tbl_data[[#This Row],[Price_USD]],".",",")</f>
        <v>5101.07</v>
      </c>
    </row>
    <row r="590" spans="1:19" x14ac:dyDescent="0.3">
      <c r="A590">
        <v>589</v>
      </c>
      <c r="B590" t="s">
        <v>69</v>
      </c>
      <c r="C590">
        <v>2021</v>
      </c>
      <c r="D590">
        <v>10105</v>
      </c>
      <c r="E590" t="s">
        <v>20</v>
      </c>
      <c r="F590" t="s">
        <v>14</v>
      </c>
      <c r="G590" t="s">
        <v>26</v>
      </c>
      <c r="H590">
        <v>2048</v>
      </c>
      <c r="I590" t="s">
        <v>1713</v>
      </c>
      <c r="J590" t="s">
        <v>1714</v>
      </c>
      <c r="K590">
        <v>5</v>
      </c>
      <c r="L590" t="s">
        <v>1715</v>
      </c>
      <c r="M590" s="1" t="str">
        <f>TEXT(DATE(tbl_data[[#This Row],[Model_Year]],1,1),"yyyy")</f>
        <v>2021</v>
      </c>
      <c r="N590" s="1" t="str">
        <f>IF(tbl_data[[#This Row],[Kilometers_Driven]]&lt;50000,"&lt;50k",
IF(tbl_data[[#This Row],[Kilometers_Driven]]&lt;100000,"50k-100k",
IF(tbl_data[[#This Row],[Kilometers_Driven]]&lt;150000,"100k-150k","150k+")))</f>
        <v>&lt;50k</v>
      </c>
      <c r="O590" s="1" t="str">
        <f>IF(tbl_data[[#This Row],[Price_USD]]&gt;=87089,"High",
IF(tbl_data[[#This Row],[Price_USD]]&gt;=56807,"Mid","Low"))</f>
        <v>High</v>
      </c>
      <c r="P590" s="1" t="str">
        <f>IF(tbl_data[[#This Row],[Transmission]]="Automatic","Auto","Manual")</f>
        <v>Manual</v>
      </c>
      <c r="Q590" s="1" t="str">
        <f>IFERROR(IF(VALUE(tbl_data[[#This Row],[Engine_CC]])=0,"",VALUE(tbl_data[[#This Row],[Price_USD]])/VALUE(tbl_data[[#This Row],[Engine_CC]])),"")</f>
        <v/>
      </c>
      <c r="R590" s="1" t="str">
        <f>TRIM(tbl_data[[#This Row],[Brand]])</f>
        <v>Hyundai</v>
      </c>
      <c r="S590" s="1">
        <f>_xlfn.NUMBERVALUE(tbl_data[[#This Row],[Price_USD]],".",",")</f>
        <v>11717.72</v>
      </c>
    </row>
    <row r="591" spans="1:19" x14ac:dyDescent="0.3">
      <c r="A591">
        <v>590</v>
      </c>
      <c r="B591" t="s">
        <v>30</v>
      </c>
      <c r="C591">
        <v>2016</v>
      </c>
      <c r="D591">
        <v>122666</v>
      </c>
      <c r="E591" t="s">
        <v>13</v>
      </c>
      <c r="F591" t="s">
        <v>21</v>
      </c>
      <c r="G591" t="s">
        <v>15</v>
      </c>
      <c r="H591">
        <v>4535</v>
      </c>
      <c r="I591" t="s">
        <v>305</v>
      </c>
      <c r="J591" t="s">
        <v>1716</v>
      </c>
      <c r="K591">
        <v>2</v>
      </c>
      <c r="L591" t="s">
        <v>1717</v>
      </c>
      <c r="M591" s="1" t="str">
        <f>TEXT(DATE(tbl_data[[#This Row],[Model_Year]],1,1),"yyyy")</f>
        <v>2016</v>
      </c>
      <c r="N591" s="1" t="str">
        <f>IF(tbl_data[[#This Row],[Kilometers_Driven]]&lt;50000,"&lt;50k",
IF(tbl_data[[#This Row],[Kilometers_Driven]]&lt;100000,"50k-100k",
IF(tbl_data[[#This Row],[Kilometers_Driven]]&lt;150000,"100k-150k","150k+")))</f>
        <v>100k-150k</v>
      </c>
      <c r="O591" s="1" t="str">
        <f>IF(tbl_data[[#This Row],[Price_USD]]&gt;=87089,"High",
IF(tbl_data[[#This Row],[Price_USD]]&gt;=56807,"Mid","Low"))</f>
        <v>High</v>
      </c>
      <c r="P591" s="1" t="str">
        <f>IF(tbl_data[[#This Row],[Transmission]]="Automatic","Auto","Manual")</f>
        <v>Auto</v>
      </c>
      <c r="Q591" s="1" t="str">
        <f>IFERROR(IF(VALUE(tbl_data[[#This Row],[Engine_CC]])=0,"",VALUE(tbl_data[[#This Row],[Price_USD]])/VALUE(tbl_data[[#This Row],[Engine_CC]])),"")</f>
        <v/>
      </c>
      <c r="R591" s="1" t="str">
        <f>TRIM(tbl_data[[#This Row],[Brand]])</f>
        <v>Mercedes</v>
      </c>
      <c r="S591" s="1">
        <f>_xlfn.NUMBERVALUE(tbl_data[[#This Row],[Price_USD]],".",",")</f>
        <v>62715.95</v>
      </c>
    </row>
    <row r="592" spans="1:19" x14ac:dyDescent="0.3">
      <c r="A592">
        <v>591</v>
      </c>
      <c r="B592" t="s">
        <v>30</v>
      </c>
      <c r="C592">
        <v>2018</v>
      </c>
      <c r="D592">
        <v>99848</v>
      </c>
      <c r="E592" t="s">
        <v>44</v>
      </c>
      <c r="F592" t="s">
        <v>14</v>
      </c>
      <c r="G592" t="s">
        <v>32</v>
      </c>
      <c r="H592">
        <v>2064</v>
      </c>
      <c r="I592" t="s">
        <v>1718</v>
      </c>
      <c r="J592" t="s">
        <v>1719</v>
      </c>
      <c r="K592">
        <v>7</v>
      </c>
      <c r="L592" t="s">
        <v>1720</v>
      </c>
      <c r="M592" s="1" t="str">
        <f>TEXT(DATE(tbl_data[[#This Row],[Model_Year]],1,1),"yyyy")</f>
        <v>2018</v>
      </c>
      <c r="N592" s="1" t="str">
        <f>IF(tbl_data[[#This Row],[Kilometers_Driven]]&lt;50000,"&lt;50k",
IF(tbl_data[[#This Row],[Kilometers_Driven]]&lt;100000,"50k-100k",
IF(tbl_data[[#This Row],[Kilometers_Driven]]&lt;150000,"100k-150k","150k+")))</f>
        <v>50k-100k</v>
      </c>
      <c r="O592" s="1" t="str">
        <f>IF(tbl_data[[#This Row],[Price_USD]]&gt;=87089,"High",
IF(tbl_data[[#This Row],[Price_USD]]&gt;=56807,"Mid","Low"))</f>
        <v>High</v>
      </c>
      <c r="P592" s="1" t="str">
        <f>IF(tbl_data[[#This Row],[Transmission]]="Automatic","Auto","Manual")</f>
        <v>Manual</v>
      </c>
      <c r="Q592" s="1" t="str">
        <f>IFERROR(IF(VALUE(tbl_data[[#This Row],[Engine_CC]])=0,"",VALUE(tbl_data[[#This Row],[Price_USD]])/VALUE(tbl_data[[#This Row],[Engine_CC]])),"")</f>
        <v/>
      </c>
      <c r="R592" s="1" t="str">
        <f>TRIM(tbl_data[[#This Row],[Brand]])</f>
        <v>Mercedes</v>
      </c>
      <c r="S592" s="1">
        <f>_xlfn.NUMBERVALUE(tbl_data[[#This Row],[Price_USD]],".",",")</f>
        <v>116424.41</v>
      </c>
    </row>
    <row r="593" spans="1:19" x14ac:dyDescent="0.3">
      <c r="A593">
        <v>592</v>
      </c>
      <c r="B593" t="s">
        <v>19</v>
      </c>
      <c r="C593">
        <v>2019</v>
      </c>
      <c r="D593">
        <v>7839</v>
      </c>
      <c r="E593" t="s">
        <v>13</v>
      </c>
      <c r="F593" t="s">
        <v>14</v>
      </c>
      <c r="G593" t="s">
        <v>15</v>
      </c>
      <c r="H593">
        <v>2707</v>
      </c>
      <c r="I593" t="s">
        <v>1721</v>
      </c>
      <c r="J593" t="s">
        <v>1722</v>
      </c>
      <c r="K593">
        <v>6</v>
      </c>
      <c r="L593" t="s">
        <v>1723</v>
      </c>
      <c r="M593" s="1" t="str">
        <f>TEXT(DATE(tbl_data[[#This Row],[Model_Year]],1,1),"yyyy")</f>
        <v>2019</v>
      </c>
      <c r="N593" s="1" t="str">
        <f>IF(tbl_data[[#This Row],[Kilometers_Driven]]&lt;50000,"&lt;50k",
IF(tbl_data[[#This Row],[Kilometers_Driven]]&lt;100000,"50k-100k",
IF(tbl_data[[#This Row],[Kilometers_Driven]]&lt;150000,"100k-150k","150k+")))</f>
        <v>&lt;50k</v>
      </c>
      <c r="O593" s="1" t="str">
        <f>IF(tbl_data[[#This Row],[Price_USD]]&gt;=87089,"High",
IF(tbl_data[[#This Row],[Price_USD]]&gt;=56807,"Mid","Low"))</f>
        <v>High</v>
      </c>
      <c r="P593" s="1" t="str">
        <f>IF(tbl_data[[#This Row],[Transmission]]="Automatic","Auto","Manual")</f>
        <v>Manual</v>
      </c>
      <c r="Q593" s="1" t="str">
        <f>IFERROR(IF(VALUE(tbl_data[[#This Row],[Engine_CC]])=0,"",VALUE(tbl_data[[#This Row],[Price_USD]])/VALUE(tbl_data[[#This Row],[Engine_CC]])),"")</f>
        <v/>
      </c>
      <c r="R593" s="1" t="str">
        <f>TRIM(tbl_data[[#This Row],[Brand]])</f>
        <v>BMW</v>
      </c>
      <c r="S593" s="1">
        <f>_xlfn.NUMBERVALUE(tbl_data[[#This Row],[Price_USD]],".",",")</f>
        <v>84105.52</v>
      </c>
    </row>
    <row r="594" spans="1:19" x14ac:dyDescent="0.3">
      <c r="A594">
        <v>593</v>
      </c>
      <c r="B594" t="s">
        <v>43</v>
      </c>
      <c r="C594">
        <v>2020</v>
      </c>
      <c r="D594">
        <v>73920</v>
      </c>
      <c r="E594" t="s">
        <v>44</v>
      </c>
      <c r="F594" t="s">
        <v>14</v>
      </c>
      <c r="G594" t="s">
        <v>26</v>
      </c>
      <c r="H594">
        <v>1858</v>
      </c>
      <c r="I594" t="s">
        <v>1724</v>
      </c>
      <c r="J594" t="s">
        <v>1725</v>
      </c>
      <c r="K594">
        <v>7</v>
      </c>
      <c r="L594" t="s">
        <v>1726</v>
      </c>
      <c r="M594" s="1" t="str">
        <f>TEXT(DATE(tbl_data[[#This Row],[Model_Year]],1,1),"yyyy")</f>
        <v>2020</v>
      </c>
      <c r="N594" s="1" t="str">
        <f>IF(tbl_data[[#This Row],[Kilometers_Driven]]&lt;50000,"&lt;50k",
IF(tbl_data[[#This Row],[Kilometers_Driven]]&lt;100000,"50k-100k",
IF(tbl_data[[#This Row],[Kilometers_Driven]]&lt;150000,"100k-150k","150k+")))</f>
        <v>50k-100k</v>
      </c>
      <c r="O594" s="1" t="str">
        <f>IF(tbl_data[[#This Row],[Price_USD]]&gt;=87089,"High",
IF(tbl_data[[#This Row],[Price_USD]]&gt;=56807,"Mid","Low"))</f>
        <v>High</v>
      </c>
      <c r="P594" s="1" t="str">
        <f>IF(tbl_data[[#This Row],[Transmission]]="Automatic","Auto","Manual")</f>
        <v>Manual</v>
      </c>
      <c r="Q594" s="1" t="str">
        <f>IFERROR(IF(VALUE(tbl_data[[#This Row],[Engine_CC]])=0,"",VALUE(tbl_data[[#This Row],[Price_USD]])/VALUE(tbl_data[[#This Row],[Engine_CC]])),"")</f>
        <v/>
      </c>
      <c r="R594" s="1" t="str">
        <f>TRIM(tbl_data[[#This Row],[Brand]])</f>
        <v>Ford</v>
      </c>
      <c r="S594" s="1">
        <f>_xlfn.NUMBERVALUE(tbl_data[[#This Row],[Price_USD]],".",",")</f>
        <v>11297.19</v>
      </c>
    </row>
    <row r="595" spans="1:19" x14ac:dyDescent="0.3">
      <c r="A595">
        <v>594</v>
      </c>
      <c r="B595" t="s">
        <v>43</v>
      </c>
      <c r="C595">
        <v>2024</v>
      </c>
      <c r="D595">
        <v>48619</v>
      </c>
      <c r="E595" t="s">
        <v>44</v>
      </c>
      <c r="F595" t="s">
        <v>21</v>
      </c>
      <c r="G595" t="s">
        <v>15</v>
      </c>
      <c r="H595">
        <v>3549</v>
      </c>
      <c r="I595" t="s">
        <v>1727</v>
      </c>
      <c r="J595" t="s">
        <v>1728</v>
      </c>
      <c r="K595">
        <v>5</v>
      </c>
      <c r="L595" t="s">
        <v>1729</v>
      </c>
      <c r="M595" s="1" t="str">
        <f>TEXT(DATE(tbl_data[[#This Row],[Model_Year]],1,1),"yyyy")</f>
        <v>2024</v>
      </c>
      <c r="N595" s="1" t="str">
        <f>IF(tbl_data[[#This Row],[Kilometers_Driven]]&lt;50000,"&lt;50k",
IF(tbl_data[[#This Row],[Kilometers_Driven]]&lt;100000,"50k-100k",
IF(tbl_data[[#This Row],[Kilometers_Driven]]&lt;150000,"100k-150k","150k+")))</f>
        <v>&lt;50k</v>
      </c>
      <c r="O595" s="1" t="str">
        <f>IF(tbl_data[[#This Row],[Price_USD]]&gt;=87089,"High",
IF(tbl_data[[#This Row],[Price_USD]]&gt;=56807,"Mid","Low"))</f>
        <v>High</v>
      </c>
      <c r="P595" s="1" t="str">
        <f>IF(tbl_data[[#This Row],[Transmission]]="Automatic","Auto","Manual")</f>
        <v>Auto</v>
      </c>
      <c r="Q595" s="1" t="str">
        <f>IFERROR(IF(VALUE(tbl_data[[#This Row],[Engine_CC]])=0,"",VALUE(tbl_data[[#This Row],[Price_USD]])/VALUE(tbl_data[[#This Row],[Engine_CC]])),"")</f>
        <v/>
      </c>
      <c r="R595" s="1" t="str">
        <f>TRIM(tbl_data[[#This Row],[Brand]])</f>
        <v>Ford</v>
      </c>
      <c r="S595" s="1">
        <f>_xlfn.NUMBERVALUE(tbl_data[[#This Row],[Price_USD]],".",",")</f>
        <v>25155.22</v>
      </c>
    </row>
    <row r="596" spans="1:19" x14ac:dyDescent="0.3">
      <c r="A596">
        <v>595</v>
      </c>
      <c r="B596" t="s">
        <v>19</v>
      </c>
      <c r="C596">
        <v>2005</v>
      </c>
      <c r="D596">
        <v>47821</v>
      </c>
      <c r="E596" t="s">
        <v>20</v>
      </c>
      <c r="F596" t="s">
        <v>21</v>
      </c>
      <c r="G596" t="s">
        <v>26</v>
      </c>
      <c r="H596">
        <v>2848</v>
      </c>
      <c r="I596" t="s">
        <v>1730</v>
      </c>
      <c r="J596" t="s">
        <v>564</v>
      </c>
      <c r="K596">
        <v>5</v>
      </c>
      <c r="L596" t="s">
        <v>1731</v>
      </c>
      <c r="M596" s="1" t="str">
        <f>TEXT(DATE(tbl_data[[#This Row],[Model_Year]],1,1),"yyyy")</f>
        <v>2005</v>
      </c>
      <c r="N596" s="1" t="str">
        <f>IF(tbl_data[[#This Row],[Kilometers_Driven]]&lt;50000,"&lt;50k",
IF(tbl_data[[#This Row],[Kilometers_Driven]]&lt;100000,"50k-100k",
IF(tbl_data[[#This Row],[Kilometers_Driven]]&lt;150000,"100k-150k","150k+")))</f>
        <v>&lt;50k</v>
      </c>
      <c r="O596" s="1" t="str">
        <f>IF(tbl_data[[#This Row],[Price_USD]]&gt;=87089,"High",
IF(tbl_data[[#This Row],[Price_USD]]&gt;=56807,"Mid","Low"))</f>
        <v>High</v>
      </c>
      <c r="P596" s="1" t="str">
        <f>IF(tbl_data[[#This Row],[Transmission]]="Automatic","Auto","Manual")</f>
        <v>Auto</v>
      </c>
      <c r="Q596" s="1" t="str">
        <f>IFERROR(IF(VALUE(tbl_data[[#This Row],[Engine_CC]])=0,"",VALUE(tbl_data[[#This Row],[Price_USD]])/VALUE(tbl_data[[#This Row],[Engine_CC]])),"")</f>
        <v/>
      </c>
      <c r="R596" s="1" t="str">
        <f>TRIM(tbl_data[[#This Row],[Brand]])</f>
        <v>BMW</v>
      </c>
      <c r="S596" s="1">
        <f>_xlfn.NUMBERVALUE(tbl_data[[#This Row],[Price_USD]],".",",")</f>
        <v>93244.81</v>
      </c>
    </row>
    <row r="597" spans="1:19" x14ac:dyDescent="0.3">
      <c r="A597">
        <v>596</v>
      </c>
      <c r="B597" t="s">
        <v>102</v>
      </c>
      <c r="C597">
        <v>2014</v>
      </c>
      <c r="D597">
        <v>130736</v>
      </c>
      <c r="E597" t="s">
        <v>44</v>
      </c>
      <c r="F597" t="s">
        <v>14</v>
      </c>
      <c r="G597" t="s">
        <v>26</v>
      </c>
      <c r="H597">
        <v>3276</v>
      </c>
      <c r="I597" t="s">
        <v>1732</v>
      </c>
      <c r="J597" t="s">
        <v>849</v>
      </c>
      <c r="K597">
        <v>2</v>
      </c>
      <c r="L597" t="s">
        <v>1733</v>
      </c>
      <c r="M597" s="1" t="str">
        <f>TEXT(DATE(tbl_data[[#This Row],[Model_Year]],1,1),"yyyy")</f>
        <v>2014</v>
      </c>
      <c r="N597" s="1" t="str">
        <f>IF(tbl_data[[#This Row],[Kilometers_Driven]]&lt;50000,"&lt;50k",
IF(tbl_data[[#This Row],[Kilometers_Driven]]&lt;100000,"50k-100k",
IF(tbl_data[[#This Row],[Kilometers_Driven]]&lt;150000,"100k-150k","150k+")))</f>
        <v>100k-150k</v>
      </c>
      <c r="O597" s="1" t="str">
        <f>IF(tbl_data[[#This Row],[Price_USD]]&gt;=87089,"High",
IF(tbl_data[[#This Row],[Price_USD]]&gt;=56807,"Mid","Low"))</f>
        <v>High</v>
      </c>
      <c r="P597" s="1" t="str">
        <f>IF(tbl_data[[#This Row],[Transmission]]="Automatic","Auto","Manual")</f>
        <v>Manual</v>
      </c>
      <c r="Q597" s="1" t="str">
        <f>IFERROR(IF(VALUE(tbl_data[[#This Row],[Engine_CC]])=0,"",VALUE(tbl_data[[#This Row],[Price_USD]])/VALUE(tbl_data[[#This Row],[Engine_CC]])),"")</f>
        <v/>
      </c>
      <c r="R597" s="1" t="str">
        <f>TRIM(tbl_data[[#This Row],[Brand]])</f>
        <v>Nissan</v>
      </c>
      <c r="S597" s="1">
        <f>_xlfn.NUMBERVALUE(tbl_data[[#This Row],[Price_USD]],".",",")</f>
        <v>101448.45</v>
      </c>
    </row>
    <row r="598" spans="1:19" x14ac:dyDescent="0.3">
      <c r="A598">
        <v>597</v>
      </c>
      <c r="B598" t="s">
        <v>76</v>
      </c>
      <c r="C598">
        <v>2012</v>
      </c>
      <c r="D598">
        <v>149565</v>
      </c>
      <c r="E598" t="s">
        <v>13</v>
      </c>
      <c r="F598" t="s">
        <v>14</v>
      </c>
      <c r="G598" t="s">
        <v>15</v>
      </c>
      <c r="H598">
        <v>4816</v>
      </c>
      <c r="I598" t="s">
        <v>1734</v>
      </c>
      <c r="J598" t="s">
        <v>1735</v>
      </c>
      <c r="K598">
        <v>5</v>
      </c>
      <c r="L598" t="s">
        <v>1736</v>
      </c>
      <c r="M598" s="1" t="str">
        <f>TEXT(DATE(tbl_data[[#This Row],[Model_Year]],1,1),"yyyy")</f>
        <v>2012</v>
      </c>
      <c r="N598" s="1" t="str">
        <f>IF(tbl_data[[#This Row],[Kilometers_Driven]]&lt;50000,"&lt;50k",
IF(tbl_data[[#This Row],[Kilometers_Driven]]&lt;100000,"50k-100k",
IF(tbl_data[[#This Row],[Kilometers_Driven]]&lt;150000,"100k-150k","150k+")))</f>
        <v>100k-150k</v>
      </c>
      <c r="O598" s="1" t="str">
        <f>IF(tbl_data[[#This Row],[Price_USD]]&gt;=87089,"High",
IF(tbl_data[[#This Row],[Price_USD]]&gt;=56807,"Mid","Low"))</f>
        <v>High</v>
      </c>
      <c r="P598" s="1" t="str">
        <f>IF(tbl_data[[#This Row],[Transmission]]="Automatic","Auto","Manual")</f>
        <v>Manual</v>
      </c>
      <c r="Q598" s="1" t="str">
        <f>IFERROR(IF(VALUE(tbl_data[[#This Row],[Engine_CC]])=0,"",VALUE(tbl_data[[#This Row],[Price_USD]])/VALUE(tbl_data[[#This Row],[Engine_CC]])),"")</f>
        <v/>
      </c>
      <c r="R598" s="1" t="str">
        <f>TRIM(tbl_data[[#This Row],[Brand]])</f>
        <v>Honda</v>
      </c>
      <c r="S598" s="1">
        <f>_xlfn.NUMBERVALUE(tbl_data[[#This Row],[Price_USD]],".",",")</f>
        <v>75270.27</v>
      </c>
    </row>
    <row r="599" spans="1:19" x14ac:dyDescent="0.3">
      <c r="A599">
        <v>598</v>
      </c>
      <c r="B599" t="s">
        <v>102</v>
      </c>
      <c r="C599">
        <v>2022</v>
      </c>
      <c r="D599">
        <v>22069</v>
      </c>
      <c r="E599" t="s">
        <v>20</v>
      </c>
      <c r="F599" t="s">
        <v>21</v>
      </c>
      <c r="G599" t="s">
        <v>32</v>
      </c>
      <c r="H599">
        <v>3997</v>
      </c>
      <c r="I599" t="s">
        <v>1737</v>
      </c>
      <c r="J599" t="s">
        <v>1738</v>
      </c>
      <c r="K599">
        <v>4</v>
      </c>
      <c r="L599" t="s">
        <v>1739</v>
      </c>
      <c r="M599" s="1" t="str">
        <f>TEXT(DATE(tbl_data[[#This Row],[Model_Year]],1,1),"yyyy")</f>
        <v>2022</v>
      </c>
      <c r="N599" s="1" t="str">
        <f>IF(tbl_data[[#This Row],[Kilometers_Driven]]&lt;50000,"&lt;50k",
IF(tbl_data[[#This Row],[Kilometers_Driven]]&lt;100000,"50k-100k",
IF(tbl_data[[#This Row],[Kilometers_Driven]]&lt;150000,"100k-150k","150k+")))</f>
        <v>&lt;50k</v>
      </c>
      <c r="O599" s="1" t="str">
        <f>IF(tbl_data[[#This Row],[Price_USD]]&gt;=87089,"High",
IF(tbl_data[[#This Row],[Price_USD]]&gt;=56807,"Mid","Low"))</f>
        <v>High</v>
      </c>
      <c r="P599" s="1" t="str">
        <f>IF(tbl_data[[#This Row],[Transmission]]="Automatic","Auto","Manual")</f>
        <v>Auto</v>
      </c>
      <c r="Q599" s="1" t="str">
        <f>IFERROR(IF(VALUE(tbl_data[[#This Row],[Engine_CC]])=0,"",VALUE(tbl_data[[#This Row],[Price_USD]])/VALUE(tbl_data[[#This Row],[Engine_CC]])),"")</f>
        <v/>
      </c>
      <c r="R599" s="1" t="str">
        <f>TRIM(tbl_data[[#This Row],[Brand]])</f>
        <v>Nissan</v>
      </c>
      <c r="S599" s="1">
        <f>_xlfn.NUMBERVALUE(tbl_data[[#This Row],[Price_USD]],".",",")</f>
        <v>78397.509999999995</v>
      </c>
    </row>
    <row r="600" spans="1:19" x14ac:dyDescent="0.3">
      <c r="A600">
        <v>599</v>
      </c>
      <c r="B600" t="s">
        <v>92</v>
      </c>
      <c r="C600">
        <v>2005</v>
      </c>
      <c r="D600">
        <v>12531</v>
      </c>
      <c r="E600" t="s">
        <v>31</v>
      </c>
      <c r="F600" t="s">
        <v>21</v>
      </c>
      <c r="G600" t="s">
        <v>26</v>
      </c>
      <c r="H600">
        <v>4353</v>
      </c>
      <c r="I600" t="s">
        <v>1740</v>
      </c>
      <c r="J600" t="s">
        <v>1741</v>
      </c>
      <c r="K600">
        <v>5</v>
      </c>
      <c r="L600" t="s">
        <v>1742</v>
      </c>
      <c r="M600" s="1" t="str">
        <f>TEXT(DATE(tbl_data[[#This Row],[Model_Year]],1,1),"yyyy")</f>
        <v>2005</v>
      </c>
      <c r="N600" s="1" t="str">
        <f>IF(tbl_data[[#This Row],[Kilometers_Driven]]&lt;50000,"&lt;50k",
IF(tbl_data[[#This Row],[Kilometers_Driven]]&lt;100000,"50k-100k",
IF(tbl_data[[#This Row],[Kilometers_Driven]]&lt;150000,"100k-150k","150k+")))</f>
        <v>&lt;50k</v>
      </c>
      <c r="O600" s="1" t="str">
        <f>IF(tbl_data[[#This Row],[Price_USD]]&gt;=87089,"High",
IF(tbl_data[[#This Row],[Price_USD]]&gt;=56807,"Mid","Low"))</f>
        <v>High</v>
      </c>
      <c r="P600" s="1" t="str">
        <f>IF(tbl_data[[#This Row],[Transmission]]="Automatic","Auto","Manual")</f>
        <v>Auto</v>
      </c>
      <c r="Q600" s="1" t="str">
        <f>IFERROR(IF(VALUE(tbl_data[[#This Row],[Engine_CC]])=0,"",VALUE(tbl_data[[#This Row],[Price_USD]])/VALUE(tbl_data[[#This Row],[Engine_CC]])),"")</f>
        <v/>
      </c>
      <c r="R600" s="1" t="str">
        <f>TRIM(tbl_data[[#This Row],[Brand]])</f>
        <v>Toyota</v>
      </c>
      <c r="S600" s="1">
        <f>_xlfn.NUMBERVALUE(tbl_data[[#This Row],[Price_USD]],".",",")</f>
        <v>6315.48</v>
      </c>
    </row>
    <row r="601" spans="1:19" x14ac:dyDescent="0.3">
      <c r="A601">
        <v>600</v>
      </c>
      <c r="B601" t="s">
        <v>92</v>
      </c>
      <c r="C601">
        <v>2006</v>
      </c>
      <c r="D601">
        <v>173123</v>
      </c>
      <c r="E601" t="s">
        <v>31</v>
      </c>
      <c r="F601" t="s">
        <v>21</v>
      </c>
      <c r="G601" t="s">
        <v>15</v>
      </c>
      <c r="H601">
        <v>2561</v>
      </c>
      <c r="I601" t="s">
        <v>1743</v>
      </c>
      <c r="J601" t="s">
        <v>1744</v>
      </c>
      <c r="K601">
        <v>2</v>
      </c>
      <c r="L601" t="s">
        <v>1745</v>
      </c>
      <c r="M601" s="1" t="str">
        <f>TEXT(DATE(tbl_data[[#This Row],[Model_Year]],1,1),"yyyy")</f>
        <v>2006</v>
      </c>
      <c r="N601" s="1" t="str">
        <f>IF(tbl_data[[#This Row],[Kilometers_Driven]]&lt;50000,"&lt;50k",
IF(tbl_data[[#This Row],[Kilometers_Driven]]&lt;100000,"50k-100k",
IF(tbl_data[[#This Row],[Kilometers_Driven]]&lt;150000,"100k-150k","150k+")))</f>
        <v>150k+</v>
      </c>
      <c r="O601" s="1" t="str">
        <f>IF(tbl_data[[#This Row],[Price_USD]]&gt;=87089,"High",
IF(tbl_data[[#This Row],[Price_USD]]&gt;=56807,"Mid","Low"))</f>
        <v>High</v>
      </c>
      <c r="P601" s="1" t="str">
        <f>IF(tbl_data[[#This Row],[Transmission]]="Automatic","Auto","Manual")</f>
        <v>Auto</v>
      </c>
      <c r="Q601" s="1" t="str">
        <f>IFERROR(IF(VALUE(tbl_data[[#This Row],[Engine_CC]])=0,"",VALUE(tbl_data[[#This Row],[Price_USD]])/VALUE(tbl_data[[#This Row],[Engine_CC]])),"")</f>
        <v/>
      </c>
      <c r="R601" s="1" t="str">
        <f>TRIM(tbl_data[[#This Row],[Brand]])</f>
        <v>Toyota</v>
      </c>
      <c r="S601" s="1">
        <f>_xlfn.NUMBERVALUE(tbl_data[[#This Row],[Price_USD]],".",",")</f>
        <v>99938.04</v>
      </c>
    </row>
    <row r="602" spans="1:19" x14ac:dyDescent="0.3">
      <c r="A602">
        <v>601</v>
      </c>
      <c r="B602" t="s">
        <v>30</v>
      </c>
      <c r="C602">
        <v>2005</v>
      </c>
      <c r="D602">
        <v>143808</v>
      </c>
      <c r="E602" t="s">
        <v>20</v>
      </c>
      <c r="F602" t="s">
        <v>21</v>
      </c>
      <c r="G602" t="s">
        <v>26</v>
      </c>
      <c r="H602">
        <v>1020</v>
      </c>
      <c r="I602" t="s">
        <v>1746</v>
      </c>
      <c r="J602" t="s">
        <v>1747</v>
      </c>
      <c r="K602">
        <v>2</v>
      </c>
      <c r="L602" t="s">
        <v>1748</v>
      </c>
      <c r="M602" s="1" t="str">
        <f>TEXT(DATE(tbl_data[[#This Row],[Model_Year]],1,1),"yyyy")</f>
        <v>2005</v>
      </c>
      <c r="N602" s="1" t="str">
        <f>IF(tbl_data[[#This Row],[Kilometers_Driven]]&lt;50000,"&lt;50k",
IF(tbl_data[[#This Row],[Kilometers_Driven]]&lt;100000,"50k-100k",
IF(tbl_data[[#This Row],[Kilometers_Driven]]&lt;150000,"100k-150k","150k+")))</f>
        <v>100k-150k</v>
      </c>
      <c r="O602" s="1" t="str">
        <f>IF(tbl_data[[#This Row],[Price_USD]]&gt;=87089,"High",
IF(tbl_data[[#This Row],[Price_USD]]&gt;=56807,"Mid","Low"))</f>
        <v>High</v>
      </c>
      <c r="P602" s="1" t="str">
        <f>IF(tbl_data[[#This Row],[Transmission]]="Automatic","Auto","Manual")</f>
        <v>Auto</v>
      </c>
      <c r="Q602" s="1" t="str">
        <f>IFERROR(IF(VALUE(tbl_data[[#This Row],[Engine_CC]])=0,"",VALUE(tbl_data[[#This Row],[Price_USD]])/VALUE(tbl_data[[#This Row],[Engine_CC]])),"")</f>
        <v/>
      </c>
      <c r="R602" s="1" t="str">
        <f>TRIM(tbl_data[[#This Row],[Brand]])</f>
        <v>Mercedes</v>
      </c>
      <c r="S602" s="1">
        <f>_xlfn.NUMBERVALUE(tbl_data[[#This Row],[Price_USD]],".",",")</f>
        <v>95228.2</v>
      </c>
    </row>
    <row r="603" spans="1:19" x14ac:dyDescent="0.3">
      <c r="A603">
        <v>602</v>
      </c>
      <c r="B603" t="s">
        <v>69</v>
      </c>
      <c r="C603">
        <v>2005</v>
      </c>
      <c r="D603">
        <v>143782</v>
      </c>
      <c r="E603" t="s">
        <v>13</v>
      </c>
      <c r="F603" t="s">
        <v>21</v>
      </c>
      <c r="G603" t="s">
        <v>32</v>
      </c>
      <c r="H603">
        <v>3688</v>
      </c>
      <c r="I603" t="s">
        <v>1749</v>
      </c>
      <c r="J603" t="s">
        <v>1750</v>
      </c>
      <c r="K603">
        <v>4</v>
      </c>
      <c r="L603" t="s">
        <v>1751</v>
      </c>
      <c r="M603" s="1" t="str">
        <f>TEXT(DATE(tbl_data[[#This Row],[Model_Year]],1,1),"yyyy")</f>
        <v>2005</v>
      </c>
      <c r="N603" s="1" t="str">
        <f>IF(tbl_data[[#This Row],[Kilometers_Driven]]&lt;50000,"&lt;50k",
IF(tbl_data[[#This Row],[Kilometers_Driven]]&lt;100000,"50k-100k",
IF(tbl_data[[#This Row],[Kilometers_Driven]]&lt;150000,"100k-150k","150k+")))</f>
        <v>100k-150k</v>
      </c>
      <c r="O603" s="1" t="str">
        <f>IF(tbl_data[[#This Row],[Price_USD]]&gt;=87089,"High",
IF(tbl_data[[#This Row],[Price_USD]]&gt;=56807,"Mid","Low"))</f>
        <v>High</v>
      </c>
      <c r="P603" s="1" t="str">
        <f>IF(tbl_data[[#This Row],[Transmission]]="Automatic","Auto","Manual")</f>
        <v>Auto</v>
      </c>
      <c r="Q603" s="1" t="str">
        <f>IFERROR(IF(VALUE(tbl_data[[#This Row],[Engine_CC]])=0,"",VALUE(tbl_data[[#This Row],[Price_USD]])/VALUE(tbl_data[[#This Row],[Engine_CC]])),"")</f>
        <v/>
      </c>
      <c r="R603" s="1" t="str">
        <f>TRIM(tbl_data[[#This Row],[Brand]])</f>
        <v>Hyundai</v>
      </c>
      <c r="S603" s="1">
        <f>_xlfn.NUMBERVALUE(tbl_data[[#This Row],[Price_USD]],".",",")</f>
        <v>33307.11</v>
      </c>
    </row>
    <row r="604" spans="1:19" x14ac:dyDescent="0.3">
      <c r="A604">
        <v>603</v>
      </c>
      <c r="B604" t="s">
        <v>69</v>
      </c>
      <c r="C604">
        <v>2013</v>
      </c>
      <c r="D604">
        <v>72155</v>
      </c>
      <c r="E604" t="s">
        <v>31</v>
      </c>
      <c r="F604" t="s">
        <v>21</v>
      </c>
      <c r="G604" t="s">
        <v>15</v>
      </c>
      <c r="H604">
        <v>2464</v>
      </c>
      <c r="I604" t="s">
        <v>1752</v>
      </c>
      <c r="J604" t="s">
        <v>1753</v>
      </c>
      <c r="K604">
        <v>2</v>
      </c>
      <c r="L604" t="s">
        <v>1754</v>
      </c>
      <c r="M604" s="1" t="str">
        <f>TEXT(DATE(tbl_data[[#This Row],[Model_Year]],1,1),"yyyy")</f>
        <v>2013</v>
      </c>
      <c r="N604" s="1" t="str">
        <f>IF(tbl_data[[#This Row],[Kilometers_Driven]]&lt;50000,"&lt;50k",
IF(tbl_data[[#This Row],[Kilometers_Driven]]&lt;100000,"50k-100k",
IF(tbl_data[[#This Row],[Kilometers_Driven]]&lt;150000,"100k-150k","150k+")))</f>
        <v>50k-100k</v>
      </c>
      <c r="O604" s="1" t="str">
        <f>IF(tbl_data[[#This Row],[Price_USD]]&gt;=87089,"High",
IF(tbl_data[[#This Row],[Price_USD]]&gt;=56807,"Mid","Low"))</f>
        <v>High</v>
      </c>
      <c r="P604" s="1" t="str">
        <f>IF(tbl_data[[#This Row],[Transmission]]="Automatic","Auto","Manual")</f>
        <v>Auto</v>
      </c>
      <c r="Q604" s="1" t="str">
        <f>IFERROR(IF(VALUE(tbl_data[[#This Row],[Engine_CC]])=0,"",VALUE(tbl_data[[#This Row],[Price_USD]])/VALUE(tbl_data[[#This Row],[Engine_CC]])),"")</f>
        <v/>
      </c>
      <c r="R604" s="1" t="str">
        <f>TRIM(tbl_data[[#This Row],[Brand]])</f>
        <v>Hyundai</v>
      </c>
      <c r="S604" s="1">
        <f>_xlfn.NUMBERVALUE(tbl_data[[#This Row],[Price_USD]],".",",")</f>
        <v>85915.18</v>
      </c>
    </row>
    <row r="605" spans="1:19" x14ac:dyDescent="0.3">
      <c r="A605">
        <v>604</v>
      </c>
      <c r="B605" t="s">
        <v>43</v>
      </c>
      <c r="C605">
        <v>2017</v>
      </c>
      <c r="D605">
        <v>150047</v>
      </c>
      <c r="E605" t="s">
        <v>31</v>
      </c>
      <c r="F605" t="s">
        <v>21</v>
      </c>
      <c r="G605" t="s">
        <v>15</v>
      </c>
      <c r="H605">
        <v>4786</v>
      </c>
      <c r="I605" t="s">
        <v>1755</v>
      </c>
      <c r="J605" t="s">
        <v>1756</v>
      </c>
      <c r="K605">
        <v>6</v>
      </c>
      <c r="L605" t="s">
        <v>1757</v>
      </c>
      <c r="M605" s="1" t="str">
        <f>TEXT(DATE(tbl_data[[#This Row],[Model_Year]],1,1),"yyyy")</f>
        <v>2017</v>
      </c>
      <c r="N605" s="1" t="str">
        <f>IF(tbl_data[[#This Row],[Kilometers_Driven]]&lt;50000,"&lt;50k",
IF(tbl_data[[#This Row],[Kilometers_Driven]]&lt;100000,"50k-100k",
IF(tbl_data[[#This Row],[Kilometers_Driven]]&lt;150000,"100k-150k","150k+")))</f>
        <v>150k+</v>
      </c>
      <c r="O605" s="1" t="str">
        <f>IF(tbl_data[[#This Row],[Price_USD]]&gt;=87089,"High",
IF(tbl_data[[#This Row],[Price_USD]]&gt;=56807,"Mid","Low"))</f>
        <v>High</v>
      </c>
      <c r="P605" s="1" t="str">
        <f>IF(tbl_data[[#This Row],[Transmission]]="Automatic","Auto","Manual")</f>
        <v>Auto</v>
      </c>
      <c r="Q605" s="1" t="str">
        <f>IFERROR(IF(VALUE(tbl_data[[#This Row],[Engine_CC]])=0,"",VALUE(tbl_data[[#This Row],[Price_USD]])/VALUE(tbl_data[[#This Row],[Engine_CC]])),"")</f>
        <v/>
      </c>
      <c r="R605" s="1" t="str">
        <f>TRIM(tbl_data[[#This Row],[Brand]])</f>
        <v>Ford</v>
      </c>
      <c r="S605" s="1">
        <f>_xlfn.NUMBERVALUE(tbl_data[[#This Row],[Price_USD]],".",",")</f>
        <v>28137.99</v>
      </c>
    </row>
    <row r="606" spans="1:19" x14ac:dyDescent="0.3">
      <c r="A606">
        <v>605</v>
      </c>
      <c r="B606" t="s">
        <v>12</v>
      </c>
      <c r="C606">
        <v>2005</v>
      </c>
      <c r="D606">
        <v>67424</v>
      </c>
      <c r="E606" t="s">
        <v>44</v>
      </c>
      <c r="F606" t="s">
        <v>21</v>
      </c>
      <c r="G606" t="s">
        <v>15</v>
      </c>
      <c r="H606">
        <v>3777</v>
      </c>
      <c r="I606" t="s">
        <v>1758</v>
      </c>
      <c r="J606" t="s">
        <v>1759</v>
      </c>
      <c r="K606">
        <v>7</v>
      </c>
      <c r="L606" t="s">
        <v>1760</v>
      </c>
      <c r="M606" s="1" t="str">
        <f>TEXT(DATE(tbl_data[[#This Row],[Model_Year]],1,1),"yyyy")</f>
        <v>2005</v>
      </c>
      <c r="N606" s="1" t="str">
        <f>IF(tbl_data[[#This Row],[Kilometers_Driven]]&lt;50000,"&lt;50k",
IF(tbl_data[[#This Row],[Kilometers_Driven]]&lt;100000,"50k-100k",
IF(tbl_data[[#This Row],[Kilometers_Driven]]&lt;150000,"100k-150k","150k+")))</f>
        <v>50k-100k</v>
      </c>
      <c r="O606" s="1" t="str">
        <f>IF(tbl_data[[#This Row],[Price_USD]]&gt;=87089,"High",
IF(tbl_data[[#This Row],[Price_USD]]&gt;=56807,"Mid","Low"))</f>
        <v>High</v>
      </c>
      <c r="P606" s="1" t="str">
        <f>IF(tbl_data[[#This Row],[Transmission]]="Automatic","Auto","Manual")</f>
        <v>Auto</v>
      </c>
      <c r="Q606" s="1" t="str">
        <f>IFERROR(IF(VALUE(tbl_data[[#This Row],[Engine_CC]])=0,"",VALUE(tbl_data[[#This Row],[Price_USD]])/VALUE(tbl_data[[#This Row],[Engine_CC]])),"")</f>
        <v/>
      </c>
      <c r="R606" s="1" t="str">
        <f>TRIM(tbl_data[[#This Row],[Brand]])</f>
        <v>Audi</v>
      </c>
      <c r="S606" s="1">
        <f>_xlfn.NUMBERVALUE(tbl_data[[#This Row],[Price_USD]],".",",")</f>
        <v>7718.63</v>
      </c>
    </row>
    <row r="607" spans="1:19" x14ac:dyDescent="0.3">
      <c r="A607">
        <v>606</v>
      </c>
      <c r="B607" t="s">
        <v>102</v>
      </c>
      <c r="C607">
        <v>2017</v>
      </c>
      <c r="D607">
        <v>50603</v>
      </c>
      <c r="E607" t="s">
        <v>44</v>
      </c>
      <c r="F607" t="s">
        <v>14</v>
      </c>
      <c r="G607" t="s">
        <v>32</v>
      </c>
      <c r="H607">
        <v>2671</v>
      </c>
      <c r="I607" t="s">
        <v>1761</v>
      </c>
      <c r="J607" t="s">
        <v>1762</v>
      </c>
      <c r="K607">
        <v>5</v>
      </c>
      <c r="L607" t="s">
        <v>1763</v>
      </c>
      <c r="M607" s="1" t="str">
        <f>TEXT(DATE(tbl_data[[#This Row],[Model_Year]],1,1),"yyyy")</f>
        <v>2017</v>
      </c>
      <c r="N607" s="1" t="str">
        <f>IF(tbl_data[[#This Row],[Kilometers_Driven]]&lt;50000,"&lt;50k",
IF(tbl_data[[#This Row],[Kilometers_Driven]]&lt;100000,"50k-100k",
IF(tbl_data[[#This Row],[Kilometers_Driven]]&lt;150000,"100k-150k","150k+")))</f>
        <v>50k-100k</v>
      </c>
      <c r="O607" s="1" t="str">
        <f>IF(tbl_data[[#This Row],[Price_USD]]&gt;=87089,"High",
IF(tbl_data[[#This Row],[Price_USD]]&gt;=56807,"Mid","Low"))</f>
        <v>High</v>
      </c>
      <c r="P607" s="1" t="str">
        <f>IF(tbl_data[[#This Row],[Transmission]]="Automatic","Auto","Manual")</f>
        <v>Manual</v>
      </c>
      <c r="Q607" s="1" t="str">
        <f>IFERROR(IF(VALUE(tbl_data[[#This Row],[Engine_CC]])=0,"",VALUE(tbl_data[[#This Row],[Price_USD]])/VALUE(tbl_data[[#This Row],[Engine_CC]])),"")</f>
        <v/>
      </c>
      <c r="R607" s="1" t="str">
        <f>TRIM(tbl_data[[#This Row],[Brand]])</f>
        <v>Nissan</v>
      </c>
      <c r="S607" s="1">
        <f>_xlfn.NUMBERVALUE(tbl_data[[#This Row],[Price_USD]],".",",")</f>
        <v>26532.98</v>
      </c>
    </row>
    <row r="608" spans="1:19" x14ac:dyDescent="0.3">
      <c r="A608">
        <v>607</v>
      </c>
      <c r="B608" t="s">
        <v>39</v>
      </c>
      <c r="C608">
        <v>2024</v>
      </c>
      <c r="D608">
        <v>159324</v>
      </c>
      <c r="E608" t="s">
        <v>13</v>
      </c>
      <c r="F608" t="s">
        <v>14</v>
      </c>
      <c r="G608" t="s">
        <v>26</v>
      </c>
      <c r="H608">
        <v>2262</v>
      </c>
      <c r="I608" t="s">
        <v>1764</v>
      </c>
      <c r="J608" t="s">
        <v>1765</v>
      </c>
      <c r="K608">
        <v>6</v>
      </c>
      <c r="L608" t="s">
        <v>1766</v>
      </c>
      <c r="M608" s="1" t="str">
        <f>TEXT(DATE(tbl_data[[#This Row],[Model_Year]],1,1),"yyyy")</f>
        <v>2024</v>
      </c>
      <c r="N608" s="1" t="str">
        <f>IF(tbl_data[[#This Row],[Kilometers_Driven]]&lt;50000,"&lt;50k",
IF(tbl_data[[#This Row],[Kilometers_Driven]]&lt;100000,"50k-100k",
IF(tbl_data[[#This Row],[Kilometers_Driven]]&lt;150000,"100k-150k","150k+")))</f>
        <v>150k+</v>
      </c>
      <c r="O608" s="1" t="str">
        <f>IF(tbl_data[[#This Row],[Price_USD]]&gt;=87089,"High",
IF(tbl_data[[#This Row],[Price_USD]]&gt;=56807,"Mid","Low"))</f>
        <v>High</v>
      </c>
      <c r="P608" s="1" t="str">
        <f>IF(tbl_data[[#This Row],[Transmission]]="Automatic","Auto","Manual")</f>
        <v>Manual</v>
      </c>
      <c r="Q608" s="1" t="str">
        <f>IFERROR(IF(VALUE(tbl_data[[#This Row],[Engine_CC]])=0,"",VALUE(tbl_data[[#This Row],[Price_USD]])/VALUE(tbl_data[[#This Row],[Engine_CC]])),"")</f>
        <v/>
      </c>
      <c r="R608" s="1" t="str">
        <f>TRIM(tbl_data[[#This Row],[Brand]])</f>
        <v>Volkswagen</v>
      </c>
      <c r="S608" s="1">
        <f>_xlfn.NUMBERVALUE(tbl_data[[#This Row],[Price_USD]],".",",")</f>
        <v>23899.58</v>
      </c>
    </row>
    <row r="609" spans="1:19" x14ac:dyDescent="0.3">
      <c r="A609">
        <v>608</v>
      </c>
      <c r="B609" t="s">
        <v>25</v>
      </c>
      <c r="C609">
        <v>2011</v>
      </c>
      <c r="D609">
        <v>137503</v>
      </c>
      <c r="E609" t="s">
        <v>20</v>
      </c>
      <c r="F609" t="s">
        <v>14</v>
      </c>
      <c r="G609" t="s">
        <v>15</v>
      </c>
      <c r="H609">
        <v>1144</v>
      </c>
      <c r="I609" t="s">
        <v>1767</v>
      </c>
      <c r="J609" t="s">
        <v>1768</v>
      </c>
      <c r="K609">
        <v>5</v>
      </c>
      <c r="L609" t="s">
        <v>1769</v>
      </c>
      <c r="M609" s="1" t="str">
        <f>TEXT(DATE(tbl_data[[#This Row],[Model_Year]],1,1),"yyyy")</f>
        <v>2011</v>
      </c>
      <c r="N609" s="1" t="str">
        <f>IF(tbl_data[[#This Row],[Kilometers_Driven]]&lt;50000,"&lt;50k",
IF(tbl_data[[#This Row],[Kilometers_Driven]]&lt;100000,"50k-100k",
IF(tbl_data[[#This Row],[Kilometers_Driven]]&lt;150000,"100k-150k","150k+")))</f>
        <v>100k-150k</v>
      </c>
      <c r="O609" s="1" t="str">
        <f>IF(tbl_data[[#This Row],[Price_USD]]&gt;=87089,"High",
IF(tbl_data[[#This Row],[Price_USD]]&gt;=56807,"Mid","Low"))</f>
        <v>High</v>
      </c>
      <c r="P609" s="1" t="str">
        <f>IF(tbl_data[[#This Row],[Transmission]]="Automatic","Auto","Manual")</f>
        <v>Manual</v>
      </c>
      <c r="Q609" s="1" t="str">
        <f>IFERROR(IF(VALUE(tbl_data[[#This Row],[Engine_CC]])=0,"",VALUE(tbl_data[[#This Row],[Price_USD]])/VALUE(tbl_data[[#This Row],[Engine_CC]])),"")</f>
        <v/>
      </c>
      <c r="R609" s="1" t="str">
        <f>TRIM(tbl_data[[#This Row],[Brand]])</f>
        <v>Kia</v>
      </c>
      <c r="S609" s="1">
        <f>_xlfn.NUMBERVALUE(tbl_data[[#This Row],[Price_USD]],".",",")</f>
        <v>42516.52</v>
      </c>
    </row>
    <row r="610" spans="1:19" x14ac:dyDescent="0.3">
      <c r="A610">
        <v>609</v>
      </c>
      <c r="B610" t="s">
        <v>69</v>
      </c>
      <c r="C610">
        <v>2006</v>
      </c>
      <c r="D610">
        <v>173553</v>
      </c>
      <c r="E610" t="s">
        <v>13</v>
      </c>
      <c r="F610" t="s">
        <v>14</v>
      </c>
      <c r="G610" t="s">
        <v>26</v>
      </c>
      <c r="H610">
        <v>844</v>
      </c>
      <c r="I610" t="s">
        <v>1770</v>
      </c>
      <c r="J610" t="s">
        <v>1771</v>
      </c>
      <c r="K610">
        <v>6</v>
      </c>
      <c r="L610" t="s">
        <v>1772</v>
      </c>
      <c r="M610" s="1" t="str">
        <f>TEXT(DATE(tbl_data[[#This Row],[Model_Year]],1,1),"yyyy")</f>
        <v>2006</v>
      </c>
      <c r="N610" s="1" t="str">
        <f>IF(tbl_data[[#This Row],[Kilometers_Driven]]&lt;50000,"&lt;50k",
IF(tbl_data[[#This Row],[Kilometers_Driven]]&lt;100000,"50k-100k",
IF(tbl_data[[#This Row],[Kilometers_Driven]]&lt;150000,"100k-150k","150k+")))</f>
        <v>150k+</v>
      </c>
      <c r="O610" s="1" t="str">
        <f>IF(tbl_data[[#This Row],[Price_USD]]&gt;=87089,"High",
IF(tbl_data[[#This Row],[Price_USD]]&gt;=56807,"Mid","Low"))</f>
        <v>High</v>
      </c>
      <c r="P610" s="1" t="str">
        <f>IF(tbl_data[[#This Row],[Transmission]]="Automatic","Auto","Manual")</f>
        <v>Manual</v>
      </c>
      <c r="Q610" s="1" t="str">
        <f>IFERROR(IF(VALUE(tbl_data[[#This Row],[Engine_CC]])=0,"",VALUE(tbl_data[[#This Row],[Price_USD]])/VALUE(tbl_data[[#This Row],[Engine_CC]])),"")</f>
        <v/>
      </c>
      <c r="R610" s="1" t="str">
        <f>TRIM(tbl_data[[#This Row],[Brand]])</f>
        <v>Hyundai</v>
      </c>
      <c r="S610" s="1">
        <f>_xlfn.NUMBERVALUE(tbl_data[[#This Row],[Price_USD]],".",",")</f>
        <v>51958.59</v>
      </c>
    </row>
    <row r="611" spans="1:19" x14ac:dyDescent="0.3">
      <c r="A611">
        <v>610</v>
      </c>
      <c r="B611" t="s">
        <v>25</v>
      </c>
      <c r="C611">
        <v>2010</v>
      </c>
      <c r="D611">
        <v>97573</v>
      </c>
      <c r="E611" t="s">
        <v>20</v>
      </c>
      <c r="F611" t="s">
        <v>14</v>
      </c>
      <c r="G611" t="s">
        <v>26</v>
      </c>
      <c r="H611">
        <v>2868</v>
      </c>
      <c r="I611" t="s">
        <v>793</v>
      </c>
      <c r="J611" t="s">
        <v>1773</v>
      </c>
      <c r="K611">
        <v>5</v>
      </c>
      <c r="L611" t="s">
        <v>1774</v>
      </c>
      <c r="M611" s="1" t="str">
        <f>TEXT(DATE(tbl_data[[#This Row],[Model_Year]],1,1),"yyyy")</f>
        <v>2010</v>
      </c>
      <c r="N611" s="1" t="str">
        <f>IF(tbl_data[[#This Row],[Kilometers_Driven]]&lt;50000,"&lt;50k",
IF(tbl_data[[#This Row],[Kilometers_Driven]]&lt;100000,"50k-100k",
IF(tbl_data[[#This Row],[Kilometers_Driven]]&lt;150000,"100k-150k","150k+")))</f>
        <v>50k-100k</v>
      </c>
      <c r="O611" s="1" t="str">
        <f>IF(tbl_data[[#This Row],[Price_USD]]&gt;=87089,"High",
IF(tbl_data[[#This Row],[Price_USD]]&gt;=56807,"Mid","Low"))</f>
        <v>High</v>
      </c>
      <c r="P611" s="1" t="str">
        <f>IF(tbl_data[[#This Row],[Transmission]]="Automatic","Auto","Manual")</f>
        <v>Manual</v>
      </c>
      <c r="Q611" s="1" t="str">
        <f>IFERROR(IF(VALUE(tbl_data[[#This Row],[Engine_CC]])=0,"",VALUE(tbl_data[[#This Row],[Price_USD]])/VALUE(tbl_data[[#This Row],[Engine_CC]])),"")</f>
        <v/>
      </c>
      <c r="R611" s="1" t="str">
        <f>TRIM(tbl_data[[#This Row],[Brand]])</f>
        <v>Kia</v>
      </c>
      <c r="S611" s="1">
        <f>_xlfn.NUMBERVALUE(tbl_data[[#This Row],[Price_USD]],".",",")</f>
        <v>62499.05</v>
      </c>
    </row>
    <row r="612" spans="1:19" x14ac:dyDescent="0.3">
      <c r="A612">
        <v>611</v>
      </c>
      <c r="B612" t="s">
        <v>30</v>
      </c>
      <c r="C612">
        <v>2011</v>
      </c>
      <c r="D612">
        <v>145629</v>
      </c>
      <c r="E612" t="s">
        <v>31</v>
      </c>
      <c r="F612" t="s">
        <v>14</v>
      </c>
      <c r="G612" t="s">
        <v>32</v>
      </c>
      <c r="H612">
        <v>2314</v>
      </c>
      <c r="I612" t="s">
        <v>1775</v>
      </c>
      <c r="J612" t="s">
        <v>1776</v>
      </c>
      <c r="K612">
        <v>4</v>
      </c>
      <c r="L612" t="s">
        <v>1777</v>
      </c>
      <c r="M612" s="1" t="str">
        <f>TEXT(DATE(tbl_data[[#This Row],[Model_Year]],1,1),"yyyy")</f>
        <v>2011</v>
      </c>
      <c r="N612" s="1" t="str">
        <f>IF(tbl_data[[#This Row],[Kilometers_Driven]]&lt;50000,"&lt;50k",
IF(tbl_data[[#This Row],[Kilometers_Driven]]&lt;100000,"50k-100k",
IF(tbl_data[[#This Row],[Kilometers_Driven]]&lt;150000,"100k-150k","150k+")))</f>
        <v>100k-150k</v>
      </c>
      <c r="O612" s="1" t="str">
        <f>IF(tbl_data[[#This Row],[Price_USD]]&gt;=87089,"High",
IF(tbl_data[[#This Row],[Price_USD]]&gt;=56807,"Mid","Low"))</f>
        <v>High</v>
      </c>
      <c r="P612" s="1" t="str">
        <f>IF(tbl_data[[#This Row],[Transmission]]="Automatic","Auto","Manual")</f>
        <v>Manual</v>
      </c>
      <c r="Q612" s="1" t="str">
        <f>IFERROR(IF(VALUE(tbl_data[[#This Row],[Engine_CC]])=0,"",VALUE(tbl_data[[#This Row],[Price_USD]])/VALUE(tbl_data[[#This Row],[Engine_CC]])),"")</f>
        <v/>
      </c>
      <c r="R612" s="1" t="str">
        <f>TRIM(tbl_data[[#This Row],[Brand]])</f>
        <v>Mercedes</v>
      </c>
      <c r="S612" s="1">
        <f>_xlfn.NUMBERVALUE(tbl_data[[#This Row],[Price_USD]],".",",")</f>
        <v>58780.2</v>
      </c>
    </row>
    <row r="613" spans="1:19" x14ac:dyDescent="0.3">
      <c r="A613">
        <v>612</v>
      </c>
      <c r="B613" t="s">
        <v>25</v>
      </c>
      <c r="C613">
        <v>2018</v>
      </c>
      <c r="D613">
        <v>108302</v>
      </c>
      <c r="E613" t="s">
        <v>44</v>
      </c>
      <c r="F613" t="s">
        <v>21</v>
      </c>
      <c r="G613" t="s">
        <v>15</v>
      </c>
      <c r="H613">
        <v>3398</v>
      </c>
      <c r="I613" t="s">
        <v>1778</v>
      </c>
      <c r="J613" t="s">
        <v>1779</v>
      </c>
      <c r="K613">
        <v>2</v>
      </c>
      <c r="L613" t="s">
        <v>1780</v>
      </c>
      <c r="M613" s="1" t="str">
        <f>TEXT(DATE(tbl_data[[#This Row],[Model_Year]],1,1),"yyyy")</f>
        <v>2018</v>
      </c>
      <c r="N613" s="1" t="str">
        <f>IF(tbl_data[[#This Row],[Kilometers_Driven]]&lt;50000,"&lt;50k",
IF(tbl_data[[#This Row],[Kilometers_Driven]]&lt;100000,"50k-100k",
IF(tbl_data[[#This Row],[Kilometers_Driven]]&lt;150000,"100k-150k","150k+")))</f>
        <v>100k-150k</v>
      </c>
      <c r="O613" s="1" t="str">
        <f>IF(tbl_data[[#This Row],[Price_USD]]&gt;=87089,"High",
IF(tbl_data[[#This Row],[Price_USD]]&gt;=56807,"Mid","Low"))</f>
        <v>High</v>
      </c>
      <c r="P613" s="1" t="str">
        <f>IF(tbl_data[[#This Row],[Transmission]]="Automatic","Auto","Manual")</f>
        <v>Auto</v>
      </c>
      <c r="Q613" s="1" t="str">
        <f>IFERROR(IF(VALUE(tbl_data[[#This Row],[Engine_CC]])=0,"",VALUE(tbl_data[[#This Row],[Price_USD]])/VALUE(tbl_data[[#This Row],[Engine_CC]])),"")</f>
        <v/>
      </c>
      <c r="R613" s="1" t="str">
        <f>TRIM(tbl_data[[#This Row],[Brand]])</f>
        <v>Kia</v>
      </c>
      <c r="S613" s="1">
        <f>_xlfn.NUMBERVALUE(tbl_data[[#This Row],[Price_USD]],".",",")</f>
        <v>34668.93</v>
      </c>
    </row>
    <row r="614" spans="1:19" x14ac:dyDescent="0.3">
      <c r="A614">
        <v>613</v>
      </c>
      <c r="B614" t="s">
        <v>39</v>
      </c>
      <c r="C614">
        <v>2022</v>
      </c>
      <c r="D614">
        <v>136234</v>
      </c>
      <c r="E614" t="s">
        <v>13</v>
      </c>
      <c r="F614" t="s">
        <v>21</v>
      </c>
      <c r="G614" t="s">
        <v>26</v>
      </c>
      <c r="H614">
        <v>1801</v>
      </c>
      <c r="I614" t="s">
        <v>1781</v>
      </c>
      <c r="J614" t="s">
        <v>1782</v>
      </c>
      <c r="K614">
        <v>2</v>
      </c>
      <c r="L614" t="s">
        <v>1783</v>
      </c>
      <c r="M614" s="1" t="str">
        <f>TEXT(DATE(tbl_data[[#This Row],[Model_Year]],1,1),"yyyy")</f>
        <v>2022</v>
      </c>
      <c r="N614" s="1" t="str">
        <f>IF(tbl_data[[#This Row],[Kilometers_Driven]]&lt;50000,"&lt;50k",
IF(tbl_data[[#This Row],[Kilometers_Driven]]&lt;100000,"50k-100k",
IF(tbl_data[[#This Row],[Kilometers_Driven]]&lt;150000,"100k-150k","150k+")))</f>
        <v>100k-150k</v>
      </c>
      <c r="O614" s="1" t="str">
        <f>IF(tbl_data[[#This Row],[Price_USD]]&gt;=87089,"High",
IF(tbl_data[[#This Row],[Price_USD]]&gt;=56807,"Mid","Low"))</f>
        <v>High</v>
      </c>
      <c r="P614" s="1" t="str">
        <f>IF(tbl_data[[#This Row],[Transmission]]="Automatic","Auto","Manual")</f>
        <v>Auto</v>
      </c>
      <c r="Q614" s="1" t="str">
        <f>IFERROR(IF(VALUE(tbl_data[[#This Row],[Engine_CC]])=0,"",VALUE(tbl_data[[#This Row],[Price_USD]])/VALUE(tbl_data[[#This Row],[Engine_CC]])),"")</f>
        <v/>
      </c>
      <c r="R614" s="1" t="str">
        <f>TRIM(tbl_data[[#This Row],[Brand]])</f>
        <v>Volkswagen</v>
      </c>
      <c r="S614" s="1">
        <f>_xlfn.NUMBERVALUE(tbl_data[[#This Row],[Price_USD]],".",",")</f>
        <v>6412.97</v>
      </c>
    </row>
    <row r="615" spans="1:19" x14ac:dyDescent="0.3">
      <c r="A615">
        <v>614</v>
      </c>
      <c r="B615" t="s">
        <v>19</v>
      </c>
      <c r="C615">
        <v>2019</v>
      </c>
      <c r="D615">
        <v>170814</v>
      </c>
      <c r="E615" t="s">
        <v>13</v>
      </c>
      <c r="F615" t="s">
        <v>14</v>
      </c>
      <c r="G615" t="s">
        <v>15</v>
      </c>
      <c r="H615">
        <v>1833</v>
      </c>
      <c r="I615" t="s">
        <v>1784</v>
      </c>
      <c r="J615" t="s">
        <v>1785</v>
      </c>
      <c r="K615">
        <v>4</v>
      </c>
      <c r="L615" t="s">
        <v>1786</v>
      </c>
      <c r="M615" s="1" t="str">
        <f>TEXT(DATE(tbl_data[[#This Row],[Model_Year]],1,1),"yyyy")</f>
        <v>2019</v>
      </c>
      <c r="N615" s="1" t="str">
        <f>IF(tbl_data[[#This Row],[Kilometers_Driven]]&lt;50000,"&lt;50k",
IF(tbl_data[[#This Row],[Kilometers_Driven]]&lt;100000,"50k-100k",
IF(tbl_data[[#This Row],[Kilometers_Driven]]&lt;150000,"100k-150k","150k+")))</f>
        <v>150k+</v>
      </c>
      <c r="O615" s="1" t="str">
        <f>IF(tbl_data[[#This Row],[Price_USD]]&gt;=87089,"High",
IF(tbl_data[[#This Row],[Price_USD]]&gt;=56807,"Mid","Low"))</f>
        <v>High</v>
      </c>
      <c r="P615" s="1" t="str">
        <f>IF(tbl_data[[#This Row],[Transmission]]="Automatic","Auto","Manual")</f>
        <v>Manual</v>
      </c>
      <c r="Q615" s="1" t="str">
        <f>IFERROR(IF(VALUE(tbl_data[[#This Row],[Engine_CC]])=0,"",VALUE(tbl_data[[#This Row],[Price_USD]])/VALUE(tbl_data[[#This Row],[Engine_CC]])),"")</f>
        <v/>
      </c>
      <c r="R615" s="1" t="str">
        <f>TRIM(tbl_data[[#This Row],[Brand]])</f>
        <v>BMW</v>
      </c>
      <c r="S615" s="1">
        <f>_xlfn.NUMBERVALUE(tbl_data[[#This Row],[Price_USD]],".",",")</f>
        <v>73796.89</v>
      </c>
    </row>
    <row r="616" spans="1:19" x14ac:dyDescent="0.3">
      <c r="A616">
        <v>615</v>
      </c>
      <c r="B616" t="s">
        <v>39</v>
      </c>
      <c r="C616">
        <v>2006</v>
      </c>
      <c r="D616">
        <v>24675</v>
      </c>
      <c r="E616" t="s">
        <v>20</v>
      </c>
      <c r="F616" t="s">
        <v>14</v>
      </c>
      <c r="G616" t="s">
        <v>15</v>
      </c>
      <c r="H616">
        <v>2840</v>
      </c>
      <c r="I616" t="s">
        <v>1787</v>
      </c>
      <c r="J616" t="s">
        <v>1788</v>
      </c>
      <c r="K616">
        <v>6</v>
      </c>
      <c r="L616" t="s">
        <v>1789</v>
      </c>
      <c r="M616" s="1" t="str">
        <f>TEXT(DATE(tbl_data[[#This Row],[Model_Year]],1,1),"yyyy")</f>
        <v>2006</v>
      </c>
      <c r="N616" s="1" t="str">
        <f>IF(tbl_data[[#This Row],[Kilometers_Driven]]&lt;50000,"&lt;50k",
IF(tbl_data[[#This Row],[Kilometers_Driven]]&lt;100000,"50k-100k",
IF(tbl_data[[#This Row],[Kilometers_Driven]]&lt;150000,"100k-150k","150k+")))</f>
        <v>&lt;50k</v>
      </c>
      <c r="O616" s="1" t="str">
        <f>IF(tbl_data[[#This Row],[Price_USD]]&gt;=87089,"High",
IF(tbl_data[[#This Row],[Price_USD]]&gt;=56807,"Mid","Low"))</f>
        <v>High</v>
      </c>
      <c r="P616" s="1" t="str">
        <f>IF(tbl_data[[#This Row],[Transmission]]="Automatic","Auto","Manual")</f>
        <v>Manual</v>
      </c>
      <c r="Q616" s="1" t="str">
        <f>IFERROR(IF(VALUE(tbl_data[[#This Row],[Engine_CC]])=0,"",VALUE(tbl_data[[#This Row],[Price_USD]])/VALUE(tbl_data[[#This Row],[Engine_CC]])),"")</f>
        <v/>
      </c>
      <c r="R616" s="1" t="str">
        <f>TRIM(tbl_data[[#This Row],[Brand]])</f>
        <v>Volkswagen</v>
      </c>
      <c r="S616" s="1">
        <f>_xlfn.NUMBERVALUE(tbl_data[[#This Row],[Price_USD]],".",",")</f>
        <v>49302.15</v>
      </c>
    </row>
    <row r="617" spans="1:19" x14ac:dyDescent="0.3">
      <c r="A617">
        <v>616</v>
      </c>
      <c r="B617" t="s">
        <v>25</v>
      </c>
      <c r="C617">
        <v>2014</v>
      </c>
      <c r="D617">
        <v>78997</v>
      </c>
      <c r="E617" t="s">
        <v>20</v>
      </c>
      <c r="F617" t="s">
        <v>21</v>
      </c>
      <c r="G617" t="s">
        <v>32</v>
      </c>
      <c r="H617">
        <v>1073</v>
      </c>
      <c r="I617" t="s">
        <v>1790</v>
      </c>
      <c r="J617" t="s">
        <v>1791</v>
      </c>
      <c r="K617">
        <v>7</v>
      </c>
      <c r="L617" t="s">
        <v>1792</v>
      </c>
      <c r="M617" s="1" t="str">
        <f>TEXT(DATE(tbl_data[[#This Row],[Model_Year]],1,1),"yyyy")</f>
        <v>2014</v>
      </c>
      <c r="N617" s="1" t="str">
        <f>IF(tbl_data[[#This Row],[Kilometers_Driven]]&lt;50000,"&lt;50k",
IF(tbl_data[[#This Row],[Kilometers_Driven]]&lt;100000,"50k-100k",
IF(tbl_data[[#This Row],[Kilometers_Driven]]&lt;150000,"100k-150k","150k+")))</f>
        <v>50k-100k</v>
      </c>
      <c r="O617" s="1" t="str">
        <f>IF(tbl_data[[#This Row],[Price_USD]]&gt;=87089,"High",
IF(tbl_data[[#This Row],[Price_USD]]&gt;=56807,"Mid","Low"))</f>
        <v>High</v>
      </c>
      <c r="P617" s="1" t="str">
        <f>IF(tbl_data[[#This Row],[Transmission]]="Automatic","Auto","Manual")</f>
        <v>Auto</v>
      </c>
      <c r="Q617" s="1" t="str">
        <f>IFERROR(IF(VALUE(tbl_data[[#This Row],[Engine_CC]])=0,"",VALUE(tbl_data[[#This Row],[Price_USD]])/VALUE(tbl_data[[#This Row],[Engine_CC]])),"")</f>
        <v/>
      </c>
      <c r="R617" s="1" t="str">
        <f>TRIM(tbl_data[[#This Row],[Brand]])</f>
        <v>Kia</v>
      </c>
      <c r="S617" s="1">
        <f>_xlfn.NUMBERVALUE(tbl_data[[#This Row],[Price_USD]],".",",")</f>
        <v>37944.639999999999</v>
      </c>
    </row>
    <row r="618" spans="1:19" x14ac:dyDescent="0.3">
      <c r="A618">
        <v>617</v>
      </c>
      <c r="B618" t="s">
        <v>39</v>
      </c>
      <c r="C618">
        <v>2016</v>
      </c>
      <c r="D618">
        <v>153087</v>
      </c>
      <c r="E618" t="s">
        <v>13</v>
      </c>
      <c r="F618" t="s">
        <v>21</v>
      </c>
      <c r="G618" t="s">
        <v>15</v>
      </c>
      <c r="H618">
        <v>3447</v>
      </c>
      <c r="I618" t="s">
        <v>1793</v>
      </c>
      <c r="J618" t="s">
        <v>1794</v>
      </c>
      <c r="K618">
        <v>6</v>
      </c>
      <c r="L618" t="s">
        <v>1795</v>
      </c>
      <c r="M618" s="1" t="str">
        <f>TEXT(DATE(tbl_data[[#This Row],[Model_Year]],1,1),"yyyy")</f>
        <v>2016</v>
      </c>
      <c r="N618" s="1" t="str">
        <f>IF(tbl_data[[#This Row],[Kilometers_Driven]]&lt;50000,"&lt;50k",
IF(tbl_data[[#This Row],[Kilometers_Driven]]&lt;100000,"50k-100k",
IF(tbl_data[[#This Row],[Kilometers_Driven]]&lt;150000,"100k-150k","150k+")))</f>
        <v>150k+</v>
      </c>
      <c r="O618" s="1" t="str">
        <f>IF(tbl_data[[#This Row],[Price_USD]]&gt;=87089,"High",
IF(tbl_data[[#This Row],[Price_USD]]&gt;=56807,"Mid","Low"))</f>
        <v>High</v>
      </c>
      <c r="P618" s="1" t="str">
        <f>IF(tbl_data[[#This Row],[Transmission]]="Automatic","Auto","Manual")</f>
        <v>Auto</v>
      </c>
      <c r="Q618" s="1" t="str">
        <f>IFERROR(IF(VALUE(tbl_data[[#This Row],[Engine_CC]])=0,"",VALUE(tbl_data[[#This Row],[Price_USD]])/VALUE(tbl_data[[#This Row],[Engine_CC]])),"")</f>
        <v/>
      </c>
      <c r="R618" s="1" t="str">
        <f>TRIM(tbl_data[[#This Row],[Brand]])</f>
        <v>Volkswagen</v>
      </c>
      <c r="S618" s="1">
        <f>_xlfn.NUMBERVALUE(tbl_data[[#This Row],[Price_USD]],".",",")</f>
        <v>104432.1</v>
      </c>
    </row>
    <row r="619" spans="1:19" x14ac:dyDescent="0.3">
      <c r="A619">
        <v>618</v>
      </c>
      <c r="B619" t="s">
        <v>76</v>
      </c>
      <c r="C619">
        <v>2021</v>
      </c>
      <c r="D619">
        <v>186129</v>
      </c>
      <c r="E619" t="s">
        <v>20</v>
      </c>
      <c r="F619" t="s">
        <v>21</v>
      </c>
      <c r="G619" t="s">
        <v>15</v>
      </c>
      <c r="H619">
        <v>2579</v>
      </c>
      <c r="I619" t="s">
        <v>1796</v>
      </c>
      <c r="J619" t="s">
        <v>1797</v>
      </c>
      <c r="K619">
        <v>2</v>
      </c>
      <c r="L619" t="s">
        <v>1798</v>
      </c>
      <c r="M619" s="1" t="str">
        <f>TEXT(DATE(tbl_data[[#This Row],[Model_Year]],1,1),"yyyy")</f>
        <v>2021</v>
      </c>
      <c r="N619" s="1" t="str">
        <f>IF(tbl_data[[#This Row],[Kilometers_Driven]]&lt;50000,"&lt;50k",
IF(tbl_data[[#This Row],[Kilometers_Driven]]&lt;100000,"50k-100k",
IF(tbl_data[[#This Row],[Kilometers_Driven]]&lt;150000,"100k-150k","150k+")))</f>
        <v>150k+</v>
      </c>
      <c r="O619" s="1" t="str">
        <f>IF(tbl_data[[#This Row],[Price_USD]]&gt;=87089,"High",
IF(tbl_data[[#This Row],[Price_USD]]&gt;=56807,"Mid","Low"))</f>
        <v>High</v>
      </c>
      <c r="P619" s="1" t="str">
        <f>IF(tbl_data[[#This Row],[Transmission]]="Automatic","Auto","Manual")</f>
        <v>Auto</v>
      </c>
      <c r="Q619" s="1" t="str">
        <f>IFERROR(IF(VALUE(tbl_data[[#This Row],[Engine_CC]])=0,"",VALUE(tbl_data[[#This Row],[Price_USD]])/VALUE(tbl_data[[#This Row],[Engine_CC]])),"")</f>
        <v/>
      </c>
      <c r="R619" s="1" t="str">
        <f>TRIM(tbl_data[[#This Row],[Brand]])</f>
        <v>Honda</v>
      </c>
      <c r="S619" s="1">
        <f>_xlfn.NUMBERVALUE(tbl_data[[#This Row],[Price_USD]],".",",")</f>
        <v>90368.97</v>
      </c>
    </row>
    <row r="620" spans="1:19" x14ac:dyDescent="0.3">
      <c r="A620">
        <v>619</v>
      </c>
      <c r="B620" t="s">
        <v>30</v>
      </c>
      <c r="C620">
        <v>2012</v>
      </c>
      <c r="D620">
        <v>168663</v>
      </c>
      <c r="E620" t="s">
        <v>13</v>
      </c>
      <c r="F620" t="s">
        <v>14</v>
      </c>
      <c r="G620" t="s">
        <v>26</v>
      </c>
      <c r="H620">
        <v>1278</v>
      </c>
      <c r="I620" t="s">
        <v>1799</v>
      </c>
      <c r="J620" t="s">
        <v>1800</v>
      </c>
      <c r="K620">
        <v>7</v>
      </c>
      <c r="L620" t="s">
        <v>1801</v>
      </c>
      <c r="M620" s="1" t="str">
        <f>TEXT(DATE(tbl_data[[#This Row],[Model_Year]],1,1),"yyyy")</f>
        <v>2012</v>
      </c>
      <c r="N620" s="1" t="str">
        <f>IF(tbl_data[[#This Row],[Kilometers_Driven]]&lt;50000,"&lt;50k",
IF(tbl_data[[#This Row],[Kilometers_Driven]]&lt;100000,"50k-100k",
IF(tbl_data[[#This Row],[Kilometers_Driven]]&lt;150000,"100k-150k","150k+")))</f>
        <v>150k+</v>
      </c>
      <c r="O620" s="1" t="str">
        <f>IF(tbl_data[[#This Row],[Price_USD]]&gt;=87089,"High",
IF(tbl_data[[#This Row],[Price_USD]]&gt;=56807,"Mid","Low"))</f>
        <v>High</v>
      </c>
      <c r="P620" s="1" t="str">
        <f>IF(tbl_data[[#This Row],[Transmission]]="Automatic","Auto","Manual")</f>
        <v>Manual</v>
      </c>
      <c r="Q620" s="1" t="str">
        <f>IFERROR(IF(VALUE(tbl_data[[#This Row],[Engine_CC]])=0,"",VALUE(tbl_data[[#This Row],[Price_USD]])/VALUE(tbl_data[[#This Row],[Engine_CC]])),"")</f>
        <v/>
      </c>
      <c r="R620" s="1" t="str">
        <f>TRIM(tbl_data[[#This Row],[Brand]])</f>
        <v>Mercedes</v>
      </c>
      <c r="S620" s="1">
        <f>_xlfn.NUMBERVALUE(tbl_data[[#This Row],[Price_USD]],".",",")</f>
        <v>103358.57</v>
      </c>
    </row>
    <row r="621" spans="1:19" x14ac:dyDescent="0.3">
      <c r="A621">
        <v>620</v>
      </c>
      <c r="B621" t="s">
        <v>102</v>
      </c>
      <c r="C621">
        <v>2015</v>
      </c>
      <c r="D621">
        <v>145905</v>
      </c>
      <c r="E621" t="s">
        <v>13</v>
      </c>
      <c r="F621" t="s">
        <v>21</v>
      </c>
      <c r="G621" t="s">
        <v>32</v>
      </c>
      <c r="H621">
        <v>1315</v>
      </c>
      <c r="I621" t="s">
        <v>1802</v>
      </c>
      <c r="J621" t="s">
        <v>1803</v>
      </c>
      <c r="K621">
        <v>5</v>
      </c>
      <c r="L621" t="s">
        <v>1804</v>
      </c>
      <c r="M621" s="1" t="str">
        <f>TEXT(DATE(tbl_data[[#This Row],[Model_Year]],1,1),"yyyy")</f>
        <v>2015</v>
      </c>
      <c r="N621" s="1" t="str">
        <f>IF(tbl_data[[#This Row],[Kilometers_Driven]]&lt;50000,"&lt;50k",
IF(tbl_data[[#This Row],[Kilometers_Driven]]&lt;100000,"50k-100k",
IF(tbl_data[[#This Row],[Kilometers_Driven]]&lt;150000,"100k-150k","150k+")))</f>
        <v>100k-150k</v>
      </c>
      <c r="O621" s="1" t="str">
        <f>IF(tbl_data[[#This Row],[Price_USD]]&gt;=87089,"High",
IF(tbl_data[[#This Row],[Price_USD]]&gt;=56807,"Mid","Low"))</f>
        <v>High</v>
      </c>
      <c r="P621" s="1" t="str">
        <f>IF(tbl_data[[#This Row],[Transmission]]="Automatic","Auto","Manual")</f>
        <v>Auto</v>
      </c>
      <c r="Q621" s="1" t="str">
        <f>IFERROR(IF(VALUE(tbl_data[[#This Row],[Engine_CC]])=0,"",VALUE(tbl_data[[#This Row],[Price_USD]])/VALUE(tbl_data[[#This Row],[Engine_CC]])),"")</f>
        <v/>
      </c>
      <c r="R621" s="1" t="str">
        <f>TRIM(tbl_data[[#This Row],[Brand]])</f>
        <v>Nissan</v>
      </c>
      <c r="S621" s="1">
        <f>_xlfn.NUMBERVALUE(tbl_data[[#This Row],[Price_USD]],".",",")</f>
        <v>60912.99</v>
      </c>
    </row>
    <row r="622" spans="1:19" x14ac:dyDescent="0.3">
      <c r="A622">
        <v>621</v>
      </c>
      <c r="B622" t="s">
        <v>19</v>
      </c>
      <c r="C622">
        <v>2007</v>
      </c>
      <c r="D622">
        <v>12896</v>
      </c>
      <c r="E622" t="s">
        <v>13</v>
      </c>
      <c r="F622" t="s">
        <v>14</v>
      </c>
      <c r="G622" t="s">
        <v>15</v>
      </c>
      <c r="H622">
        <v>1991</v>
      </c>
      <c r="I622" t="s">
        <v>1805</v>
      </c>
      <c r="J622" t="s">
        <v>1806</v>
      </c>
      <c r="K622">
        <v>7</v>
      </c>
      <c r="L622" t="s">
        <v>1807</v>
      </c>
      <c r="M622" s="1" t="str">
        <f>TEXT(DATE(tbl_data[[#This Row],[Model_Year]],1,1),"yyyy")</f>
        <v>2007</v>
      </c>
      <c r="N622" s="1" t="str">
        <f>IF(tbl_data[[#This Row],[Kilometers_Driven]]&lt;50000,"&lt;50k",
IF(tbl_data[[#This Row],[Kilometers_Driven]]&lt;100000,"50k-100k",
IF(tbl_data[[#This Row],[Kilometers_Driven]]&lt;150000,"100k-150k","150k+")))</f>
        <v>&lt;50k</v>
      </c>
      <c r="O622" s="1" t="str">
        <f>IF(tbl_data[[#This Row],[Price_USD]]&gt;=87089,"High",
IF(tbl_data[[#This Row],[Price_USD]]&gt;=56807,"Mid","Low"))</f>
        <v>High</v>
      </c>
      <c r="P622" s="1" t="str">
        <f>IF(tbl_data[[#This Row],[Transmission]]="Automatic","Auto","Manual")</f>
        <v>Manual</v>
      </c>
      <c r="Q622" s="1" t="str">
        <f>IFERROR(IF(VALUE(tbl_data[[#This Row],[Engine_CC]])=0,"",VALUE(tbl_data[[#This Row],[Price_USD]])/VALUE(tbl_data[[#This Row],[Engine_CC]])),"")</f>
        <v/>
      </c>
      <c r="R622" s="1" t="str">
        <f>TRIM(tbl_data[[#This Row],[Brand]])</f>
        <v>BMW</v>
      </c>
      <c r="S622" s="1">
        <f>_xlfn.NUMBERVALUE(tbl_data[[#This Row],[Price_USD]],".",",")</f>
        <v>18318.96</v>
      </c>
    </row>
    <row r="623" spans="1:19" x14ac:dyDescent="0.3">
      <c r="A623">
        <v>622</v>
      </c>
      <c r="B623" t="s">
        <v>69</v>
      </c>
      <c r="C623">
        <v>2010</v>
      </c>
      <c r="D623">
        <v>169044</v>
      </c>
      <c r="E623" t="s">
        <v>31</v>
      </c>
      <c r="F623" t="s">
        <v>14</v>
      </c>
      <c r="G623" t="s">
        <v>26</v>
      </c>
      <c r="H623">
        <v>3468</v>
      </c>
      <c r="I623" t="s">
        <v>1808</v>
      </c>
      <c r="J623" t="s">
        <v>1446</v>
      </c>
      <c r="K623">
        <v>6</v>
      </c>
      <c r="L623" t="s">
        <v>1809</v>
      </c>
      <c r="M623" s="1" t="str">
        <f>TEXT(DATE(tbl_data[[#This Row],[Model_Year]],1,1),"yyyy")</f>
        <v>2010</v>
      </c>
      <c r="N623" s="1" t="str">
        <f>IF(tbl_data[[#This Row],[Kilometers_Driven]]&lt;50000,"&lt;50k",
IF(tbl_data[[#This Row],[Kilometers_Driven]]&lt;100000,"50k-100k",
IF(tbl_data[[#This Row],[Kilometers_Driven]]&lt;150000,"100k-150k","150k+")))</f>
        <v>150k+</v>
      </c>
      <c r="O623" s="1" t="str">
        <f>IF(tbl_data[[#This Row],[Price_USD]]&gt;=87089,"High",
IF(tbl_data[[#This Row],[Price_USD]]&gt;=56807,"Mid","Low"))</f>
        <v>High</v>
      </c>
      <c r="P623" s="1" t="str">
        <f>IF(tbl_data[[#This Row],[Transmission]]="Automatic","Auto","Manual")</f>
        <v>Manual</v>
      </c>
      <c r="Q623" s="1" t="str">
        <f>IFERROR(IF(VALUE(tbl_data[[#This Row],[Engine_CC]])=0,"",VALUE(tbl_data[[#This Row],[Price_USD]])/VALUE(tbl_data[[#This Row],[Engine_CC]])),"")</f>
        <v/>
      </c>
      <c r="R623" s="1" t="str">
        <f>TRIM(tbl_data[[#This Row],[Brand]])</f>
        <v>Hyundai</v>
      </c>
      <c r="S623" s="1">
        <f>_xlfn.NUMBERVALUE(tbl_data[[#This Row],[Price_USD]],".",",")</f>
        <v>84457.91</v>
      </c>
    </row>
    <row r="624" spans="1:19" x14ac:dyDescent="0.3">
      <c r="A624">
        <v>623</v>
      </c>
      <c r="B624" t="s">
        <v>92</v>
      </c>
      <c r="C624">
        <v>2013</v>
      </c>
      <c r="D624">
        <v>54733</v>
      </c>
      <c r="E624" t="s">
        <v>20</v>
      </c>
      <c r="F624" t="s">
        <v>21</v>
      </c>
      <c r="G624" t="s">
        <v>32</v>
      </c>
      <c r="H624">
        <v>2211</v>
      </c>
      <c r="I624" t="s">
        <v>1810</v>
      </c>
      <c r="J624" t="s">
        <v>1811</v>
      </c>
      <c r="K624">
        <v>4</v>
      </c>
      <c r="L624" t="s">
        <v>1812</v>
      </c>
      <c r="M624" s="1" t="str">
        <f>TEXT(DATE(tbl_data[[#This Row],[Model_Year]],1,1),"yyyy")</f>
        <v>2013</v>
      </c>
      <c r="N624" s="1" t="str">
        <f>IF(tbl_data[[#This Row],[Kilometers_Driven]]&lt;50000,"&lt;50k",
IF(tbl_data[[#This Row],[Kilometers_Driven]]&lt;100000,"50k-100k",
IF(tbl_data[[#This Row],[Kilometers_Driven]]&lt;150000,"100k-150k","150k+")))</f>
        <v>50k-100k</v>
      </c>
      <c r="O624" s="1" t="str">
        <f>IF(tbl_data[[#This Row],[Price_USD]]&gt;=87089,"High",
IF(tbl_data[[#This Row],[Price_USD]]&gt;=56807,"Mid","Low"))</f>
        <v>High</v>
      </c>
      <c r="P624" s="1" t="str">
        <f>IF(tbl_data[[#This Row],[Transmission]]="Automatic","Auto","Manual")</f>
        <v>Auto</v>
      </c>
      <c r="Q624" s="1" t="str">
        <f>IFERROR(IF(VALUE(tbl_data[[#This Row],[Engine_CC]])=0,"",VALUE(tbl_data[[#This Row],[Price_USD]])/VALUE(tbl_data[[#This Row],[Engine_CC]])),"")</f>
        <v/>
      </c>
      <c r="R624" s="1" t="str">
        <f>TRIM(tbl_data[[#This Row],[Brand]])</f>
        <v>Toyota</v>
      </c>
      <c r="S624" s="1">
        <f>_xlfn.NUMBERVALUE(tbl_data[[#This Row],[Price_USD]],".",",")</f>
        <v>27110.63</v>
      </c>
    </row>
    <row r="625" spans="1:19" x14ac:dyDescent="0.3">
      <c r="A625">
        <v>624</v>
      </c>
      <c r="B625" t="s">
        <v>102</v>
      </c>
      <c r="C625">
        <v>2010</v>
      </c>
      <c r="D625">
        <v>46800</v>
      </c>
      <c r="E625" t="s">
        <v>44</v>
      </c>
      <c r="F625" t="s">
        <v>21</v>
      </c>
      <c r="G625" t="s">
        <v>32</v>
      </c>
      <c r="H625">
        <v>4080</v>
      </c>
      <c r="I625" t="s">
        <v>1813</v>
      </c>
      <c r="J625" t="s">
        <v>1002</v>
      </c>
      <c r="K625">
        <v>5</v>
      </c>
      <c r="L625" t="s">
        <v>1814</v>
      </c>
      <c r="M625" s="1" t="str">
        <f>TEXT(DATE(tbl_data[[#This Row],[Model_Year]],1,1),"yyyy")</f>
        <v>2010</v>
      </c>
      <c r="N625" s="1" t="str">
        <f>IF(tbl_data[[#This Row],[Kilometers_Driven]]&lt;50000,"&lt;50k",
IF(tbl_data[[#This Row],[Kilometers_Driven]]&lt;100000,"50k-100k",
IF(tbl_data[[#This Row],[Kilometers_Driven]]&lt;150000,"100k-150k","150k+")))</f>
        <v>&lt;50k</v>
      </c>
      <c r="O625" s="1" t="str">
        <f>IF(tbl_data[[#This Row],[Price_USD]]&gt;=87089,"High",
IF(tbl_data[[#This Row],[Price_USD]]&gt;=56807,"Mid","Low"))</f>
        <v>High</v>
      </c>
      <c r="P625" s="1" t="str">
        <f>IF(tbl_data[[#This Row],[Transmission]]="Automatic","Auto","Manual")</f>
        <v>Auto</v>
      </c>
      <c r="Q625" s="1" t="str">
        <f>IFERROR(IF(VALUE(tbl_data[[#This Row],[Engine_CC]])=0,"",VALUE(tbl_data[[#This Row],[Price_USD]])/VALUE(tbl_data[[#This Row],[Engine_CC]])),"")</f>
        <v/>
      </c>
      <c r="R625" s="1" t="str">
        <f>TRIM(tbl_data[[#This Row],[Brand]])</f>
        <v>Nissan</v>
      </c>
      <c r="S625" s="1">
        <f>_xlfn.NUMBERVALUE(tbl_data[[#This Row],[Price_USD]],".",",")</f>
        <v>54623.87</v>
      </c>
    </row>
    <row r="626" spans="1:19" x14ac:dyDescent="0.3">
      <c r="A626">
        <v>625</v>
      </c>
      <c r="B626" t="s">
        <v>92</v>
      </c>
      <c r="C626">
        <v>2013</v>
      </c>
      <c r="D626">
        <v>101044</v>
      </c>
      <c r="E626" t="s">
        <v>44</v>
      </c>
      <c r="F626" t="s">
        <v>14</v>
      </c>
      <c r="G626" t="s">
        <v>26</v>
      </c>
      <c r="H626">
        <v>1071</v>
      </c>
      <c r="I626" t="s">
        <v>1815</v>
      </c>
      <c r="J626" t="s">
        <v>1816</v>
      </c>
      <c r="K626">
        <v>6</v>
      </c>
      <c r="L626" t="s">
        <v>1817</v>
      </c>
      <c r="M626" s="1" t="str">
        <f>TEXT(DATE(tbl_data[[#This Row],[Model_Year]],1,1),"yyyy")</f>
        <v>2013</v>
      </c>
      <c r="N626" s="1" t="str">
        <f>IF(tbl_data[[#This Row],[Kilometers_Driven]]&lt;50000,"&lt;50k",
IF(tbl_data[[#This Row],[Kilometers_Driven]]&lt;100000,"50k-100k",
IF(tbl_data[[#This Row],[Kilometers_Driven]]&lt;150000,"100k-150k","150k+")))</f>
        <v>100k-150k</v>
      </c>
      <c r="O626" s="1" t="str">
        <f>IF(tbl_data[[#This Row],[Price_USD]]&gt;=87089,"High",
IF(tbl_data[[#This Row],[Price_USD]]&gt;=56807,"Mid","Low"))</f>
        <v>High</v>
      </c>
      <c r="P626" s="1" t="str">
        <f>IF(tbl_data[[#This Row],[Transmission]]="Automatic","Auto","Manual")</f>
        <v>Manual</v>
      </c>
      <c r="Q626" s="1" t="str">
        <f>IFERROR(IF(VALUE(tbl_data[[#This Row],[Engine_CC]])=0,"",VALUE(tbl_data[[#This Row],[Price_USD]])/VALUE(tbl_data[[#This Row],[Engine_CC]])),"")</f>
        <v/>
      </c>
      <c r="R626" s="1" t="str">
        <f>TRIM(tbl_data[[#This Row],[Brand]])</f>
        <v>Toyota</v>
      </c>
      <c r="S626" s="1">
        <f>_xlfn.NUMBERVALUE(tbl_data[[#This Row],[Price_USD]],".",",")</f>
        <v>10605.09</v>
      </c>
    </row>
    <row r="627" spans="1:19" x14ac:dyDescent="0.3">
      <c r="A627">
        <v>626</v>
      </c>
      <c r="B627" t="s">
        <v>30</v>
      </c>
      <c r="C627">
        <v>2011</v>
      </c>
      <c r="D627">
        <v>10347</v>
      </c>
      <c r="E627" t="s">
        <v>20</v>
      </c>
      <c r="F627" t="s">
        <v>21</v>
      </c>
      <c r="G627" t="s">
        <v>26</v>
      </c>
      <c r="H627">
        <v>942</v>
      </c>
      <c r="I627" t="s">
        <v>1818</v>
      </c>
      <c r="J627" t="s">
        <v>1819</v>
      </c>
      <c r="K627">
        <v>5</v>
      </c>
      <c r="L627" t="s">
        <v>1820</v>
      </c>
      <c r="M627" s="1" t="str">
        <f>TEXT(DATE(tbl_data[[#This Row],[Model_Year]],1,1),"yyyy")</f>
        <v>2011</v>
      </c>
      <c r="N627" s="1" t="str">
        <f>IF(tbl_data[[#This Row],[Kilometers_Driven]]&lt;50000,"&lt;50k",
IF(tbl_data[[#This Row],[Kilometers_Driven]]&lt;100000,"50k-100k",
IF(tbl_data[[#This Row],[Kilometers_Driven]]&lt;150000,"100k-150k","150k+")))</f>
        <v>&lt;50k</v>
      </c>
      <c r="O627" s="1" t="str">
        <f>IF(tbl_data[[#This Row],[Price_USD]]&gt;=87089,"High",
IF(tbl_data[[#This Row],[Price_USD]]&gt;=56807,"Mid","Low"))</f>
        <v>High</v>
      </c>
      <c r="P627" s="1" t="str">
        <f>IF(tbl_data[[#This Row],[Transmission]]="Automatic","Auto","Manual")</f>
        <v>Auto</v>
      </c>
      <c r="Q627" s="1" t="str">
        <f>IFERROR(IF(VALUE(tbl_data[[#This Row],[Engine_CC]])=0,"",VALUE(tbl_data[[#This Row],[Price_USD]])/VALUE(tbl_data[[#This Row],[Engine_CC]])),"")</f>
        <v/>
      </c>
      <c r="R627" s="1" t="str">
        <f>TRIM(tbl_data[[#This Row],[Brand]])</f>
        <v>Mercedes</v>
      </c>
      <c r="S627" s="1">
        <f>_xlfn.NUMBERVALUE(tbl_data[[#This Row],[Price_USD]],".",",")</f>
        <v>99561.08</v>
      </c>
    </row>
    <row r="628" spans="1:19" x14ac:dyDescent="0.3">
      <c r="A628">
        <v>627</v>
      </c>
      <c r="B628" t="s">
        <v>19</v>
      </c>
      <c r="C628">
        <v>2013</v>
      </c>
      <c r="D628">
        <v>195135</v>
      </c>
      <c r="E628" t="s">
        <v>13</v>
      </c>
      <c r="F628" t="s">
        <v>21</v>
      </c>
      <c r="G628" t="s">
        <v>26</v>
      </c>
      <c r="H628">
        <v>4132</v>
      </c>
      <c r="I628" t="s">
        <v>1408</v>
      </c>
      <c r="J628" t="s">
        <v>1821</v>
      </c>
      <c r="K628">
        <v>7</v>
      </c>
      <c r="L628" t="s">
        <v>1822</v>
      </c>
      <c r="M628" s="1" t="str">
        <f>TEXT(DATE(tbl_data[[#This Row],[Model_Year]],1,1),"yyyy")</f>
        <v>2013</v>
      </c>
      <c r="N628" s="1" t="str">
        <f>IF(tbl_data[[#This Row],[Kilometers_Driven]]&lt;50000,"&lt;50k",
IF(tbl_data[[#This Row],[Kilometers_Driven]]&lt;100000,"50k-100k",
IF(tbl_data[[#This Row],[Kilometers_Driven]]&lt;150000,"100k-150k","150k+")))</f>
        <v>150k+</v>
      </c>
      <c r="O628" s="1" t="str">
        <f>IF(tbl_data[[#This Row],[Price_USD]]&gt;=87089,"High",
IF(tbl_data[[#This Row],[Price_USD]]&gt;=56807,"Mid","Low"))</f>
        <v>High</v>
      </c>
      <c r="P628" s="1" t="str">
        <f>IF(tbl_data[[#This Row],[Transmission]]="Automatic","Auto","Manual")</f>
        <v>Auto</v>
      </c>
      <c r="Q628" s="1" t="str">
        <f>IFERROR(IF(VALUE(tbl_data[[#This Row],[Engine_CC]])=0,"",VALUE(tbl_data[[#This Row],[Price_USD]])/VALUE(tbl_data[[#This Row],[Engine_CC]])),"")</f>
        <v/>
      </c>
      <c r="R628" s="1" t="str">
        <f>TRIM(tbl_data[[#This Row],[Brand]])</f>
        <v>BMW</v>
      </c>
      <c r="S628" s="1">
        <f>_xlfn.NUMBERVALUE(tbl_data[[#This Row],[Price_USD]],".",",")</f>
        <v>17735.060000000001</v>
      </c>
    </row>
    <row r="629" spans="1:19" x14ac:dyDescent="0.3">
      <c r="A629">
        <v>628</v>
      </c>
      <c r="B629" t="s">
        <v>43</v>
      </c>
      <c r="C629">
        <v>2022</v>
      </c>
      <c r="D629">
        <v>138715</v>
      </c>
      <c r="E629" t="s">
        <v>44</v>
      </c>
      <c r="F629" t="s">
        <v>14</v>
      </c>
      <c r="G629" t="s">
        <v>26</v>
      </c>
      <c r="H629">
        <v>1587</v>
      </c>
      <c r="I629" t="s">
        <v>1823</v>
      </c>
      <c r="J629" t="s">
        <v>1509</v>
      </c>
      <c r="K629">
        <v>2</v>
      </c>
      <c r="L629" t="s">
        <v>1824</v>
      </c>
      <c r="M629" s="1" t="str">
        <f>TEXT(DATE(tbl_data[[#This Row],[Model_Year]],1,1),"yyyy")</f>
        <v>2022</v>
      </c>
      <c r="N629" s="1" t="str">
        <f>IF(tbl_data[[#This Row],[Kilometers_Driven]]&lt;50000,"&lt;50k",
IF(tbl_data[[#This Row],[Kilometers_Driven]]&lt;100000,"50k-100k",
IF(tbl_data[[#This Row],[Kilometers_Driven]]&lt;150000,"100k-150k","150k+")))</f>
        <v>100k-150k</v>
      </c>
      <c r="O629" s="1" t="str">
        <f>IF(tbl_data[[#This Row],[Price_USD]]&gt;=87089,"High",
IF(tbl_data[[#This Row],[Price_USD]]&gt;=56807,"Mid","Low"))</f>
        <v>High</v>
      </c>
      <c r="P629" s="1" t="str">
        <f>IF(tbl_data[[#This Row],[Transmission]]="Automatic","Auto","Manual")</f>
        <v>Manual</v>
      </c>
      <c r="Q629" s="1" t="str">
        <f>IFERROR(IF(VALUE(tbl_data[[#This Row],[Engine_CC]])=0,"",VALUE(tbl_data[[#This Row],[Price_USD]])/VALUE(tbl_data[[#This Row],[Engine_CC]])),"")</f>
        <v/>
      </c>
      <c r="R629" s="1" t="str">
        <f>TRIM(tbl_data[[#This Row],[Brand]])</f>
        <v>Ford</v>
      </c>
      <c r="S629" s="1">
        <f>_xlfn.NUMBERVALUE(tbl_data[[#This Row],[Price_USD]],".",",")</f>
        <v>108662.41</v>
      </c>
    </row>
    <row r="630" spans="1:19" x14ac:dyDescent="0.3">
      <c r="A630">
        <v>629</v>
      </c>
      <c r="B630" t="s">
        <v>69</v>
      </c>
      <c r="C630">
        <v>2016</v>
      </c>
      <c r="D630">
        <v>45785</v>
      </c>
      <c r="E630" t="s">
        <v>44</v>
      </c>
      <c r="F630" t="s">
        <v>21</v>
      </c>
      <c r="G630" t="s">
        <v>26</v>
      </c>
      <c r="H630">
        <v>2481</v>
      </c>
      <c r="I630" t="s">
        <v>1825</v>
      </c>
      <c r="J630" t="s">
        <v>1826</v>
      </c>
      <c r="K630">
        <v>6</v>
      </c>
      <c r="L630" t="s">
        <v>1827</v>
      </c>
      <c r="M630" s="1" t="str">
        <f>TEXT(DATE(tbl_data[[#This Row],[Model_Year]],1,1),"yyyy")</f>
        <v>2016</v>
      </c>
      <c r="N630" s="1" t="str">
        <f>IF(tbl_data[[#This Row],[Kilometers_Driven]]&lt;50000,"&lt;50k",
IF(tbl_data[[#This Row],[Kilometers_Driven]]&lt;100000,"50k-100k",
IF(tbl_data[[#This Row],[Kilometers_Driven]]&lt;150000,"100k-150k","150k+")))</f>
        <v>&lt;50k</v>
      </c>
      <c r="O630" s="1" t="str">
        <f>IF(tbl_data[[#This Row],[Price_USD]]&gt;=87089,"High",
IF(tbl_data[[#This Row],[Price_USD]]&gt;=56807,"Mid","Low"))</f>
        <v>High</v>
      </c>
      <c r="P630" s="1" t="str">
        <f>IF(tbl_data[[#This Row],[Transmission]]="Automatic","Auto","Manual")</f>
        <v>Auto</v>
      </c>
      <c r="Q630" s="1" t="str">
        <f>IFERROR(IF(VALUE(tbl_data[[#This Row],[Engine_CC]])=0,"",VALUE(tbl_data[[#This Row],[Price_USD]])/VALUE(tbl_data[[#This Row],[Engine_CC]])),"")</f>
        <v/>
      </c>
      <c r="R630" s="1" t="str">
        <f>TRIM(tbl_data[[#This Row],[Brand]])</f>
        <v>Hyundai</v>
      </c>
      <c r="S630" s="1">
        <f>_xlfn.NUMBERVALUE(tbl_data[[#This Row],[Price_USD]],".",",")</f>
        <v>104114.98</v>
      </c>
    </row>
    <row r="631" spans="1:19" x14ac:dyDescent="0.3">
      <c r="A631">
        <v>630</v>
      </c>
      <c r="B631" t="s">
        <v>76</v>
      </c>
      <c r="C631">
        <v>2012</v>
      </c>
      <c r="D631">
        <v>23681</v>
      </c>
      <c r="E631" t="s">
        <v>20</v>
      </c>
      <c r="F631" t="s">
        <v>14</v>
      </c>
      <c r="G631" t="s">
        <v>15</v>
      </c>
      <c r="H631">
        <v>1422</v>
      </c>
      <c r="I631" t="s">
        <v>1828</v>
      </c>
      <c r="J631" t="s">
        <v>1012</v>
      </c>
      <c r="K631">
        <v>4</v>
      </c>
      <c r="L631" t="s">
        <v>1829</v>
      </c>
      <c r="M631" s="1" t="str">
        <f>TEXT(DATE(tbl_data[[#This Row],[Model_Year]],1,1),"yyyy")</f>
        <v>2012</v>
      </c>
      <c r="N631" s="1" t="str">
        <f>IF(tbl_data[[#This Row],[Kilometers_Driven]]&lt;50000,"&lt;50k",
IF(tbl_data[[#This Row],[Kilometers_Driven]]&lt;100000,"50k-100k",
IF(tbl_data[[#This Row],[Kilometers_Driven]]&lt;150000,"100k-150k","150k+")))</f>
        <v>&lt;50k</v>
      </c>
      <c r="O631" s="1" t="str">
        <f>IF(tbl_data[[#This Row],[Price_USD]]&gt;=87089,"High",
IF(tbl_data[[#This Row],[Price_USD]]&gt;=56807,"Mid","Low"))</f>
        <v>High</v>
      </c>
      <c r="P631" s="1" t="str">
        <f>IF(tbl_data[[#This Row],[Transmission]]="Automatic","Auto","Manual")</f>
        <v>Manual</v>
      </c>
      <c r="Q631" s="1" t="str">
        <f>IFERROR(IF(VALUE(tbl_data[[#This Row],[Engine_CC]])=0,"",VALUE(tbl_data[[#This Row],[Price_USD]])/VALUE(tbl_data[[#This Row],[Engine_CC]])),"")</f>
        <v/>
      </c>
      <c r="R631" s="1" t="str">
        <f>TRIM(tbl_data[[#This Row],[Brand]])</f>
        <v>Honda</v>
      </c>
      <c r="S631" s="1">
        <f>_xlfn.NUMBERVALUE(tbl_data[[#This Row],[Price_USD]],".",",")</f>
        <v>57356.18</v>
      </c>
    </row>
    <row r="632" spans="1:19" x14ac:dyDescent="0.3">
      <c r="A632">
        <v>631</v>
      </c>
      <c r="B632" t="s">
        <v>43</v>
      </c>
      <c r="C632">
        <v>2012</v>
      </c>
      <c r="D632">
        <v>186098</v>
      </c>
      <c r="E632" t="s">
        <v>44</v>
      </c>
      <c r="F632" t="s">
        <v>14</v>
      </c>
      <c r="G632" t="s">
        <v>15</v>
      </c>
      <c r="H632">
        <v>4641</v>
      </c>
      <c r="I632" t="s">
        <v>1830</v>
      </c>
      <c r="J632" t="s">
        <v>1831</v>
      </c>
      <c r="K632">
        <v>7</v>
      </c>
      <c r="L632" t="s">
        <v>1832</v>
      </c>
      <c r="M632" s="1" t="str">
        <f>TEXT(DATE(tbl_data[[#This Row],[Model_Year]],1,1),"yyyy")</f>
        <v>2012</v>
      </c>
      <c r="N632" s="1" t="str">
        <f>IF(tbl_data[[#This Row],[Kilometers_Driven]]&lt;50000,"&lt;50k",
IF(tbl_data[[#This Row],[Kilometers_Driven]]&lt;100000,"50k-100k",
IF(tbl_data[[#This Row],[Kilometers_Driven]]&lt;150000,"100k-150k","150k+")))</f>
        <v>150k+</v>
      </c>
      <c r="O632" s="1" t="str">
        <f>IF(tbl_data[[#This Row],[Price_USD]]&gt;=87089,"High",
IF(tbl_data[[#This Row],[Price_USD]]&gt;=56807,"Mid","Low"))</f>
        <v>High</v>
      </c>
      <c r="P632" s="1" t="str">
        <f>IF(tbl_data[[#This Row],[Transmission]]="Automatic","Auto","Manual")</f>
        <v>Manual</v>
      </c>
      <c r="Q632" s="1" t="str">
        <f>IFERROR(IF(VALUE(tbl_data[[#This Row],[Engine_CC]])=0,"",VALUE(tbl_data[[#This Row],[Price_USD]])/VALUE(tbl_data[[#This Row],[Engine_CC]])),"")</f>
        <v/>
      </c>
      <c r="R632" s="1" t="str">
        <f>TRIM(tbl_data[[#This Row],[Brand]])</f>
        <v>Ford</v>
      </c>
      <c r="S632" s="1">
        <f>_xlfn.NUMBERVALUE(tbl_data[[#This Row],[Price_USD]],".",",")</f>
        <v>90091.08</v>
      </c>
    </row>
    <row r="633" spans="1:19" x14ac:dyDescent="0.3">
      <c r="A633">
        <v>632</v>
      </c>
      <c r="B633" t="s">
        <v>30</v>
      </c>
      <c r="C633">
        <v>2022</v>
      </c>
      <c r="D633">
        <v>108864</v>
      </c>
      <c r="E633" t="s">
        <v>13</v>
      </c>
      <c r="F633" t="s">
        <v>21</v>
      </c>
      <c r="G633" t="s">
        <v>32</v>
      </c>
      <c r="H633">
        <v>4476</v>
      </c>
      <c r="I633" t="s">
        <v>1469</v>
      </c>
      <c r="J633" t="s">
        <v>1833</v>
      </c>
      <c r="K633">
        <v>6</v>
      </c>
      <c r="L633" t="s">
        <v>1834</v>
      </c>
      <c r="M633" s="1" t="str">
        <f>TEXT(DATE(tbl_data[[#This Row],[Model_Year]],1,1),"yyyy")</f>
        <v>2022</v>
      </c>
      <c r="N633" s="1" t="str">
        <f>IF(tbl_data[[#This Row],[Kilometers_Driven]]&lt;50000,"&lt;50k",
IF(tbl_data[[#This Row],[Kilometers_Driven]]&lt;100000,"50k-100k",
IF(tbl_data[[#This Row],[Kilometers_Driven]]&lt;150000,"100k-150k","150k+")))</f>
        <v>100k-150k</v>
      </c>
      <c r="O633" s="1" t="str">
        <f>IF(tbl_data[[#This Row],[Price_USD]]&gt;=87089,"High",
IF(tbl_data[[#This Row],[Price_USD]]&gt;=56807,"Mid","Low"))</f>
        <v>High</v>
      </c>
      <c r="P633" s="1" t="str">
        <f>IF(tbl_data[[#This Row],[Transmission]]="Automatic","Auto","Manual")</f>
        <v>Auto</v>
      </c>
      <c r="Q633" s="1" t="str">
        <f>IFERROR(IF(VALUE(tbl_data[[#This Row],[Engine_CC]])=0,"",VALUE(tbl_data[[#This Row],[Price_USD]])/VALUE(tbl_data[[#This Row],[Engine_CC]])),"")</f>
        <v/>
      </c>
      <c r="R633" s="1" t="str">
        <f>TRIM(tbl_data[[#This Row],[Brand]])</f>
        <v>Mercedes</v>
      </c>
      <c r="S633" s="1">
        <f>_xlfn.NUMBERVALUE(tbl_data[[#This Row],[Price_USD]],".",",")</f>
        <v>75475.070000000007</v>
      </c>
    </row>
    <row r="634" spans="1:19" x14ac:dyDescent="0.3">
      <c r="A634">
        <v>633</v>
      </c>
      <c r="B634" t="s">
        <v>102</v>
      </c>
      <c r="C634">
        <v>2024</v>
      </c>
      <c r="D634">
        <v>151964</v>
      </c>
      <c r="E634" t="s">
        <v>20</v>
      </c>
      <c r="F634" t="s">
        <v>14</v>
      </c>
      <c r="G634" t="s">
        <v>15</v>
      </c>
      <c r="H634">
        <v>3372</v>
      </c>
      <c r="I634" t="s">
        <v>1835</v>
      </c>
      <c r="J634" t="s">
        <v>1836</v>
      </c>
      <c r="K634">
        <v>4</v>
      </c>
      <c r="L634" t="s">
        <v>1837</v>
      </c>
      <c r="M634" s="1" t="str">
        <f>TEXT(DATE(tbl_data[[#This Row],[Model_Year]],1,1),"yyyy")</f>
        <v>2024</v>
      </c>
      <c r="N634" s="1" t="str">
        <f>IF(tbl_data[[#This Row],[Kilometers_Driven]]&lt;50000,"&lt;50k",
IF(tbl_data[[#This Row],[Kilometers_Driven]]&lt;100000,"50k-100k",
IF(tbl_data[[#This Row],[Kilometers_Driven]]&lt;150000,"100k-150k","150k+")))</f>
        <v>150k+</v>
      </c>
      <c r="O634" s="1" t="str">
        <f>IF(tbl_data[[#This Row],[Price_USD]]&gt;=87089,"High",
IF(tbl_data[[#This Row],[Price_USD]]&gt;=56807,"Mid","Low"))</f>
        <v>High</v>
      </c>
      <c r="P634" s="1" t="str">
        <f>IF(tbl_data[[#This Row],[Transmission]]="Automatic","Auto","Manual")</f>
        <v>Manual</v>
      </c>
      <c r="Q634" s="1" t="str">
        <f>IFERROR(IF(VALUE(tbl_data[[#This Row],[Engine_CC]])=0,"",VALUE(tbl_data[[#This Row],[Price_USD]])/VALUE(tbl_data[[#This Row],[Engine_CC]])),"")</f>
        <v/>
      </c>
      <c r="R634" s="1" t="str">
        <f>TRIM(tbl_data[[#This Row],[Brand]])</f>
        <v>Nissan</v>
      </c>
      <c r="S634" s="1">
        <f>_xlfn.NUMBERVALUE(tbl_data[[#This Row],[Price_USD]],".",",")</f>
        <v>96959.85</v>
      </c>
    </row>
    <row r="635" spans="1:19" x14ac:dyDescent="0.3">
      <c r="A635">
        <v>634</v>
      </c>
      <c r="B635" t="s">
        <v>76</v>
      </c>
      <c r="C635">
        <v>2019</v>
      </c>
      <c r="D635">
        <v>52299</v>
      </c>
      <c r="E635" t="s">
        <v>13</v>
      </c>
      <c r="F635" t="s">
        <v>14</v>
      </c>
      <c r="G635" t="s">
        <v>15</v>
      </c>
      <c r="H635">
        <v>4060</v>
      </c>
      <c r="I635" t="s">
        <v>1838</v>
      </c>
      <c r="J635" t="s">
        <v>1839</v>
      </c>
      <c r="K635">
        <v>6</v>
      </c>
      <c r="L635" t="s">
        <v>1840</v>
      </c>
      <c r="M635" s="1" t="str">
        <f>TEXT(DATE(tbl_data[[#This Row],[Model_Year]],1,1),"yyyy")</f>
        <v>2019</v>
      </c>
      <c r="N635" s="1" t="str">
        <f>IF(tbl_data[[#This Row],[Kilometers_Driven]]&lt;50000,"&lt;50k",
IF(tbl_data[[#This Row],[Kilometers_Driven]]&lt;100000,"50k-100k",
IF(tbl_data[[#This Row],[Kilometers_Driven]]&lt;150000,"100k-150k","150k+")))</f>
        <v>50k-100k</v>
      </c>
      <c r="O635" s="1" t="str">
        <f>IF(tbl_data[[#This Row],[Price_USD]]&gt;=87089,"High",
IF(tbl_data[[#This Row],[Price_USD]]&gt;=56807,"Mid","Low"))</f>
        <v>High</v>
      </c>
      <c r="P635" s="1" t="str">
        <f>IF(tbl_data[[#This Row],[Transmission]]="Automatic","Auto","Manual")</f>
        <v>Manual</v>
      </c>
      <c r="Q635" s="1" t="str">
        <f>IFERROR(IF(VALUE(tbl_data[[#This Row],[Engine_CC]])=0,"",VALUE(tbl_data[[#This Row],[Price_USD]])/VALUE(tbl_data[[#This Row],[Engine_CC]])),"")</f>
        <v/>
      </c>
      <c r="R635" s="1" t="str">
        <f>TRIM(tbl_data[[#This Row],[Brand]])</f>
        <v>Honda</v>
      </c>
      <c r="S635" s="1">
        <f>_xlfn.NUMBERVALUE(tbl_data[[#This Row],[Price_USD]],".",",")</f>
        <v>53521.2</v>
      </c>
    </row>
    <row r="636" spans="1:19" x14ac:dyDescent="0.3">
      <c r="A636">
        <v>635</v>
      </c>
      <c r="B636" t="s">
        <v>39</v>
      </c>
      <c r="C636">
        <v>2011</v>
      </c>
      <c r="D636">
        <v>22073</v>
      </c>
      <c r="E636" t="s">
        <v>44</v>
      </c>
      <c r="F636" t="s">
        <v>21</v>
      </c>
      <c r="G636" t="s">
        <v>15</v>
      </c>
      <c r="H636">
        <v>866</v>
      </c>
      <c r="I636" t="s">
        <v>1841</v>
      </c>
      <c r="J636" t="s">
        <v>479</v>
      </c>
      <c r="K636">
        <v>7</v>
      </c>
      <c r="L636" t="s">
        <v>1842</v>
      </c>
      <c r="M636" s="1" t="str">
        <f>TEXT(DATE(tbl_data[[#This Row],[Model_Year]],1,1),"yyyy")</f>
        <v>2011</v>
      </c>
      <c r="N636" s="1" t="str">
        <f>IF(tbl_data[[#This Row],[Kilometers_Driven]]&lt;50000,"&lt;50k",
IF(tbl_data[[#This Row],[Kilometers_Driven]]&lt;100000,"50k-100k",
IF(tbl_data[[#This Row],[Kilometers_Driven]]&lt;150000,"100k-150k","150k+")))</f>
        <v>&lt;50k</v>
      </c>
      <c r="O636" s="1" t="str">
        <f>IF(tbl_data[[#This Row],[Price_USD]]&gt;=87089,"High",
IF(tbl_data[[#This Row],[Price_USD]]&gt;=56807,"Mid","Low"))</f>
        <v>High</v>
      </c>
      <c r="P636" s="1" t="str">
        <f>IF(tbl_data[[#This Row],[Transmission]]="Automatic","Auto","Manual")</f>
        <v>Auto</v>
      </c>
      <c r="Q636" s="1" t="str">
        <f>IFERROR(IF(VALUE(tbl_data[[#This Row],[Engine_CC]])=0,"",VALUE(tbl_data[[#This Row],[Price_USD]])/VALUE(tbl_data[[#This Row],[Engine_CC]])),"")</f>
        <v/>
      </c>
      <c r="R636" s="1" t="str">
        <f>TRIM(tbl_data[[#This Row],[Brand]])</f>
        <v>Volkswagen</v>
      </c>
      <c r="S636" s="1">
        <f>_xlfn.NUMBERVALUE(tbl_data[[#This Row],[Price_USD]],".",",")</f>
        <v>94939.59</v>
      </c>
    </row>
    <row r="637" spans="1:19" x14ac:dyDescent="0.3">
      <c r="A637">
        <v>636</v>
      </c>
      <c r="B637" t="s">
        <v>25</v>
      </c>
      <c r="C637">
        <v>2015</v>
      </c>
      <c r="D637">
        <v>107304</v>
      </c>
      <c r="E637" t="s">
        <v>44</v>
      </c>
      <c r="F637" t="s">
        <v>21</v>
      </c>
      <c r="G637" t="s">
        <v>26</v>
      </c>
      <c r="H637">
        <v>1940</v>
      </c>
      <c r="I637" t="s">
        <v>1843</v>
      </c>
      <c r="J637" t="s">
        <v>1844</v>
      </c>
      <c r="K637">
        <v>6</v>
      </c>
      <c r="L637" t="s">
        <v>1845</v>
      </c>
      <c r="M637" s="1" t="str">
        <f>TEXT(DATE(tbl_data[[#This Row],[Model_Year]],1,1),"yyyy")</f>
        <v>2015</v>
      </c>
      <c r="N637" s="1" t="str">
        <f>IF(tbl_data[[#This Row],[Kilometers_Driven]]&lt;50000,"&lt;50k",
IF(tbl_data[[#This Row],[Kilometers_Driven]]&lt;100000,"50k-100k",
IF(tbl_data[[#This Row],[Kilometers_Driven]]&lt;150000,"100k-150k","150k+")))</f>
        <v>100k-150k</v>
      </c>
      <c r="O637" s="1" t="str">
        <f>IF(tbl_data[[#This Row],[Price_USD]]&gt;=87089,"High",
IF(tbl_data[[#This Row],[Price_USD]]&gt;=56807,"Mid","Low"))</f>
        <v>High</v>
      </c>
      <c r="P637" s="1" t="str">
        <f>IF(tbl_data[[#This Row],[Transmission]]="Automatic","Auto","Manual")</f>
        <v>Auto</v>
      </c>
      <c r="Q637" s="1" t="str">
        <f>IFERROR(IF(VALUE(tbl_data[[#This Row],[Engine_CC]])=0,"",VALUE(tbl_data[[#This Row],[Price_USD]])/VALUE(tbl_data[[#This Row],[Engine_CC]])),"")</f>
        <v/>
      </c>
      <c r="R637" s="1" t="str">
        <f>TRIM(tbl_data[[#This Row],[Brand]])</f>
        <v>Kia</v>
      </c>
      <c r="S637" s="1">
        <f>_xlfn.NUMBERVALUE(tbl_data[[#This Row],[Price_USD]],".",",")</f>
        <v>57107.45</v>
      </c>
    </row>
    <row r="638" spans="1:19" x14ac:dyDescent="0.3">
      <c r="A638">
        <v>637</v>
      </c>
      <c r="B638" t="s">
        <v>76</v>
      </c>
      <c r="C638">
        <v>2024</v>
      </c>
      <c r="D638">
        <v>35682</v>
      </c>
      <c r="E638" t="s">
        <v>13</v>
      </c>
      <c r="F638" t="s">
        <v>21</v>
      </c>
      <c r="G638" t="s">
        <v>32</v>
      </c>
      <c r="H638">
        <v>3114</v>
      </c>
      <c r="I638" t="s">
        <v>1846</v>
      </c>
      <c r="J638" t="s">
        <v>1847</v>
      </c>
      <c r="K638">
        <v>5</v>
      </c>
      <c r="L638" t="s">
        <v>1848</v>
      </c>
      <c r="M638" s="1" t="str">
        <f>TEXT(DATE(tbl_data[[#This Row],[Model_Year]],1,1),"yyyy")</f>
        <v>2024</v>
      </c>
      <c r="N638" s="1" t="str">
        <f>IF(tbl_data[[#This Row],[Kilometers_Driven]]&lt;50000,"&lt;50k",
IF(tbl_data[[#This Row],[Kilometers_Driven]]&lt;100000,"50k-100k",
IF(tbl_data[[#This Row],[Kilometers_Driven]]&lt;150000,"100k-150k","150k+")))</f>
        <v>&lt;50k</v>
      </c>
      <c r="O638" s="1" t="str">
        <f>IF(tbl_data[[#This Row],[Price_USD]]&gt;=87089,"High",
IF(tbl_data[[#This Row],[Price_USD]]&gt;=56807,"Mid","Low"))</f>
        <v>High</v>
      </c>
      <c r="P638" s="1" t="str">
        <f>IF(tbl_data[[#This Row],[Transmission]]="Automatic","Auto","Manual")</f>
        <v>Auto</v>
      </c>
      <c r="Q638" s="1" t="str">
        <f>IFERROR(IF(VALUE(tbl_data[[#This Row],[Engine_CC]])=0,"",VALUE(tbl_data[[#This Row],[Price_USD]])/VALUE(tbl_data[[#This Row],[Engine_CC]])),"")</f>
        <v/>
      </c>
      <c r="R638" s="1" t="str">
        <f>TRIM(tbl_data[[#This Row],[Brand]])</f>
        <v>Honda</v>
      </c>
      <c r="S638" s="1">
        <f>_xlfn.NUMBERVALUE(tbl_data[[#This Row],[Price_USD]],".",",")</f>
        <v>113093</v>
      </c>
    </row>
    <row r="639" spans="1:19" x14ac:dyDescent="0.3">
      <c r="A639">
        <v>638</v>
      </c>
      <c r="B639" t="s">
        <v>30</v>
      </c>
      <c r="C639">
        <v>2020</v>
      </c>
      <c r="D639">
        <v>129302</v>
      </c>
      <c r="E639" t="s">
        <v>31</v>
      </c>
      <c r="F639" t="s">
        <v>14</v>
      </c>
      <c r="G639" t="s">
        <v>32</v>
      </c>
      <c r="H639">
        <v>3332</v>
      </c>
      <c r="I639" t="s">
        <v>649</v>
      </c>
      <c r="J639" t="s">
        <v>1849</v>
      </c>
      <c r="K639">
        <v>7</v>
      </c>
      <c r="L639" t="s">
        <v>1850</v>
      </c>
      <c r="M639" s="1" t="str">
        <f>TEXT(DATE(tbl_data[[#This Row],[Model_Year]],1,1),"yyyy")</f>
        <v>2020</v>
      </c>
      <c r="N639" s="1" t="str">
        <f>IF(tbl_data[[#This Row],[Kilometers_Driven]]&lt;50000,"&lt;50k",
IF(tbl_data[[#This Row],[Kilometers_Driven]]&lt;100000,"50k-100k",
IF(tbl_data[[#This Row],[Kilometers_Driven]]&lt;150000,"100k-150k","150k+")))</f>
        <v>100k-150k</v>
      </c>
      <c r="O639" s="1" t="str">
        <f>IF(tbl_data[[#This Row],[Price_USD]]&gt;=87089,"High",
IF(tbl_data[[#This Row],[Price_USD]]&gt;=56807,"Mid","Low"))</f>
        <v>High</v>
      </c>
      <c r="P639" s="1" t="str">
        <f>IF(tbl_data[[#This Row],[Transmission]]="Automatic","Auto","Manual")</f>
        <v>Manual</v>
      </c>
      <c r="Q639" s="1" t="str">
        <f>IFERROR(IF(VALUE(tbl_data[[#This Row],[Engine_CC]])=0,"",VALUE(tbl_data[[#This Row],[Price_USD]])/VALUE(tbl_data[[#This Row],[Engine_CC]])),"")</f>
        <v/>
      </c>
      <c r="R639" s="1" t="str">
        <f>TRIM(tbl_data[[#This Row],[Brand]])</f>
        <v>Mercedes</v>
      </c>
      <c r="S639" s="1">
        <f>_xlfn.NUMBERVALUE(tbl_data[[#This Row],[Price_USD]],".",",")</f>
        <v>59905.54</v>
      </c>
    </row>
    <row r="640" spans="1:19" x14ac:dyDescent="0.3">
      <c r="A640">
        <v>639</v>
      </c>
      <c r="B640" t="s">
        <v>12</v>
      </c>
      <c r="C640">
        <v>2008</v>
      </c>
      <c r="D640">
        <v>150361</v>
      </c>
      <c r="E640" t="s">
        <v>44</v>
      </c>
      <c r="F640" t="s">
        <v>14</v>
      </c>
      <c r="G640" t="s">
        <v>32</v>
      </c>
      <c r="H640">
        <v>4380</v>
      </c>
      <c r="I640" t="s">
        <v>1851</v>
      </c>
      <c r="J640" t="s">
        <v>1852</v>
      </c>
      <c r="K640">
        <v>6</v>
      </c>
      <c r="L640" t="s">
        <v>1853</v>
      </c>
      <c r="M640" s="1" t="str">
        <f>TEXT(DATE(tbl_data[[#This Row],[Model_Year]],1,1),"yyyy")</f>
        <v>2008</v>
      </c>
      <c r="N640" s="1" t="str">
        <f>IF(tbl_data[[#This Row],[Kilometers_Driven]]&lt;50000,"&lt;50k",
IF(tbl_data[[#This Row],[Kilometers_Driven]]&lt;100000,"50k-100k",
IF(tbl_data[[#This Row],[Kilometers_Driven]]&lt;150000,"100k-150k","150k+")))</f>
        <v>150k+</v>
      </c>
      <c r="O640" s="1" t="str">
        <f>IF(tbl_data[[#This Row],[Price_USD]]&gt;=87089,"High",
IF(tbl_data[[#This Row],[Price_USD]]&gt;=56807,"Mid","Low"))</f>
        <v>High</v>
      </c>
      <c r="P640" s="1" t="str">
        <f>IF(tbl_data[[#This Row],[Transmission]]="Automatic","Auto","Manual")</f>
        <v>Manual</v>
      </c>
      <c r="Q640" s="1" t="str">
        <f>IFERROR(IF(VALUE(tbl_data[[#This Row],[Engine_CC]])=0,"",VALUE(tbl_data[[#This Row],[Price_USD]])/VALUE(tbl_data[[#This Row],[Engine_CC]])),"")</f>
        <v/>
      </c>
      <c r="R640" s="1" t="str">
        <f>TRIM(tbl_data[[#This Row],[Brand]])</f>
        <v>Audi</v>
      </c>
      <c r="S640" s="1">
        <f>_xlfn.NUMBERVALUE(tbl_data[[#This Row],[Price_USD]],".",",")</f>
        <v>57126.45</v>
      </c>
    </row>
    <row r="641" spans="1:19" x14ac:dyDescent="0.3">
      <c r="A641">
        <v>640</v>
      </c>
      <c r="B641" t="s">
        <v>25</v>
      </c>
      <c r="C641">
        <v>2010</v>
      </c>
      <c r="D641">
        <v>120359</v>
      </c>
      <c r="E641" t="s">
        <v>31</v>
      </c>
      <c r="F641" t="s">
        <v>21</v>
      </c>
      <c r="G641" t="s">
        <v>32</v>
      </c>
      <c r="H641">
        <v>1987</v>
      </c>
      <c r="I641" t="s">
        <v>1854</v>
      </c>
      <c r="J641" t="s">
        <v>1855</v>
      </c>
      <c r="K641">
        <v>2</v>
      </c>
      <c r="L641" t="s">
        <v>1856</v>
      </c>
      <c r="M641" s="1" t="str">
        <f>TEXT(DATE(tbl_data[[#This Row],[Model_Year]],1,1),"yyyy")</f>
        <v>2010</v>
      </c>
      <c r="N641" s="1" t="str">
        <f>IF(tbl_data[[#This Row],[Kilometers_Driven]]&lt;50000,"&lt;50k",
IF(tbl_data[[#This Row],[Kilometers_Driven]]&lt;100000,"50k-100k",
IF(tbl_data[[#This Row],[Kilometers_Driven]]&lt;150000,"100k-150k","150k+")))</f>
        <v>100k-150k</v>
      </c>
      <c r="O641" s="1" t="str">
        <f>IF(tbl_data[[#This Row],[Price_USD]]&gt;=87089,"High",
IF(tbl_data[[#This Row],[Price_USD]]&gt;=56807,"Mid","Low"))</f>
        <v>High</v>
      </c>
      <c r="P641" s="1" t="str">
        <f>IF(tbl_data[[#This Row],[Transmission]]="Automatic","Auto","Manual")</f>
        <v>Auto</v>
      </c>
      <c r="Q641" s="1" t="str">
        <f>IFERROR(IF(VALUE(tbl_data[[#This Row],[Engine_CC]])=0,"",VALUE(tbl_data[[#This Row],[Price_USD]])/VALUE(tbl_data[[#This Row],[Engine_CC]])),"")</f>
        <v/>
      </c>
      <c r="R641" s="1" t="str">
        <f>TRIM(tbl_data[[#This Row],[Brand]])</f>
        <v>Kia</v>
      </c>
      <c r="S641" s="1">
        <f>_xlfn.NUMBERVALUE(tbl_data[[#This Row],[Price_USD]],".",",")</f>
        <v>94853.41</v>
      </c>
    </row>
    <row r="642" spans="1:19" x14ac:dyDescent="0.3">
      <c r="A642">
        <v>641</v>
      </c>
      <c r="B642" t="s">
        <v>92</v>
      </c>
      <c r="C642">
        <v>2007</v>
      </c>
      <c r="D642">
        <v>143999</v>
      </c>
      <c r="E642" t="s">
        <v>44</v>
      </c>
      <c r="F642" t="s">
        <v>14</v>
      </c>
      <c r="G642" t="s">
        <v>15</v>
      </c>
      <c r="H642">
        <v>4139</v>
      </c>
      <c r="I642" t="s">
        <v>1857</v>
      </c>
      <c r="J642" t="s">
        <v>919</v>
      </c>
      <c r="K642">
        <v>6</v>
      </c>
      <c r="L642" t="s">
        <v>1858</v>
      </c>
      <c r="M642" s="1" t="str">
        <f>TEXT(DATE(tbl_data[[#This Row],[Model_Year]],1,1),"yyyy")</f>
        <v>2007</v>
      </c>
      <c r="N642" s="1" t="str">
        <f>IF(tbl_data[[#This Row],[Kilometers_Driven]]&lt;50000,"&lt;50k",
IF(tbl_data[[#This Row],[Kilometers_Driven]]&lt;100000,"50k-100k",
IF(tbl_data[[#This Row],[Kilometers_Driven]]&lt;150000,"100k-150k","150k+")))</f>
        <v>100k-150k</v>
      </c>
      <c r="O642" s="1" t="str">
        <f>IF(tbl_data[[#This Row],[Price_USD]]&gt;=87089,"High",
IF(tbl_data[[#This Row],[Price_USD]]&gt;=56807,"Mid","Low"))</f>
        <v>High</v>
      </c>
      <c r="P642" s="1" t="str">
        <f>IF(tbl_data[[#This Row],[Transmission]]="Automatic","Auto","Manual")</f>
        <v>Manual</v>
      </c>
      <c r="Q642" s="1" t="str">
        <f>IFERROR(IF(VALUE(tbl_data[[#This Row],[Engine_CC]])=0,"",VALUE(tbl_data[[#This Row],[Price_USD]])/VALUE(tbl_data[[#This Row],[Engine_CC]])),"")</f>
        <v/>
      </c>
      <c r="R642" s="1" t="str">
        <f>TRIM(tbl_data[[#This Row],[Brand]])</f>
        <v>Toyota</v>
      </c>
      <c r="S642" s="1">
        <f>_xlfn.NUMBERVALUE(tbl_data[[#This Row],[Price_USD]],".",",")</f>
        <v>99124.59</v>
      </c>
    </row>
    <row r="643" spans="1:19" x14ac:dyDescent="0.3">
      <c r="A643">
        <v>642</v>
      </c>
      <c r="B643" t="s">
        <v>69</v>
      </c>
      <c r="C643">
        <v>2013</v>
      </c>
      <c r="D643">
        <v>184402</v>
      </c>
      <c r="E643" t="s">
        <v>31</v>
      </c>
      <c r="F643" t="s">
        <v>21</v>
      </c>
      <c r="G643" t="s">
        <v>15</v>
      </c>
      <c r="H643">
        <v>1348</v>
      </c>
      <c r="I643" t="s">
        <v>1859</v>
      </c>
      <c r="J643" t="s">
        <v>785</v>
      </c>
      <c r="K643">
        <v>5</v>
      </c>
      <c r="L643" t="s">
        <v>1860</v>
      </c>
      <c r="M643" s="1" t="str">
        <f>TEXT(DATE(tbl_data[[#This Row],[Model_Year]],1,1),"yyyy")</f>
        <v>2013</v>
      </c>
      <c r="N643" s="1" t="str">
        <f>IF(tbl_data[[#This Row],[Kilometers_Driven]]&lt;50000,"&lt;50k",
IF(tbl_data[[#This Row],[Kilometers_Driven]]&lt;100000,"50k-100k",
IF(tbl_data[[#This Row],[Kilometers_Driven]]&lt;150000,"100k-150k","150k+")))</f>
        <v>150k+</v>
      </c>
      <c r="O643" s="1" t="str">
        <f>IF(tbl_data[[#This Row],[Price_USD]]&gt;=87089,"High",
IF(tbl_data[[#This Row],[Price_USD]]&gt;=56807,"Mid","Low"))</f>
        <v>High</v>
      </c>
      <c r="P643" s="1" t="str">
        <f>IF(tbl_data[[#This Row],[Transmission]]="Automatic","Auto","Manual")</f>
        <v>Auto</v>
      </c>
      <c r="Q643" s="1" t="str">
        <f>IFERROR(IF(VALUE(tbl_data[[#This Row],[Engine_CC]])=0,"",VALUE(tbl_data[[#This Row],[Price_USD]])/VALUE(tbl_data[[#This Row],[Engine_CC]])),"")</f>
        <v/>
      </c>
      <c r="R643" s="1" t="str">
        <f>TRIM(tbl_data[[#This Row],[Brand]])</f>
        <v>Hyundai</v>
      </c>
      <c r="S643" s="1">
        <f>_xlfn.NUMBERVALUE(tbl_data[[#This Row],[Price_USD]],".",",")</f>
        <v>67875.23</v>
      </c>
    </row>
    <row r="644" spans="1:19" x14ac:dyDescent="0.3">
      <c r="A644">
        <v>643</v>
      </c>
      <c r="B644" t="s">
        <v>92</v>
      </c>
      <c r="C644">
        <v>2014</v>
      </c>
      <c r="D644">
        <v>71707</v>
      </c>
      <c r="E644" t="s">
        <v>31</v>
      </c>
      <c r="F644" t="s">
        <v>21</v>
      </c>
      <c r="G644" t="s">
        <v>26</v>
      </c>
      <c r="H644">
        <v>4887</v>
      </c>
      <c r="I644" t="s">
        <v>1861</v>
      </c>
      <c r="J644" t="s">
        <v>1862</v>
      </c>
      <c r="K644">
        <v>4</v>
      </c>
      <c r="L644" t="s">
        <v>1863</v>
      </c>
      <c r="M644" s="1" t="str">
        <f>TEXT(DATE(tbl_data[[#This Row],[Model_Year]],1,1),"yyyy")</f>
        <v>2014</v>
      </c>
      <c r="N644" s="1" t="str">
        <f>IF(tbl_data[[#This Row],[Kilometers_Driven]]&lt;50000,"&lt;50k",
IF(tbl_data[[#This Row],[Kilometers_Driven]]&lt;100000,"50k-100k",
IF(tbl_data[[#This Row],[Kilometers_Driven]]&lt;150000,"100k-150k","150k+")))</f>
        <v>50k-100k</v>
      </c>
      <c r="O644" s="1" t="str">
        <f>IF(tbl_data[[#This Row],[Price_USD]]&gt;=87089,"High",
IF(tbl_data[[#This Row],[Price_USD]]&gt;=56807,"Mid","Low"))</f>
        <v>High</v>
      </c>
      <c r="P644" s="1" t="str">
        <f>IF(tbl_data[[#This Row],[Transmission]]="Automatic","Auto","Manual")</f>
        <v>Auto</v>
      </c>
      <c r="Q644" s="1" t="str">
        <f>IFERROR(IF(VALUE(tbl_data[[#This Row],[Engine_CC]])=0,"",VALUE(tbl_data[[#This Row],[Price_USD]])/VALUE(tbl_data[[#This Row],[Engine_CC]])),"")</f>
        <v/>
      </c>
      <c r="R644" s="1" t="str">
        <f>TRIM(tbl_data[[#This Row],[Brand]])</f>
        <v>Toyota</v>
      </c>
      <c r="S644" s="1">
        <f>_xlfn.NUMBERVALUE(tbl_data[[#This Row],[Price_USD]],".",",")</f>
        <v>24036.34</v>
      </c>
    </row>
    <row r="645" spans="1:19" x14ac:dyDescent="0.3">
      <c r="A645">
        <v>644</v>
      </c>
      <c r="B645" t="s">
        <v>76</v>
      </c>
      <c r="C645">
        <v>2018</v>
      </c>
      <c r="D645">
        <v>70428</v>
      </c>
      <c r="E645" t="s">
        <v>31</v>
      </c>
      <c r="F645" t="s">
        <v>14</v>
      </c>
      <c r="G645" t="s">
        <v>32</v>
      </c>
      <c r="H645">
        <v>872</v>
      </c>
      <c r="I645" t="s">
        <v>1864</v>
      </c>
      <c r="J645" t="s">
        <v>1865</v>
      </c>
      <c r="K645">
        <v>4</v>
      </c>
      <c r="L645" t="s">
        <v>1866</v>
      </c>
      <c r="M645" s="1" t="str">
        <f>TEXT(DATE(tbl_data[[#This Row],[Model_Year]],1,1),"yyyy")</f>
        <v>2018</v>
      </c>
      <c r="N645" s="1" t="str">
        <f>IF(tbl_data[[#This Row],[Kilometers_Driven]]&lt;50000,"&lt;50k",
IF(tbl_data[[#This Row],[Kilometers_Driven]]&lt;100000,"50k-100k",
IF(tbl_data[[#This Row],[Kilometers_Driven]]&lt;150000,"100k-150k","150k+")))</f>
        <v>50k-100k</v>
      </c>
      <c r="O645" s="1" t="str">
        <f>IF(tbl_data[[#This Row],[Price_USD]]&gt;=87089,"High",
IF(tbl_data[[#This Row],[Price_USD]]&gt;=56807,"Mid","Low"))</f>
        <v>High</v>
      </c>
      <c r="P645" s="1" t="str">
        <f>IF(tbl_data[[#This Row],[Transmission]]="Automatic","Auto","Manual")</f>
        <v>Manual</v>
      </c>
      <c r="Q645" s="1" t="str">
        <f>IFERROR(IF(VALUE(tbl_data[[#This Row],[Engine_CC]])=0,"",VALUE(tbl_data[[#This Row],[Price_USD]])/VALUE(tbl_data[[#This Row],[Engine_CC]])),"")</f>
        <v/>
      </c>
      <c r="R645" s="1" t="str">
        <f>TRIM(tbl_data[[#This Row],[Brand]])</f>
        <v>Honda</v>
      </c>
      <c r="S645" s="1">
        <f>_xlfn.NUMBERVALUE(tbl_data[[#This Row],[Price_USD]],".",",")</f>
        <v>57727.71</v>
      </c>
    </row>
    <row r="646" spans="1:19" x14ac:dyDescent="0.3">
      <c r="A646">
        <v>645</v>
      </c>
      <c r="B646" t="s">
        <v>92</v>
      </c>
      <c r="C646">
        <v>2015</v>
      </c>
      <c r="D646">
        <v>55601</v>
      </c>
      <c r="E646" t="s">
        <v>13</v>
      </c>
      <c r="F646" t="s">
        <v>21</v>
      </c>
      <c r="G646" t="s">
        <v>15</v>
      </c>
      <c r="H646">
        <v>998</v>
      </c>
      <c r="I646" t="s">
        <v>1867</v>
      </c>
      <c r="J646" t="s">
        <v>1868</v>
      </c>
      <c r="K646">
        <v>4</v>
      </c>
      <c r="L646" t="s">
        <v>1869</v>
      </c>
      <c r="M646" s="1" t="str">
        <f>TEXT(DATE(tbl_data[[#This Row],[Model_Year]],1,1),"yyyy")</f>
        <v>2015</v>
      </c>
      <c r="N646" s="1" t="str">
        <f>IF(tbl_data[[#This Row],[Kilometers_Driven]]&lt;50000,"&lt;50k",
IF(tbl_data[[#This Row],[Kilometers_Driven]]&lt;100000,"50k-100k",
IF(tbl_data[[#This Row],[Kilometers_Driven]]&lt;150000,"100k-150k","150k+")))</f>
        <v>50k-100k</v>
      </c>
      <c r="O646" s="1" t="str">
        <f>IF(tbl_data[[#This Row],[Price_USD]]&gt;=87089,"High",
IF(tbl_data[[#This Row],[Price_USD]]&gt;=56807,"Mid","Low"))</f>
        <v>High</v>
      </c>
      <c r="P646" s="1" t="str">
        <f>IF(tbl_data[[#This Row],[Transmission]]="Automatic","Auto","Manual")</f>
        <v>Auto</v>
      </c>
      <c r="Q646" s="1" t="str">
        <f>IFERROR(IF(VALUE(tbl_data[[#This Row],[Engine_CC]])=0,"",VALUE(tbl_data[[#This Row],[Price_USD]])/VALUE(tbl_data[[#This Row],[Engine_CC]])),"")</f>
        <v/>
      </c>
      <c r="R646" s="1" t="str">
        <f>TRIM(tbl_data[[#This Row],[Brand]])</f>
        <v>Toyota</v>
      </c>
      <c r="S646" s="1">
        <f>_xlfn.NUMBERVALUE(tbl_data[[#This Row],[Price_USD]],".",",")</f>
        <v>116264.48</v>
      </c>
    </row>
    <row r="647" spans="1:19" x14ac:dyDescent="0.3">
      <c r="A647">
        <v>646</v>
      </c>
      <c r="B647" t="s">
        <v>30</v>
      </c>
      <c r="C647">
        <v>2022</v>
      </c>
      <c r="D647">
        <v>138611</v>
      </c>
      <c r="E647" t="s">
        <v>31</v>
      </c>
      <c r="F647" t="s">
        <v>14</v>
      </c>
      <c r="G647" t="s">
        <v>15</v>
      </c>
      <c r="H647">
        <v>4001</v>
      </c>
      <c r="I647" t="s">
        <v>1870</v>
      </c>
      <c r="J647" t="s">
        <v>1871</v>
      </c>
      <c r="K647">
        <v>2</v>
      </c>
      <c r="L647" t="s">
        <v>1872</v>
      </c>
      <c r="M647" s="1" t="str">
        <f>TEXT(DATE(tbl_data[[#This Row],[Model_Year]],1,1),"yyyy")</f>
        <v>2022</v>
      </c>
      <c r="N647" s="1" t="str">
        <f>IF(tbl_data[[#This Row],[Kilometers_Driven]]&lt;50000,"&lt;50k",
IF(tbl_data[[#This Row],[Kilometers_Driven]]&lt;100000,"50k-100k",
IF(tbl_data[[#This Row],[Kilometers_Driven]]&lt;150000,"100k-150k","150k+")))</f>
        <v>100k-150k</v>
      </c>
      <c r="O647" s="1" t="str">
        <f>IF(tbl_data[[#This Row],[Price_USD]]&gt;=87089,"High",
IF(tbl_data[[#This Row],[Price_USD]]&gt;=56807,"Mid","Low"))</f>
        <v>High</v>
      </c>
      <c r="P647" s="1" t="str">
        <f>IF(tbl_data[[#This Row],[Transmission]]="Automatic","Auto","Manual")</f>
        <v>Manual</v>
      </c>
      <c r="Q647" s="1" t="str">
        <f>IFERROR(IF(VALUE(tbl_data[[#This Row],[Engine_CC]])=0,"",VALUE(tbl_data[[#This Row],[Price_USD]])/VALUE(tbl_data[[#This Row],[Engine_CC]])),"")</f>
        <v/>
      </c>
      <c r="R647" s="1" t="str">
        <f>TRIM(tbl_data[[#This Row],[Brand]])</f>
        <v>Mercedes</v>
      </c>
      <c r="S647" s="1">
        <f>_xlfn.NUMBERVALUE(tbl_data[[#This Row],[Price_USD]],".",",")</f>
        <v>91099.38</v>
      </c>
    </row>
    <row r="648" spans="1:19" x14ac:dyDescent="0.3">
      <c r="A648">
        <v>647</v>
      </c>
      <c r="B648" t="s">
        <v>39</v>
      </c>
      <c r="C648">
        <v>2016</v>
      </c>
      <c r="D648">
        <v>116487</v>
      </c>
      <c r="E648" t="s">
        <v>31</v>
      </c>
      <c r="F648" t="s">
        <v>14</v>
      </c>
      <c r="G648" t="s">
        <v>26</v>
      </c>
      <c r="H648">
        <v>2581</v>
      </c>
      <c r="I648" t="s">
        <v>1873</v>
      </c>
      <c r="J648" t="s">
        <v>1874</v>
      </c>
      <c r="K648">
        <v>5</v>
      </c>
      <c r="L648" t="s">
        <v>1875</v>
      </c>
      <c r="M648" s="1" t="str">
        <f>TEXT(DATE(tbl_data[[#This Row],[Model_Year]],1,1),"yyyy")</f>
        <v>2016</v>
      </c>
      <c r="N648" s="1" t="str">
        <f>IF(tbl_data[[#This Row],[Kilometers_Driven]]&lt;50000,"&lt;50k",
IF(tbl_data[[#This Row],[Kilometers_Driven]]&lt;100000,"50k-100k",
IF(tbl_data[[#This Row],[Kilometers_Driven]]&lt;150000,"100k-150k","150k+")))</f>
        <v>100k-150k</v>
      </c>
      <c r="O648" s="1" t="str">
        <f>IF(tbl_data[[#This Row],[Price_USD]]&gt;=87089,"High",
IF(tbl_data[[#This Row],[Price_USD]]&gt;=56807,"Mid","Low"))</f>
        <v>High</v>
      </c>
      <c r="P648" s="1" t="str">
        <f>IF(tbl_data[[#This Row],[Transmission]]="Automatic","Auto","Manual")</f>
        <v>Manual</v>
      </c>
      <c r="Q648" s="1" t="str">
        <f>IFERROR(IF(VALUE(tbl_data[[#This Row],[Engine_CC]])=0,"",VALUE(tbl_data[[#This Row],[Price_USD]])/VALUE(tbl_data[[#This Row],[Engine_CC]])),"")</f>
        <v/>
      </c>
      <c r="R648" s="1" t="str">
        <f>TRIM(tbl_data[[#This Row],[Brand]])</f>
        <v>Volkswagen</v>
      </c>
      <c r="S648" s="1">
        <f>_xlfn.NUMBERVALUE(tbl_data[[#This Row],[Price_USD]],".",",")</f>
        <v>97906.02</v>
      </c>
    </row>
    <row r="649" spans="1:19" x14ac:dyDescent="0.3">
      <c r="A649">
        <v>648</v>
      </c>
      <c r="B649" t="s">
        <v>102</v>
      </c>
      <c r="C649">
        <v>2016</v>
      </c>
      <c r="D649">
        <v>158741</v>
      </c>
      <c r="E649" t="s">
        <v>31</v>
      </c>
      <c r="F649" t="s">
        <v>21</v>
      </c>
      <c r="G649" t="s">
        <v>26</v>
      </c>
      <c r="H649">
        <v>1371</v>
      </c>
      <c r="I649" t="s">
        <v>1876</v>
      </c>
      <c r="J649" t="s">
        <v>1877</v>
      </c>
      <c r="K649">
        <v>7</v>
      </c>
      <c r="L649" t="s">
        <v>1878</v>
      </c>
      <c r="M649" s="1" t="str">
        <f>TEXT(DATE(tbl_data[[#This Row],[Model_Year]],1,1),"yyyy")</f>
        <v>2016</v>
      </c>
      <c r="N649" s="1" t="str">
        <f>IF(tbl_data[[#This Row],[Kilometers_Driven]]&lt;50000,"&lt;50k",
IF(tbl_data[[#This Row],[Kilometers_Driven]]&lt;100000,"50k-100k",
IF(tbl_data[[#This Row],[Kilometers_Driven]]&lt;150000,"100k-150k","150k+")))</f>
        <v>150k+</v>
      </c>
      <c r="O649" s="1" t="str">
        <f>IF(tbl_data[[#This Row],[Price_USD]]&gt;=87089,"High",
IF(tbl_data[[#This Row],[Price_USD]]&gt;=56807,"Mid","Low"))</f>
        <v>High</v>
      </c>
      <c r="P649" s="1" t="str">
        <f>IF(tbl_data[[#This Row],[Transmission]]="Automatic","Auto","Manual")</f>
        <v>Auto</v>
      </c>
      <c r="Q649" s="1" t="str">
        <f>IFERROR(IF(VALUE(tbl_data[[#This Row],[Engine_CC]])=0,"",VALUE(tbl_data[[#This Row],[Price_USD]])/VALUE(tbl_data[[#This Row],[Engine_CC]])),"")</f>
        <v/>
      </c>
      <c r="R649" s="1" t="str">
        <f>TRIM(tbl_data[[#This Row],[Brand]])</f>
        <v>Nissan</v>
      </c>
      <c r="S649" s="1">
        <f>_xlfn.NUMBERVALUE(tbl_data[[#This Row],[Price_USD]],".",",")</f>
        <v>6840.58</v>
      </c>
    </row>
    <row r="650" spans="1:19" x14ac:dyDescent="0.3">
      <c r="A650">
        <v>649</v>
      </c>
      <c r="B650" t="s">
        <v>69</v>
      </c>
      <c r="C650">
        <v>2017</v>
      </c>
      <c r="D650">
        <v>156716</v>
      </c>
      <c r="E650" t="s">
        <v>44</v>
      </c>
      <c r="F650" t="s">
        <v>14</v>
      </c>
      <c r="G650" t="s">
        <v>26</v>
      </c>
      <c r="H650">
        <v>1590</v>
      </c>
      <c r="I650" t="s">
        <v>1879</v>
      </c>
      <c r="J650" t="s">
        <v>755</v>
      </c>
      <c r="K650">
        <v>4</v>
      </c>
      <c r="L650" t="s">
        <v>1880</v>
      </c>
      <c r="M650" s="1" t="str">
        <f>TEXT(DATE(tbl_data[[#This Row],[Model_Year]],1,1),"yyyy")</f>
        <v>2017</v>
      </c>
      <c r="N650" s="1" t="str">
        <f>IF(tbl_data[[#This Row],[Kilometers_Driven]]&lt;50000,"&lt;50k",
IF(tbl_data[[#This Row],[Kilometers_Driven]]&lt;100000,"50k-100k",
IF(tbl_data[[#This Row],[Kilometers_Driven]]&lt;150000,"100k-150k","150k+")))</f>
        <v>150k+</v>
      </c>
      <c r="O650" s="1" t="str">
        <f>IF(tbl_data[[#This Row],[Price_USD]]&gt;=87089,"High",
IF(tbl_data[[#This Row],[Price_USD]]&gt;=56807,"Mid","Low"))</f>
        <v>High</v>
      </c>
      <c r="P650" s="1" t="str">
        <f>IF(tbl_data[[#This Row],[Transmission]]="Automatic","Auto","Manual")</f>
        <v>Manual</v>
      </c>
      <c r="Q650" s="1" t="str">
        <f>IFERROR(IF(VALUE(tbl_data[[#This Row],[Engine_CC]])=0,"",VALUE(tbl_data[[#This Row],[Price_USD]])/VALUE(tbl_data[[#This Row],[Engine_CC]])),"")</f>
        <v/>
      </c>
      <c r="R650" s="1" t="str">
        <f>TRIM(tbl_data[[#This Row],[Brand]])</f>
        <v>Hyundai</v>
      </c>
      <c r="S650" s="1">
        <f>_xlfn.NUMBERVALUE(tbl_data[[#This Row],[Price_USD]],".",",")</f>
        <v>57739.56</v>
      </c>
    </row>
    <row r="651" spans="1:19" x14ac:dyDescent="0.3">
      <c r="A651">
        <v>650</v>
      </c>
      <c r="B651" t="s">
        <v>92</v>
      </c>
      <c r="C651">
        <v>2017</v>
      </c>
      <c r="D651">
        <v>154817</v>
      </c>
      <c r="E651" t="s">
        <v>31</v>
      </c>
      <c r="F651" t="s">
        <v>21</v>
      </c>
      <c r="G651" t="s">
        <v>15</v>
      </c>
      <c r="H651">
        <v>2438</v>
      </c>
      <c r="I651" t="s">
        <v>1881</v>
      </c>
      <c r="J651" t="s">
        <v>375</v>
      </c>
      <c r="K651">
        <v>5</v>
      </c>
      <c r="L651" t="s">
        <v>1882</v>
      </c>
      <c r="M651" s="1" t="str">
        <f>TEXT(DATE(tbl_data[[#This Row],[Model_Year]],1,1),"yyyy")</f>
        <v>2017</v>
      </c>
      <c r="N651" s="1" t="str">
        <f>IF(tbl_data[[#This Row],[Kilometers_Driven]]&lt;50000,"&lt;50k",
IF(tbl_data[[#This Row],[Kilometers_Driven]]&lt;100000,"50k-100k",
IF(tbl_data[[#This Row],[Kilometers_Driven]]&lt;150000,"100k-150k","150k+")))</f>
        <v>150k+</v>
      </c>
      <c r="O651" s="1" t="str">
        <f>IF(tbl_data[[#This Row],[Price_USD]]&gt;=87089,"High",
IF(tbl_data[[#This Row],[Price_USD]]&gt;=56807,"Mid","Low"))</f>
        <v>High</v>
      </c>
      <c r="P651" s="1" t="str">
        <f>IF(tbl_data[[#This Row],[Transmission]]="Automatic","Auto","Manual")</f>
        <v>Auto</v>
      </c>
      <c r="Q651" s="1" t="str">
        <f>IFERROR(IF(VALUE(tbl_data[[#This Row],[Engine_CC]])=0,"",VALUE(tbl_data[[#This Row],[Price_USD]])/VALUE(tbl_data[[#This Row],[Engine_CC]])),"")</f>
        <v/>
      </c>
      <c r="R651" s="1" t="str">
        <f>TRIM(tbl_data[[#This Row],[Brand]])</f>
        <v>Toyota</v>
      </c>
      <c r="S651" s="1">
        <f>_xlfn.NUMBERVALUE(tbl_data[[#This Row],[Price_USD]],".",",")</f>
        <v>78654.67</v>
      </c>
    </row>
    <row r="652" spans="1:19" x14ac:dyDescent="0.3">
      <c r="A652">
        <v>651</v>
      </c>
      <c r="B652" t="s">
        <v>92</v>
      </c>
      <c r="C652">
        <v>2023</v>
      </c>
      <c r="D652">
        <v>33228</v>
      </c>
      <c r="E652" t="s">
        <v>44</v>
      </c>
      <c r="F652" t="s">
        <v>14</v>
      </c>
      <c r="G652" t="s">
        <v>15</v>
      </c>
      <c r="H652">
        <v>2631</v>
      </c>
      <c r="I652" t="s">
        <v>1883</v>
      </c>
      <c r="J652" t="s">
        <v>1884</v>
      </c>
      <c r="K652">
        <v>6</v>
      </c>
      <c r="L652" t="s">
        <v>1885</v>
      </c>
      <c r="M652" s="1" t="str">
        <f>TEXT(DATE(tbl_data[[#This Row],[Model_Year]],1,1),"yyyy")</f>
        <v>2023</v>
      </c>
      <c r="N652" s="1" t="str">
        <f>IF(tbl_data[[#This Row],[Kilometers_Driven]]&lt;50000,"&lt;50k",
IF(tbl_data[[#This Row],[Kilometers_Driven]]&lt;100000,"50k-100k",
IF(tbl_data[[#This Row],[Kilometers_Driven]]&lt;150000,"100k-150k","150k+")))</f>
        <v>&lt;50k</v>
      </c>
      <c r="O652" s="1" t="str">
        <f>IF(tbl_data[[#This Row],[Price_USD]]&gt;=87089,"High",
IF(tbl_data[[#This Row],[Price_USD]]&gt;=56807,"Mid","Low"))</f>
        <v>High</v>
      </c>
      <c r="P652" s="1" t="str">
        <f>IF(tbl_data[[#This Row],[Transmission]]="Automatic","Auto","Manual")</f>
        <v>Manual</v>
      </c>
      <c r="Q652" s="1" t="str">
        <f>IFERROR(IF(VALUE(tbl_data[[#This Row],[Engine_CC]])=0,"",VALUE(tbl_data[[#This Row],[Price_USD]])/VALUE(tbl_data[[#This Row],[Engine_CC]])),"")</f>
        <v/>
      </c>
      <c r="R652" s="1" t="str">
        <f>TRIM(tbl_data[[#This Row],[Brand]])</f>
        <v>Toyota</v>
      </c>
      <c r="S652" s="1">
        <f>_xlfn.NUMBERVALUE(tbl_data[[#This Row],[Price_USD]],".",",")</f>
        <v>100113.82</v>
      </c>
    </row>
    <row r="653" spans="1:19" x14ac:dyDescent="0.3">
      <c r="A653">
        <v>652</v>
      </c>
      <c r="B653" t="s">
        <v>76</v>
      </c>
      <c r="C653">
        <v>2023</v>
      </c>
      <c r="D653">
        <v>170593</v>
      </c>
      <c r="E653" t="s">
        <v>31</v>
      </c>
      <c r="F653" t="s">
        <v>14</v>
      </c>
      <c r="G653" t="s">
        <v>26</v>
      </c>
      <c r="H653">
        <v>2655</v>
      </c>
      <c r="I653" t="s">
        <v>1886</v>
      </c>
      <c r="J653" t="s">
        <v>1887</v>
      </c>
      <c r="K653">
        <v>2</v>
      </c>
      <c r="L653" t="s">
        <v>1888</v>
      </c>
      <c r="M653" s="1" t="str">
        <f>TEXT(DATE(tbl_data[[#This Row],[Model_Year]],1,1),"yyyy")</f>
        <v>2023</v>
      </c>
      <c r="N653" s="1" t="str">
        <f>IF(tbl_data[[#This Row],[Kilometers_Driven]]&lt;50000,"&lt;50k",
IF(tbl_data[[#This Row],[Kilometers_Driven]]&lt;100000,"50k-100k",
IF(tbl_data[[#This Row],[Kilometers_Driven]]&lt;150000,"100k-150k","150k+")))</f>
        <v>150k+</v>
      </c>
      <c r="O653" s="1" t="str">
        <f>IF(tbl_data[[#This Row],[Price_USD]]&gt;=87089,"High",
IF(tbl_data[[#This Row],[Price_USD]]&gt;=56807,"Mid","Low"))</f>
        <v>High</v>
      </c>
      <c r="P653" s="1" t="str">
        <f>IF(tbl_data[[#This Row],[Transmission]]="Automatic","Auto","Manual")</f>
        <v>Manual</v>
      </c>
      <c r="Q653" s="1" t="str">
        <f>IFERROR(IF(VALUE(tbl_data[[#This Row],[Engine_CC]])=0,"",VALUE(tbl_data[[#This Row],[Price_USD]])/VALUE(tbl_data[[#This Row],[Engine_CC]])),"")</f>
        <v/>
      </c>
      <c r="R653" s="1" t="str">
        <f>TRIM(tbl_data[[#This Row],[Brand]])</f>
        <v>Honda</v>
      </c>
      <c r="S653" s="1">
        <f>_xlfn.NUMBERVALUE(tbl_data[[#This Row],[Price_USD]],".",",")</f>
        <v>8765.02</v>
      </c>
    </row>
    <row r="654" spans="1:19" x14ac:dyDescent="0.3">
      <c r="A654">
        <v>653</v>
      </c>
      <c r="B654" t="s">
        <v>102</v>
      </c>
      <c r="C654">
        <v>2018</v>
      </c>
      <c r="D654">
        <v>127788</v>
      </c>
      <c r="E654" t="s">
        <v>31</v>
      </c>
      <c r="F654" t="s">
        <v>14</v>
      </c>
      <c r="G654" t="s">
        <v>32</v>
      </c>
      <c r="H654">
        <v>1974</v>
      </c>
      <c r="I654" t="s">
        <v>1889</v>
      </c>
      <c r="J654" t="s">
        <v>1890</v>
      </c>
      <c r="K654">
        <v>5</v>
      </c>
      <c r="L654" t="s">
        <v>1891</v>
      </c>
      <c r="M654" s="1" t="str">
        <f>TEXT(DATE(tbl_data[[#This Row],[Model_Year]],1,1),"yyyy")</f>
        <v>2018</v>
      </c>
      <c r="N654" s="1" t="str">
        <f>IF(tbl_data[[#This Row],[Kilometers_Driven]]&lt;50000,"&lt;50k",
IF(tbl_data[[#This Row],[Kilometers_Driven]]&lt;100000,"50k-100k",
IF(tbl_data[[#This Row],[Kilometers_Driven]]&lt;150000,"100k-150k","150k+")))</f>
        <v>100k-150k</v>
      </c>
      <c r="O654" s="1" t="str">
        <f>IF(tbl_data[[#This Row],[Price_USD]]&gt;=87089,"High",
IF(tbl_data[[#This Row],[Price_USD]]&gt;=56807,"Mid","Low"))</f>
        <v>High</v>
      </c>
      <c r="P654" s="1" t="str">
        <f>IF(tbl_data[[#This Row],[Transmission]]="Automatic","Auto","Manual")</f>
        <v>Manual</v>
      </c>
      <c r="Q654" s="1" t="str">
        <f>IFERROR(IF(VALUE(tbl_data[[#This Row],[Engine_CC]])=0,"",VALUE(tbl_data[[#This Row],[Price_USD]])/VALUE(tbl_data[[#This Row],[Engine_CC]])),"")</f>
        <v/>
      </c>
      <c r="R654" s="1" t="str">
        <f>TRIM(tbl_data[[#This Row],[Brand]])</f>
        <v>Nissan</v>
      </c>
      <c r="S654" s="1">
        <f>_xlfn.NUMBERVALUE(tbl_data[[#This Row],[Price_USD]],".",",")</f>
        <v>102735.35</v>
      </c>
    </row>
    <row r="655" spans="1:19" x14ac:dyDescent="0.3">
      <c r="A655">
        <v>654</v>
      </c>
      <c r="B655" t="s">
        <v>43</v>
      </c>
      <c r="C655">
        <v>2008</v>
      </c>
      <c r="D655">
        <v>102239</v>
      </c>
      <c r="E655" t="s">
        <v>13</v>
      </c>
      <c r="F655" t="s">
        <v>21</v>
      </c>
      <c r="G655" t="s">
        <v>26</v>
      </c>
      <c r="H655">
        <v>4540</v>
      </c>
      <c r="I655" t="s">
        <v>1892</v>
      </c>
      <c r="J655" t="s">
        <v>1893</v>
      </c>
      <c r="K655">
        <v>5</v>
      </c>
      <c r="L655" t="s">
        <v>1894</v>
      </c>
      <c r="M655" s="1" t="str">
        <f>TEXT(DATE(tbl_data[[#This Row],[Model_Year]],1,1),"yyyy")</f>
        <v>2008</v>
      </c>
      <c r="N655" s="1" t="str">
        <f>IF(tbl_data[[#This Row],[Kilometers_Driven]]&lt;50000,"&lt;50k",
IF(tbl_data[[#This Row],[Kilometers_Driven]]&lt;100000,"50k-100k",
IF(tbl_data[[#This Row],[Kilometers_Driven]]&lt;150000,"100k-150k","150k+")))</f>
        <v>100k-150k</v>
      </c>
      <c r="O655" s="1" t="str">
        <f>IF(tbl_data[[#This Row],[Price_USD]]&gt;=87089,"High",
IF(tbl_data[[#This Row],[Price_USD]]&gt;=56807,"Mid","Low"))</f>
        <v>High</v>
      </c>
      <c r="P655" s="1" t="str">
        <f>IF(tbl_data[[#This Row],[Transmission]]="Automatic","Auto","Manual")</f>
        <v>Auto</v>
      </c>
      <c r="Q655" s="1" t="str">
        <f>IFERROR(IF(VALUE(tbl_data[[#This Row],[Engine_CC]])=0,"",VALUE(tbl_data[[#This Row],[Price_USD]])/VALUE(tbl_data[[#This Row],[Engine_CC]])),"")</f>
        <v/>
      </c>
      <c r="R655" s="1" t="str">
        <f>TRIM(tbl_data[[#This Row],[Brand]])</f>
        <v>Ford</v>
      </c>
      <c r="S655" s="1">
        <f>_xlfn.NUMBERVALUE(tbl_data[[#This Row],[Price_USD]],".",",")</f>
        <v>67162.91</v>
      </c>
    </row>
    <row r="656" spans="1:19" x14ac:dyDescent="0.3">
      <c r="A656">
        <v>655</v>
      </c>
      <c r="B656" t="s">
        <v>92</v>
      </c>
      <c r="C656">
        <v>2017</v>
      </c>
      <c r="D656">
        <v>31928</v>
      </c>
      <c r="E656" t="s">
        <v>44</v>
      </c>
      <c r="F656" t="s">
        <v>14</v>
      </c>
      <c r="G656" t="s">
        <v>26</v>
      </c>
      <c r="H656">
        <v>4077</v>
      </c>
      <c r="I656" t="s">
        <v>1895</v>
      </c>
      <c r="J656" t="s">
        <v>1529</v>
      </c>
      <c r="K656">
        <v>7</v>
      </c>
      <c r="L656" t="s">
        <v>1896</v>
      </c>
      <c r="M656" s="1" t="str">
        <f>TEXT(DATE(tbl_data[[#This Row],[Model_Year]],1,1),"yyyy")</f>
        <v>2017</v>
      </c>
      <c r="N656" s="1" t="str">
        <f>IF(tbl_data[[#This Row],[Kilometers_Driven]]&lt;50000,"&lt;50k",
IF(tbl_data[[#This Row],[Kilometers_Driven]]&lt;100000,"50k-100k",
IF(tbl_data[[#This Row],[Kilometers_Driven]]&lt;150000,"100k-150k","150k+")))</f>
        <v>&lt;50k</v>
      </c>
      <c r="O656" s="1" t="str">
        <f>IF(tbl_data[[#This Row],[Price_USD]]&gt;=87089,"High",
IF(tbl_data[[#This Row],[Price_USD]]&gt;=56807,"Mid","Low"))</f>
        <v>High</v>
      </c>
      <c r="P656" s="1" t="str">
        <f>IF(tbl_data[[#This Row],[Transmission]]="Automatic","Auto","Manual")</f>
        <v>Manual</v>
      </c>
      <c r="Q656" s="1" t="str">
        <f>IFERROR(IF(VALUE(tbl_data[[#This Row],[Engine_CC]])=0,"",VALUE(tbl_data[[#This Row],[Price_USD]])/VALUE(tbl_data[[#This Row],[Engine_CC]])),"")</f>
        <v/>
      </c>
      <c r="R656" s="1" t="str">
        <f>TRIM(tbl_data[[#This Row],[Brand]])</f>
        <v>Toyota</v>
      </c>
      <c r="S656" s="1">
        <f>_xlfn.NUMBERVALUE(tbl_data[[#This Row],[Price_USD]],".",",")</f>
        <v>26085.73</v>
      </c>
    </row>
    <row r="657" spans="1:19" x14ac:dyDescent="0.3">
      <c r="A657">
        <v>656</v>
      </c>
      <c r="B657" t="s">
        <v>30</v>
      </c>
      <c r="C657">
        <v>2012</v>
      </c>
      <c r="D657">
        <v>23322</v>
      </c>
      <c r="E657" t="s">
        <v>31</v>
      </c>
      <c r="F657" t="s">
        <v>21</v>
      </c>
      <c r="G657" t="s">
        <v>26</v>
      </c>
      <c r="H657">
        <v>978</v>
      </c>
      <c r="I657" t="s">
        <v>1897</v>
      </c>
      <c r="J657" t="s">
        <v>1898</v>
      </c>
      <c r="K657">
        <v>5</v>
      </c>
      <c r="L657" t="s">
        <v>1899</v>
      </c>
      <c r="M657" s="1" t="str">
        <f>TEXT(DATE(tbl_data[[#This Row],[Model_Year]],1,1),"yyyy")</f>
        <v>2012</v>
      </c>
      <c r="N657" s="1" t="str">
        <f>IF(tbl_data[[#This Row],[Kilometers_Driven]]&lt;50000,"&lt;50k",
IF(tbl_data[[#This Row],[Kilometers_Driven]]&lt;100000,"50k-100k",
IF(tbl_data[[#This Row],[Kilometers_Driven]]&lt;150000,"100k-150k","150k+")))</f>
        <v>&lt;50k</v>
      </c>
      <c r="O657" s="1" t="str">
        <f>IF(tbl_data[[#This Row],[Price_USD]]&gt;=87089,"High",
IF(tbl_data[[#This Row],[Price_USD]]&gt;=56807,"Mid","Low"))</f>
        <v>High</v>
      </c>
      <c r="P657" s="1" t="str">
        <f>IF(tbl_data[[#This Row],[Transmission]]="Automatic","Auto","Manual")</f>
        <v>Auto</v>
      </c>
      <c r="Q657" s="1" t="str">
        <f>IFERROR(IF(VALUE(tbl_data[[#This Row],[Engine_CC]])=0,"",VALUE(tbl_data[[#This Row],[Price_USD]])/VALUE(tbl_data[[#This Row],[Engine_CC]])),"")</f>
        <v/>
      </c>
      <c r="R657" s="1" t="str">
        <f>TRIM(tbl_data[[#This Row],[Brand]])</f>
        <v>Mercedes</v>
      </c>
      <c r="S657" s="1">
        <f>_xlfn.NUMBERVALUE(tbl_data[[#This Row],[Price_USD]],".",",")</f>
        <v>40118.86</v>
      </c>
    </row>
    <row r="658" spans="1:19" x14ac:dyDescent="0.3">
      <c r="A658">
        <v>657</v>
      </c>
      <c r="B658" t="s">
        <v>12</v>
      </c>
      <c r="C658">
        <v>2023</v>
      </c>
      <c r="D658">
        <v>193786</v>
      </c>
      <c r="E658" t="s">
        <v>44</v>
      </c>
      <c r="F658" t="s">
        <v>14</v>
      </c>
      <c r="G658" t="s">
        <v>26</v>
      </c>
      <c r="H658">
        <v>3044</v>
      </c>
      <c r="I658" t="s">
        <v>1900</v>
      </c>
      <c r="J658" t="s">
        <v>1901</v>
      </c>
      <c r="K658">
        <v>7</v>
      </c>
      <c r="L658" t="s">
        <v>1902</v>
      </c>
      <c r="M658" s="1" t="str">
        <f>TEXT(DATE(tbl_data[[#This Row],[Model_Year]],1,1),"yyyy")</f>
        <v>2023</v>
      </c>
      <c r="N658" s="1" t="str">
        <f>IF(tbl_data[[#This Row],[Kilometers_Driven]]&lt;50000,"&lt;50k",
IF(tbl_data[[#This Row],[Kilometers_Driven]]&lt;100000,"50k-100k",
IF(tbl_data[[#This Row],[Kilometers_Driven]]&lt;150000,"100k-150k","150k+")))</f>
        <v>150k+</v>
      </c>
      <c r="O658" s="1" t="str">
        <f>IF(tbl_data[[#This Row],[Price_USD]]&gt;=87089,"High",
IF(tbl_data[[#This Row],[Price_USD]]&gt;=56807,"Mid","Low"))</f>
        <v>High</v>
      </c>
      <c r="P658" s="1" t="str">
        <f>IF(tbl_data[[#This Row],[Transmission]]="Automatic","Auto","Manual")</f>
        <v>Manual</v>
      </c>
      <c r="Q658" s="1" t="str">
        <f>IFERROR(IF(VALUE(tbl_data[[#This Row],[Engine_CC]])=0,"",VALUE(tbl_data[[#This Row],[Price_USD]])/VALUE(tbl_data[[#This Row],[Engine_CC]])),"")</f>
        <v/>
      </c>
      <c r="R658" s="1" t="str">
        <f>TRIM(tbl_data[[#This Row],[Brand]])</f>
        <v>Audi</v>
      </c>
      <c r="S658" s="1">
        <f>_xlfn.NUMBERVALUE(tbl_data[[#This Row],[Price_USD]],".",",")</f>
        <v>35985.760000000002</v>
      </c>
    </row>
    <row r="659" spans="1:19" x14ac:dyDescent="0.3">
      <c r="A659">
        <v>658</v>
      </c>
      <c r="B659" t="s">
        <v>69</v>
      </c>
      <c r="C659">
        <v>2016</v>
      </c>
      <c r="D659">
        <v>92896</v>
      </c>
      <c r="E659" t="s">
        <v>44</v>
      </c>
      <c r="F659" t="s">
        <v>14</v>
      </c>
      <c r="G659" t="s">
        <v>15</v>
      </c>
      <c r="H659">
        <v>4886</v>
      </c>
      <c r="I659" t="s">
        <v>1903</v>
      </c>
      <c r="J659" t="s">
        <v>1143</v>
      </c>
      <c r="K659">
        <v>2</v>
      </c>
      <c r="L659" t="s">
        <v>1904</v>
      </c>
      <c r="M659" s="1" t="str">
        <f>TEXT(DATE(tbl_data[[#This Row],[Model_Year]],1,1),"yyyy")</f>
        <v>2016</v>
      </c>
      <c r="N659" s="1" t="str">
        <f>IF(tbl_data[[#This Row],[Kilometers_Driven]]&lt;50000,"&lt;50k",
IF(tbl_data[[#This Row],[Kilometers_Driven]]&lt;100000,"50k-100k",
IF(tbl_data[[#This Row],[Kilometers_Driven]]&lt;150000,"100k-150k","150k+")))</f>
        <v>50k-100k</v>
      </c>
      <c r="O659" s="1" t="str">
        <f>IF(tbl_data[[#This Row],[Price_USD]]&gt;=87089,"High",
IF(tbl_data[[#This Row],[Price_USD]]&gt;=56807,"Mid","Low"))</f>
        <v>High</v>
      </c>
      <c r="P659" s="1" t="str">
        <f>IF(tbl_data[[#This Row],[Transmission]]="Automatic","Auto","Manual")</f>
        <v>Manual</v>
      </c>
      <c r="Q659" s="1" t="str">
        <f>IFERROR(IF(VALUE(tbl_data[[#This Row],[Engine_CC]])=0,"",VALUE(tbl_data[[#This Row],[Price_USD]])/VALUE(tbl_data[[#This Row],[Engine_CC]])),"")</f>
        <v/>
      </c>
      <c r="R659" s="1" t="str">
        <f>TRIM(tbl_data[[#This Row],[Brand]])</f>
        <v>Hyundai</v>
      </c>
      <c r="S659" s="1">
        <f>_xlfn.NUMBERVALUE(tbl_data[[#This Row],[Price_USD]],".",",")</f>
        <v>65110.51</v>
      </c>
    </row>
    <row r="660" spans="1:19" x14ac:dyDescent="0.3">
      <c r="A660">
        <v>659</v>
      </c>
      <c r="B660" t="s">
        <v>92</v>
      </c>
      <c r="C660">
        <v>2022</v>
      </c>
      <c r="D660">
        <v>67292</v>
      </c>
      <c r="E660" t="s">
        <v>20</v>
      </c>
      <c r="F660" t="s">
        <v>21</v>
      </c>
      <c r="G660" t="s">
        <v>32</v>
      </c>
      <c r="H660">
        <v>1534</v>
      </c>
      <c r="I660" t="s">
        <v>1905</v>
      </c>
      <c r="J660" t="s">
        <v>1906</v>
      </c>
      <c r="K660">
        <v>2</v>
      </c>
      <c r="L660" t="s">
        <v>1907</v>
      </c>
      <c r="M660" s="1" t="str">
        <f>TEXT(DATE(tbl_data[[#This Row],[Model_Year]],1,1),"yyyy")</f>
        <v>2022</v>
      </c>
      <c r="N660" s="1" t="str">
        <f>IF(tbl_data[[#This Row],[Kilometers_Driven]]&lt;50000,"&lt;50k",
IF(tbl_data[[#This Row],[Kilometers_Driven]]&lt;100000,"50k-100k",
IF(tbl_data[[#This Row],[Kilometers_Driven]]&lt;150000,"100k-150k","150k+")))</f>
        <v>50k-100k</v>
      </c>
      <c r="O660" s="1" t="str">
        <f>IF(tbl_data[[#This Row],[Price_USD]]&gt;=87089,"High",
IF(tbl_data[[#This Row],[Price_USD]]&gt;=56807,"Mid","Low"))</f>
        <v>High</v>
      </c>
      <c r="P660" s="1" t="str">
        <f>IF(tbl_data[[#This Row],[Transmission]]="Automatic","Auto","Manual")</f>
        <v>Auto</v>
      </c>
      <c r="Q660" s="1" t="str">
        <f>IFERROR(IF(VALUE(tbl_data[[#This Row],[Engine_CC]])=0,"",VALUE(tbl_data[[#This Row],[Price_USD]])/VALUE(tbl_data[[#This Row],[Engine_CC]])),"")</f>
        <v/>
      </c>
      <c r="R660" s="1" t="str">
        <f>TRIM(tbl_data[[#This Row],[Brand]])</f>
        <v>Toyota</v>
      </c>
      <c r="S660" s="1">
        <f>_xlfn.NUMBERVALUE(tbl_data[[#This Row],[Price_USD]],".",",")</f>
        <v>9047.2199999999993</v>
      </c>
    </row>
    <row r="661" spans="1:19" x14ac:dyDescent="0.3">
      <c r="A661">
        <v>660</v>
      </c>
      <c r="B661" t="s">
        <v>30</v>
      </c>
      <c r="C661">
        <v>2010</v>
      </c>
      <c r="D661">
        <v>34055</v>
      </c>
      <c r="E661" t="s">
        <v>13</v>
      </c>
      <c r="F661" t="s">
        <v>21</v>
      </c>
      <c r="G661" t="s">
        <v>26</v>
      </c>
      <c r="H661">
        <v>1598</v>
      </c>
      <c r="I661" t="s">
        <v>1908</v>
      </c>
      <c r="J661" t="s">
        <v>1909</v>
      </c>
      <c r="K661">
        <v>6</v>
      </c>
      <c r="L661" t="s">
        <v>1910</v>
      </c>
      <c r="M661" s="1" t="str">
        <f>TEXT(DATE(tbl_data[[#This Row],[Model_Year]],1,1),"yyyy")</f>
        <v>2010</v>
      </c>
      <c r="N661" s="1" t="str">
        <f>IF(tbl_data[[#This Row],[Kilometers_Driven]]&lt;50000,"&lt;50k",
IF(tbl_data[[#This Row],[Kilometers_Driven]]&lt;100000,"50k-100k",
IF(tbl_data[[#This Row],[Kilometers_Driven]]&lt;150000,"100k-150k","150k+")))</f>
        <v>&lt;50k</v>
      </c>
      <c r="O661" s="1" t="str">
        <f>IF(tbl_data[[#This Row],[Price_USD]]&gt;=87089,"High",
IF(tbl_data[[#This Row],[Price_USD]]&gt;=56807,"Mid","Low"))</f>
        <v>High</v>
      </c>
      <c r="P661" s="1" t="str">
        <f>IF(tbl_data[[#This Row],[Transmission]]="Automatic","Auto","Manual")</f>
        <v>Auto</v>
      </c>
      <c r="Q661" s="1" t="str">
        <f>IFERROR(IF(VALUE(tbl_data[[#This Row],[Engine_CC]])=0,"",VALUE(tbl_data[[#This Row],[Price_USD]])/VALUE(tbl_data[[#This Row],[Engine_CC]])),"")</f>
        <v/>
      </c>
      <c r="R661" s="1" t="str">
        <f>TRIM(tbl_data[[#This Row],[Brand]])</f>
        <v>Mercedes</v>
      </c>
      <c r="S661" s="1">
        <f>_xlfn.NUMBERVALUE(tbl_data[[#This Row],[Price_USD]],".",",")</f>
        <v>21548.73</v>
      </c>
    </row>
    <row r="662" spans="1:19" x14ac:dyDescent="0.3">
      <c r="A662">
        <v>661</v>
      </c>
      <c r="B662" t="s">
        <v>30</v>
      </c>
      <c r="C662">
        <v>2022</v>
      </c>
      <c r="D662">
        <v>47891</v>
      </c>
      <c r="E662" t="s">
        <v>13</v>
      </c>
      <c r="F662" t="s">
        <v>21</v>
      </c>
      <c r="G662" t="s">
        <v>32</v>
      </c>
      <c r="H662">
        <v>1587</v>
      </c>
      <c r="I662" t="s">
        <v>1911</v>
      </c>
      <c r="J662" t="s">
        <v>877</v>
      </c>
      <c r="K662">
        <v>7</v>
      </c>
      <c r="L662" t="s">
        <v>1912</v>
      </c>
      <c r="M662" s="1" t="str">
        <f>TEXT(DATE(tbl_data[[#This Row],[Model_Year]],1,1),"yyyy")</f>
        <v>2022</v>
      </c>
      <c r="N662" s="1" t="str">
        <f>IF(tbl_data[[#This Row],[Kilometers_Driven]]&lt;50000,"&lt;50k",
IF(tbl_data[[#This Row],[Kilometers_Driven]]&lt;100000,"50k-100k",
IF(tbl_data[[#This Row],[Kilometers_Driven]]&lt;150000,"100k-150k","150k+")))</f>
        <v>&lt;50k</v>
      </c>
      <c r="O662" s="1" t="str">
        <f>IF(tbl_data[[#This Row],[Price_USD]]&gt;=87089,"High",
IF(tbl_data[[#This Row],[Price_USD]]&gt;=56807,"Mid","Low"))</f>
        <v>High</v>
      </c>
      <c r="P662" s="1" t="str">
        <f>IF(tbl_data[[#This Row],[Transmission]]="Automatic","Auto","Manual")</f>
        <v>Auto</v>
      </c>
      <c r="Q662" s="1" t="str">
        <f>IFERROR(IF(VALUE(tbl_data[[#This Row],[Engine_CC]])=0,"",VALUE(tbl_data[[#This Row],[Price_USD]])/VALUE(tbl_data[[#This Row],[Engine_CC]])),"")</f>
        <v/>
      </c>
      <c r="R662" s="1" t="str">
        <f>TRIM(tbl_data[[#This Row],[Brand]])</f>
        <v>Mercedes</v>
      </c>
      <c r="S662" s="1">
        <f>_xlfn.NUMBERVALUE(tbl_data[[#This Row],[Price_USD]],".",",")</f>
        <v>98085.09</v>
      </c>
    </row>
    <row r="663" spans="1:19" x14ac:dyDescent="0.3">
      <c r="A663">
        <v>662</v>
      </c>
      <c r="B663" t="s">
        <v>69</v>
      </c>
      <c r="C663">
        <v>2023</v>
      </c>
      <c r="D663">
        <v>86912</v>
      </c>
      <c r="E663" t="s">
        <v>13</v>
      </c>
      <c r="F663" t="s">
        <v>21</v>
      </c>
      <c r="G663" t="s">
        <v>32</v>
      </c>
      <c r="H663">
        <v>3595</v>
      </c>
      <c r="I663" t="s">
        <v>1913</v>
      </c>
      <c r="J663" t="s">
        <v>1914</v>
      </c>
      <c r="K663">
        <v>7</v>
      </c>
      <c r="L663" t="s">
        <v>1915</v>
      </c>
      <c r="M663" s="1" t="str">
        <f>TEXT(DATE(tbl_data[[#This Row],[Model_Year]],1,1),"yyyy")</f>
        <v>2023</v>
      </c>
      <c r="N663" s="1" t="str">
        <f>IF(tbl_data[[#This Row],[Kilometers_Driven]]&lt;50000,"&lt;50k",
IF(tbl_data[[#This Row],[Kilometers_Driven]]&lt;100000,"50k-100k",
IF(tbl_data[[#This Row],[Kilometers_Driven]]&lt;150000,"100k-150k","150k+")))</f>
        <v>50k-100k</v>
      </c>
      <c r="O663" s="1" t="str">
        <f>IF(tbl_data[[#This Row],[Price_USD]]&gt;=87089,"High",
IF(tbl_data[[#This Row],[Price_USD]]&gt;=56807,"Mid","Low"))</f>
        <v>High</v>
      </c>
      <c r="P663" s="1" t="str">
        <f>IF(tbl_data[[#This Row],[Transmission]]="Automatic","Auto","Manual")</f>
        <v>Auto</v>
      </c>
      <c r="Q663" s="1" t="str">
        <f>IFERROR(IF(VALUE(tbl_data[[#This Row],[Engine_CC]])=0,"",VALUE(tbl_data[[#This Row],[Price_USD]])/VALUE(tbl_data[[#This Row],[Engine_CC]])),"")</f>
        <v/>
      </c>
      <c r="R663" s="1" t="str">
        <f>TRIM(tbl_data[[#This Row],[Brand]])</f>
        <v>Hyundai</v>
      </c>
      <c r="S663" s="1">
        <f>_xlfn.NUMBERVALUE(tbl_data[[#This Row],[Price_USD]],".",",")</f>
        <v>18514.669999999998</v>
      </c>
    </row>
    <row r="664" spans="1:19" x14ac:dyDescent="0.3">
      <c r="A664">
        <v>663</v>
      </c>
      <c r="B664" t="s">
        <v>43</v>
      </c>
      <c r="C664">
        <v>2009</v>
      </c>
      <c r="D664">
        <v>142660</v>
      </c>
      <c r="E664" t="s">
        <v>20</v>
      </c>
      <c r="F664" t="s">
        <v>21</v>
      </c>
      <c r="G664" t="s">
        <v>32</v>
      </c>
      <c r="H664">
        <v>3884</v>
      </c>
      <c r="I664" t="s">
        <v>1916</v>
      </c>
      <c r="J664" t="s">
        <v>1917</v>
      </c>
      <c r="K664">
        <v>4</v>
      </c>
      <c r="L664" t="s">
        <v>1918</v>
      </c>
      <c r="M664" s="1" t="str">
        <f>TEXT(DATE(tbl_data[[#This Row],[Model_Year]],1,1),"yyyy")</f>
        <v>2009</v>
      </c>
      <c r="N664" s="1" t="str">
        <f>IF(tbl_data[[#This Row],[Kilometers_Driven]]&lt;50000,"&lt;50k",
IF(tbl_data[[#This Row],[Kilometers_Driven]]&lt;100000,"50k-100k",
IF(tbl_data[[#This Row],[Kilometers_Driven]]&lt;150000,"100k-150k","150k+")))</f>
        <v>100k-150k</v>
      </c>
      <c r="O664" s="1" t="str">
        <f>IF(tbl_data[[#This Row],[Price_USD]]&gt;=87089,"High",
IF(tbl_data[[#This Row],[Price_USD]]&gt;=56807,"Mid","Low"))</f>
        <v>High</v>
      </c>
      <c r="P664" s="1" t="str">
        <f>IF(tbl_data[[#This Row],[Transmission]]="Automatic","Auto","Manual")</f>
        <v>Auto</v>
      </c>
      <c r="Q664" s="1" t="str">
        <f>IFERROR(IF(VALUE(tbl_data[[#This Row],[Engine_CC]])=0,"",VALUE(tbl_data[[#This Row],[Price_USD]])/VALUE(tbl_data[[#This Row],[Engine_CC]])),"")</f>
        <v/>
      </c>
      <c r="R664" s="1" t="str">
        <f>TRIM(tbl_data[[#This Row],[Brand]])</f>
        <v>Ford</v>
      </c>
      <c r="S664" s="1">
        <f>_xlfn.NUMBERVALUE(tbl_data[[#This Row],[Price_USD]],".",",")</f>
        <v>30307.360000000001</v>
      </c>
    </row>
    <row r="665" spans="1:19" x14ac:dyDescent="0.3">
      <c r="A665">
        <v>664</v>
      </c>
      <c r="B665" t="s">
        <v>30</v>
      </c>
      <c r="C665">
        <v>2013</v>
      </c>
      <c r="D665">
        <v>95536</v>
      </c>
      <c r="E665" t="s">
        <v>20</v>
      </c>
      <c r="F665" t="s">
        <v>14</v>
      </c>
      <c r="G665" t="s">
        <v>26</v>
      </c>
      <c r="H665">
        <v>3718</v>
      </c>
      <c r="I665" t="s">
        <v>1919</v>
      </c>
      <c r="J665" t="s">
        <v>1114</v>
      </c>
      <c r="K665">
        <v>4</v>
      </c>
      <c r="L665" t="s">
        <v>1920</v>
      </c>
      <c r="M665" s="1" t="str">
        <f>TEXT(DATE(tbl_data[[#This Row],[Model_Year]],1,1),"yyyy")</f>
        <v>2013</v>
      </c>
      <c r="N665" s="1" t="str">
        <f>IF(tbl_data[[#This Row],[Kilometers_Driven]]&lt;50000,"&lt;50k",
IF(tbl_data[[#This Row],[Kilometers_Driven]]&lt;100000,"50k-100k",
IF(tbl_data[[#This Row],[Kilometers_Driven]]&lt;150000,"100k-150k","150k+")))</f>
        <v>50k-100k</v>
      </c>
      <c r="O665" s="1" t="str">
        <f>IF(tbl_data[[#This Row],[Price_USD]]&gt;=87089,"High",
IF(tbl_data[[#This Row],[Price_USD]]&gt;=56807,"Mid","Low"))</f>
        <v>High</v>
      </c>
      <c r="P665" s="1" t="str">
        <f>IF(tbl_data[[#This Row],[Transmission]]="Automatic","Auto","Manual")</f>
        <v>Manual</v>
      </c>
      <c r="Q665" s="1" t="str">
        <f>IFERROR(IF(VALUE(tbl_data[[#This Row],[Engine_CC]])=0,"",VALUE(tbl_data[[#This Row],[Price_USD]])/VALUE(tbl_data[[#This Row],[Engine_CC]])),"")</f>
        <v/>
      </c>
      <c r="R665" s="1" t="str">
        <f>TRIM(tbl_data[[#This Row],[Brand]])</f>
        <v>Mercedes</v>
      </c>
      <c r="S665" s="1">
        <f>_xlfn.NUMBERVALUE(tbl_data[[#This Row],[Price_USD]],".",",")</f>
        <v>56044.36</v>
      </c>
    </row>
    <row r="666" spans="1:19" x14ac:dyDescent="0.3">
      <c r="A666">
        <v>665</v>
      </c>
      <c r="B666" t="s">
        <v>12</v>
      </c>
      <c r="C666">
        <v>2007</v>
      </c>
      <c r="D666">
        <v>11304</v>
      </c>
      <c r="E666" t="s">
        <v>13</v>
      </c>
      <c r="F666" t="s">
        <v>14</v>
      </c>
      <c r="G666" t="s">
        <v>15</v>
      </c>
      <c r="H666">
        <v>1531</v>
      </c>
      <c r="I666" t="s">
        <v>572</v>
      </c>
      <c r="J666" t="s">
        <v>1520</v>
      </c>
      <c r="K666">
        <v>6</v>
      </c>
      <c r="L666" t="s">
        <v>1921</v>
      </c>
      <c r="M666" s="1" t="str">
        <f>TEXT(DATE(tbl_data[[#This Row],[Model_Year]],1,1),"yyyy")</f>
        <v>2007</v>
      </c>
      <c r="N666" s="1" t="str">
        <f>IF(tbl_data[[#This Row],[Kilometers_Driven]]&lt;50000,"&lt;50k",
IF(tbl_data[[#This Row],[Kilometers_Driven]]&lt;100000,"50k-100k",
IF(tbl_data[[#This Row],[Kilometers_Driven]]&lt;150000,"100k-150k","150k+")))</f>
        <v>&lt;50k</v>
      </c>
      <c r="O666" s="1" t="str">
        <f>IF(tbl_data[[#This Row],[Price_USD]]&gt;=87089,"High",
IF(tbl_data[[#This Row],[Price_USD]]&gt;=56807,"Mid","Low"))</f>
        <v>High</v>
      </c>
      <c r="P666" s="1" t="str">
        <f>IF(tbl_data[[#This Row],[Transmission]]="Automatic","Auto","Manual")</f>
        <v>Manual</v>
      </c>
      <c r="Q666" s="1" t="str">
        <f>IFERROR(IF(VALUE(tbl_data[[#This Row],[Engine_CC]])=0,"",VALUE(tbl_data[[#This Row],[Price_USD]])/VALUE(tbl_data[[#This Row],[Engine_CC]])),"")</f>
        <v/>
      </c>
      <c r="R666" s="1" t="str">
        <f>TRIM(tbl_data[[#This Row],[Brand]])</f>
        <v>Audi</v>
      </c>
      <c r="S666" s="1">
        <f>_xlfn.NUMBERVALUE(tbl_data[[#This Row],[Price_USD]],".",",")</f>
        <v>63503.14</v>
      </c>
    </row>
    <row r="667" spans="1:19" x14ac:dyDescent="0.3">
      <c r="A667">
        <v>666</v>
      </c>
      <c r="B667" t="s">
        <v>30</v>
      </c>
      <c r="C667">
        <v>2014</v>
      </c>
      <c r="D667">
        <v>12345</v>
      </c>
      <c r="E667" t="s">
        <v>20</v>
      </c>
      <c r="F667" t="s">
        <v>21</v>
      </c>
      <c r="G667" t="s">
        <v>26</v>
      </c>
      <c r="H667">
        <v>1929</v>
      </c>
      <c r="I667" t="s">
        <v>1922</v>
      </c>
      <c r="J667" t="s">
        <v>1923</v>
      </c>
      <c r="K667">
        <v>2</v>
      </c>
      <c r="L667" t="s">
        <v>1924</v>
      </c>
      <c r="M667" s="1" t="str">
        <f>TEXT(DATE(tbl_data[[#This Row],[Model_Year]],1,1),"yyyy")</f>
        <v>2014</v>
      </c>
      <c r="N667" s="1" t="str">
        <f>IF(tbl_data[[#This Row],[Kilometers_Driven]]&lt;50000,"&lt;50k",
IF(tbl_data[[#This Row],[Kilometers_Driven]]&lt;100000,"50k-100k",
IF(tbl_data[[#This Row],[Kilometers_Driven]]&lt;150000,"100k-150k","150k+")))</f>
        <v>&lt;50k</v>
      </c>
      <c r="O667" s="1" t="str">
        <f>IF(tbl_data[[#This Row],[Price_USD]]&gt;=87089,"High",
IF(tbl_data[[#This Row],[Price_USD]]&gt;=56807,"Mid","Low"))</f>
        <v>High</v>
      </c>
      <c r="P667" s="1" t="str">
        <f>IF(tbl_data[[#This Row],[Transmission]]="Automatic","Auto","Manual")</f>
        <v>Auto</v>
      </c>
      <c r="Q667" s="1" t="str">
        <f>IFERROR(IF(VALUE(tbl_data[[#This Row],[Engine_CC]])=0,"",VALUE(tbl_data[[#This Row],[Price_USD]])/VALUE(tbl_data[[#This Row],[Engine_CC]])),"")</f>
        <v/>
      </c>
      <c r="R667" s="1" t="str">
        <f>TRIM(tbl_data[[#This Row],[Brand]])</f>
        <v>Mercedes</v>
      </c>
      <c r="S667" s="1">
        <f>_xlfn.NUMBERVALUE(tbl_data[[#This Row],[Price_USD]],".",",")</f>
        <v>92342.43</v>
      </c>
    </row>
    <row r="668" spans="1:19" x14ac:dyDescent="0.3">
      <c r="A668">
        <v>667</v>
      </c>
      <c r="B668" t="s">
        <v>30</v>
      </c>
      <c r="C668">
        <v>2023</v>
      </c>
      <c r="D668">
        <v>165372</v>
      </c>
      <c r="E668" t="s">
        <v>20</v>
      </c>
      <c r="F668" t="s">
        <v>14</v>
      </c>
      <c r="G668" t="s">
        <v>32</v>
      </c>
      <c r="H668">
        <v>4246</v>
      </c>
      <c r="I668" t="s">
        <v>1044</v>
      </c>
      <c r="J668" t="s">
        <v>1925</v>
      </c>
      <c r="K668">
        <v>4</v>
      </c>
      <c r="L668" t="s">
        <v>1926</v>
      </c>
      <c r="M668" s="1" t="str">
        <f>TEXT(DATE(tbl_data[[#This Row],[Model_Year]],1,1),"yyyy")</f>
        <v>2023</v>
      </c>
      <c r="N668" s="1" t="str">
        <f>IF(tbl_data[[#This Row],[Kilometers_Driven]]&lt;50000,"&lt;50k",
IF(tbl_data[[#This Row],[Kilometers_Driven]]&lt;100000,"50k-100k",
IF(tbl_data[[#This Row],[Kilometers_Driven]]&lt;150000,"100k-150k","150k+")))</f>
        <v>150k+</v>
      </c>
      <c r="O668" s="1" t="str">
        <f>IF(tbl_data[[#This Row],[Price_USD]]&gt;=87089,"High",
IF(tbl_data[[#This Row],[Price_USD]]&gt;=56807,"Mid","Low"))</f>
        <v>High</v>
      </c>
      <c r="P668" s="1" t="str">
        <f>IF(tbl_data[[#This Row],[Transmission]]="Automatic","Auto","Manual")</f>
        <v>Manual</v>
      </c>
      <c r="Q668" s="1" t="str">
        <f>IFERROR(IF(VALUE(tbl_data[[#This Row],[Engine_CC]])=0,"",VALUE(tbl_data[[#This Row],[Price_USD]])/VALUE(tbl_data[[#This Row],[Engine_CC]])),"")</f>
        <v/>
      </c>
      <c r="R668" s="1" t="str">
        <f>TRIM(tbl_data[[#This Row],[Brand]])</f>
        <v>Mercedes</v>
      </c>
      <c r="S668" s="1">
        <f>_xlfn.NUMBERVALUE(tbl_data[[#This Row],[Price_USD]],".",",")</f>
        <v>55337.89</v>
      </c>
    </row>
    <row r="669" spans="1:19" x14ac:dyDescent="0.3">
      <c r="A669">
        <v>668</v>
      </c>
      <c r="B669" t="s">
        <v>30</v>
      </c>
      <c r="C669">
        <v>2007</v>
      </c>
      <c r="D669">
        <v>160331</v>
      </c>
      <c r="E669" t="s">
        <v>20</v>
      </c>
      <c r="F669" t="s">
        <v>14</v>
      </c>
      <c r="G669" t="s">
        <v>32</v>
      </c>
      <c r="H669">
        <v>2405</v>
      </c>
      <c r="I669" t="s">
        <v>1927</v>
      </c>
      <c r="J669" t="s">
        <v>1928</v>
      </c>
      <c r="K669">
        <v>5</v>
      </c>
      <c r="L669" t="s">
        <v>1929</v>
      </c>
      <c r="M669" s="1" t="str">
        <f>TEXT(DATE(tbl_data[[#This Row],[Model_Year]],1,1),"yyyy")</f>
        <v>2007</v>
      </c>
      <c r="N669" s="1" t="str">
        <f>IF(tbl_data[[#This Row],[Kilometers_Driven]]&lt;50000,"&lt;50k",
IF(tbl_data[[#This Row],[Kilometers_Driven]]&lt;100000,"50k-100k",
IF(tbl_data[[#This Row],[Kilometers_Driven]]&lt;150000,"100k-150k","150k+")))</f>
        <v>150k+</v>
      </c>
      <c r="O669" s="1" t="str">
        <f>IF(tbl_data[[#This Row],[Price_USD]]&gt;=87089,"High",
IF(tbl_data[[#This Row],[Price_USD]]&gt;=56807,"Mid","Low"))</f>
        <v>High</v>
      </c>
      <c r="P669" s="1" t="str">
        <f>IF(tbl_data[[#This Row],[Transmission]]="Automatic","Auto","Manual")</f>
        <v>Manual</v>
      </c>
      <c r="Q669" s="1" t="str">
        <f>IFERROR(IF(VALUE(tbl_data[[#This Row],[Engine_CC]])=0,"",VALUE(tbl_data[[#This Row],[Price_USD]])/VALUE(tbl_data[[#This Row],[Engine_CC]])),"")</f>
        <v/>
      </c>
      <c r="R669" s="1" t="str">
        <f>TRIM(tbl_data[[#This Row],[Brand]])</f>
        <v>Mercedes</v>
      </c>
      <c r="S669" s="1">
        <f>_xlfn.NUMBERVALUE(tbl_data[[#This Row],[Price_USD]],".",",")</f>
        <v>95414.16</v>
      </c>
    </row>
    <row r="670" spans="1:19" x14ac:dyDescent="0.3">
      <c r="A670">
        <v>669</v>
      </c>
      <c r="B670" t="s">
        <v>39</v>
      </c>
      <c r="C670">
        <v>2019</v>
      </c>
      <c r="D670">
        <v>96006</v>
      </c>
      <c r="E670" t="s">
        <v>13</v>
      </c>
      <c r="F670" t="s">
        <v>14</v>
      </c>
      <c r="G670" t="s">
        <v>15</v>
      </c>
      <c r="H670">
        <v>4578</v>
      </c>
      <c r="I670" t="s">
        <v>1930</v>
      </c>
      <c r="J670" t="s">
        <v>1806</v>
      </c>
      <c r="K670">
        <v>2</v>
      </c>
      <c r="L670" t="s">
        <v>1931</v>
      </c>
      <c r="M670" s="1" t="str">
        <f>TEXT(DATE(tbl_data[[#This Row],[Model_Year]],1,1),"yyyy")</f>
        <v>2019</v>
      </c>
      <c r="N670" s="1" t="str">
        <f>IF(tbl_data[[#This Row],[Kilometers_Driven]]&lt;50000,"&lt;50k",
IF(tbl_data[[#This Row],[Kilometers_Driven]]&lt;100000,"50k-100k",
IF(tbl_data[[#This Row],[Kilometers_Driven]]&lt;150000,"100k-150k","150k+")))</f>
        <v>50k-100k</v>
      </c>
      <c r="O670" s="1" t="str">
        <f>IF(tbl_data[[#This Row],[Price_USD]]&gt;=87089,"High",
IF(tbl_data[[#This Row],[Price_USD]]&gt;=56807,"Mid","Low"))</f>
        <v>High</v>
      </c>
      <c r="P670" s="1" t="str">
        <f>IF(tbl_data[[#This Row],[Transmission]]="Automatic","Auto","Manual")</f>
        <v>Manual</v>
      </c>
      <c r="Q670" s="1" t="str">
        <f>IFERROR(IF(VALUE(tbl_data[[#This Row],[Engine_CC]])=0,"",VALUE(tbl_data[[#This Row],[Price_USD]])/VALUE(tbl_data[[#This Row],[Engine_CC]])),"")</f>
        <v/>
      </c>
      <c r="R670" s="1" t="str">
        <f>TRIM(tbl_data[[#This Row],[Brand]])</f>
        <v>Volkswagen</v>
      </c>
      <c r="S670" s="1">
        <f>_xlfn.NUMBERVALUE(tbl_data[[#This Row],[Price_USD]],".",",")</f>
        <v>75346.52</v>
      </c>
    </row>
    <row r="671" spans="1:19" x14ac:dyDescent="0.3">
      <c r="A671">
        <v>670</v>
      </c>
      <c r="B671" t="s">
        <v>39</v>
      </c>
      <c r="C671">
        <v>2005</v>
      </c>
      <c r="D671">
        <v>151424</v>
      </c>
      <c r="E671" t="s">
        <v>13</v>
      </c>
      <c r="F671" t="s">
        <v>21</v>
      </c>
      <c r="G671" t="s">
        <v>26</v>
      </c>
      <c r="H671">
        <v>3545</v>
      </c>
      <c r="I671" t="s">
        <v>1932</v>
      </c>
      <c r="J671" t="s">
        <v>683</v>
      </c>
      <c r="K671">
        <v>5</v>
      </c>
      <c r="L671" t="s">
        <v>1933</v>
      </c>
      <c r="M671" s="1" t="str">
        <f>TEXT(DATE(tbl_data[[#This Row],[Model_Year]],1,1),"yyyy")</f>
        <v>2005</v>
      </c>
      <c r="N671" s="1" t="str">
        <f>IF(tbl_data[[#This Row],[Kilometers_Driven]]&lt;50000,"&lt;50k",
IF(tbl_data[[#This Row],[Kilometers_Driven]]&lt;100000,"50k-100k",
IF(tbl_data[[#This Row],[Kilometers_Driven]]&lt;150000,"100k-150k","150k+")))</f>
        <v>150k+</v>
      </c>
      <c r="O671" s="1" t="str">
        <f>IF(tbl_data[[#This Row],[Price_USD]]&gt;=87089,"High",
IF(tbl_data[[#This Row],[Price_USD]]&gt;=56807,"Mid","Low"))</f>
        <v>High</v>
      </c>
      <c r="P671" s="1" t="str">
        <f>IF(tbl_data[[#This Row],[Transmission]]="Automatic","Auto","Manual")</f>
        <v>Auto</v>
      </c>
      <c r="Q671" s="1" t="str">
        <f>IFERROR(IF(VALUE(tbl_data[[#This Row],[Engine_CC]])=0,"",VALUE(tbl_data[[#This Row],[Price_USD]])/VALUE(tbl_data[[#This Row],[Engine_CC]])),"")</f>
        <v/>
      </c>
      <c r="R671" s="1" t="str">
        <f>TRIM(tbl_data[[#This Row],[Brand]])</f>
        <v>Volkswagen</v>
      </c>
      <c r="S671" s="1">
        <f>_xlfn.NUMBERVALUE(tbl_data[[#This Row],[Price_USD]],".",",")</f>
        <v>16232.67</v>
      </c>
    </row>
    <row r="672" spans="1:19" x14ac:dyDescent="0.3">
      <c r="A672">
        <v>671</v>
      </c>
      <c r="B672" t="s">
        <v>43</v>
      </c>
      <c r="C672">
        <v>2011</v>
      </c>
      <c r="D672">
        <v>134350</v>
      </c>
      <c r="E672" t="s">
        <v>13</v>
      </c>
      <c r="F672" t="s">
        <v>14</v>
      </c>
      <c r="G672" t="s">
        <v>32</v>
      </c>
      <c r="H672">
        <v>3970</v>
      </c>
      <c r="I672" t="s">
        <v>1934</v>
      </c>
      <c r="J672" t="s">
        <v>1935</v>
      </c>
      <c r="K672">
        <v>7</v>
      </c>
      <c r="L672" t="s">
        <v>1936</v>
      </c>
      <c r="M672" s="1" t="str">
        <f>TEXT(DATE(tbl_data[[#This Row],[Model_Year]],1,1),"yyyy")</f>
        <v>2011</v>
      </c>
      <c r="N672" s="1" t="str">
        <f>IF(tbl_data[[#This Row],[Kilometers_Driven]]&lt;50000,"&lt;50k",
IF(tbl_data[[#This Row],[Kilometers_Driven]]&lt;100000,"50k-100k",
IF(tbl_data[[#This Row],[Kilometers_Driven]]&lt;150000,"100k-150k","150k+")))</f>
        <v>100k-150k</v>
      </c>
      <c r="O672" s="1" t="str">
        <f>IF(tbl_data[[#This Row],[Price_USD]]&gt;=87089,"High",
IF(tbl_data[[#This Row],[Price_USD]]&gt;=56807,"Mid","Low"))</f>
        <v>High</v>
      </c>
      <c r="P672" s="1" t="str">
        <f>IF(tbl_data[[#This Row],[Transmission]]="Automatic","Auto","Manual")</f>
        <v>Manual</v>
      </c>
      <c r="Q672" s="1" t="str">
        <f>IFERROR(IF(VALUE(tbl_data[[#This Row],[Engine_CC]])=0,"",VALUE(tbl_data[[#This Row],[Price_USD]])/VALUE(tbl_data[[#This Row],[Engine_CC]])),"")</f>
        <v/>
      </c>
      <c r="R672" s="1" t="str">
        <f>TRIM(tbl_data[[#This Row],[Brand]])</f>
        <v>Ford</v>
      </c>
      <c r="S672" s="1">
        <f>_xlfn.NUMBERVALUE(tbl_data[[#This Row],[Price_USD]],".",",")</f>
        <v>21290.78</v>
      </c>
    </row>
    <row r="673" spans="1:19" x14ac:dyDescent="0.3">
      <c r="A673">
        <v>672</v>
      </c>
      <c r="B673" t="s">
        <v>92</v>
      </c>
      <c r="C673">
        <v>2016</v>
      </c>
      <c r="D673">
        <v>169437</v>
      </c>
      <c r="E673" t="s">
        <v>20</v>
      </c>
      <c r="F673" t="s">
        <v>14</v>
      </c>
      <c r="G673" t="s">
        <v>15</v>
      </c>
      <c r="H673">
        <v>3733</v>
      </c>
      <c r="I673" t="s">
        <v>1937</v>
      </c>
      <c r="J673" t="s">
        <v>1938</v>
      </c>
      <c r="K673">
        <v>2</v>
      </c>
      <c r="L673" t="s">
        <v>1939</v>
      </c>
      <c r="M673" s="1" t="str">
        <f>TEXT(DATE(tbl_data[[#This Row],[Model_Year]],1,1),"yyyy")</f>
        <v>2016</v>
      </c>
      <c r="N673" s="1" t="str">
        <f>IF(tbl_data[[#This Row],[Kilometers_Driven]]&lt;50000,"&lt;50k",
IF(tbl_data[[#This Row],[Kilometers_Driven]]&lt;100000,"50k-100k",
IF(tbl_data[[#This Row],[Kilometers_Driven]]&lt;150000,"100k-150k","150k+")))</f>
        <v>150k+</v>
      </c>
      <c r="O673" s="1" t="str">
        <f>IF(tbl_data[[#This Row],[Price_USD]]&gt;=87089,"High",
IF(tbl_data[[#This Row],[Price_USD]]&gt;=56807,"Mid","Low"))</f>
        <v>High</v>
      </c>
      <c r="P673" s="1" t="str">
        <f>IF(tbl_data[[#This Row],[Transmission]]="Automatic","Auto","Manual")</f>
        <v>Manual</v>
      </c>
      <c r="Q673" s="1" t="str">
        <f>IFERROR(IF(VALUE(tbl_data[[#This Row],[Engine_CC]])=0,"",VALUE(tbl_data[[#This Row],[Price_USD]])/VALUE(tbl_data[[#This Row],[Engine_CC]])),"")</f>
        <v/>
      </c>
      <c r="R673" s="1" t="str">
        <f>TRIM(tbl_data[[#This Row],[Brand]])</f>
        <v>Toyota</v>
      </c>
      <c r="S673" s="1">
        <f>_xlfn.NUMBERVALUE(tbl_data[[#This Row],[Price_USD]],".",",")</f>
        <v>54132.95</v>
      </c>
    </row>
    <row r="674" spans="1:19" x14ac:dyDescent="0.3">
      <c r="A674">
        <v>673</v>
      </c>
      <c r="B674" t="s">
        <v>30</v>
      </c>
      <c r="C674">
        <v>2021</v>
      </c>
      <c r="D674">
        <v>24446</v>
      </c>
      <c r="E674" t="s">
        <v>13</v>
      </c>
      <c r="F674" t="s">
        <v>14</v>
      </c>
      <c r="G674" t="s">
        <v>32</v>
      </c>
      <c r="H674">
        <v>2015</v>
      </c>
      <c r="I674" t="s">
        <v>1940</v>
      </c>
      <c r="J674" t="s">
        <v>1581</v>
      </c>
      <c r="K674">
        <v>6</v>
      </c>
      <c r="L674" t="s">
        <v>1941</v>
      </c>
      <c r="M674" s="1" t="str">
        <f>TEXT(DATE(tbl_data[[#This Row],[Model_Year]],1,1),"yyyy")</f>
        <v>2021</v>
      </c>
      <c r="N674" s="1" t="str">
        <f>IF(tbl_data[[#This Row],[Kilometers_Driven]]&lt;50000,"&lt;50k",
IF(tbl_data[[#This Row],[Kilometers_Driven]]&lt;100000,"50k-100k",
IF(tbl_data[[#This Row],[Kilometers_Driven]]&lt;150000,"100k-150k","150k+")))</f>
        <v>&lt;50k</v>
      </c>
      <c r="O674" s="1" t="str">
        <f>IF(tbl_data[[#This Row],[Price_USD]]&gt;=87089,"High",
IF(tbl_data[[#This Row],[Price_USD]]&gt;=56807,"Mid","Low"))</f>
        <v>High</v>
      </c>
      <c r="P674" s="1" t="str">
        <f>IF(tbl_data[[#This Row],[Transmission]]="Automatic","Auto","Manual")</f>
        <v>Manual</v>
      </c>
      <c r="Q674" s="1" t="str">
        <f>IFERROR(IF(VALUE(tbl_data[[#This Row],[Engine_CC]])=0,"",VALUE(tbl_data[[#This Row],[Price_USD]])/VALUE(tbl_data[[#This Row],[Engine_CC]])),"")</f>
        <v/>
      </c>
      <c r="R674" s="1" t="str">
        <f>TRIM(tbl_data[[#This Row],[Brand]])</f>
        <v>Mercedes</v>
      </c>
      <c r="S674" s="1">
        <f>_xlfn.NUMBERVALUE(tbl_data[[#This Row],[Price_USD]],".",",")</f>
        <v>49436.06</v>
      </c>
    </row>
    <row r="675" spans="1:19" x14ac:dyDescent="0.3">
      <c r="A675">
        <v>674</v>
      </c>
      <c r="B675" t="s">
        <v>102</v>
      </c>
      <c r="C675">
        <v>2024</v>
      </c>
      <c r="D675">
        <v>7336</v>
      </c>
      <c r="E675" t="s">
        <v>20</v>
      </c>
      <c r="F675" t="s">
        <v>21</v>
      </c>
      <c r="G675" t="s">
        <v>15</v>
      </c>
      <c r="H675">
        <v>1124</v>
      </c>
      <c r="I675" t="s">
        <v>1942</v>
      </c>
      <c r="J675" t="s">
        <v>1943</v>
      </c>
      <c r="K675">
        <v>7</v>
      </c>
      <c r="L675" t="s">
        <v>1944</v>
      </c>
      <c r="M675" s="1" t="str">
        <f>TEXT(DATE(tbl_data[[#This Row],[Model_Year]],1,1),"yyyy")</f>
        <v>2024</v>
      </c>
      <c r="N675" s="1" t="str">
        <f>IF(tbl_data[[#This Row],[Kilometers_Driven]]&lt;50000,"&lt;50k",
IF(tbl_data[[#This Row],[Kilometers_Driven]]&lt;100000,"50k-100k",
IF(tbl_data[[#This Row],[Kilometers_Driven]]&lt;150000,"100k-150k","150k+")))</f>
        <v>&lt;50k</v>
      </c>
      <c r="O675" s="1" t="str">
        <f>IF(tbl_data[[#This Row],[Price_USD]]&gt;=87089,"High",
IF(tbl_data[[#This Row],[Price_USD]]&gt;=56807,"Mid","Low"))</f>
        <v>High</v>
      </c>
      <c r="P675" s="1" t="str">
        <f>IF(tbl_data[[#This Row],[Transmission]]="Automatic","Auto","Manual")</f>
        <v>Auto</v>
      </c>
      <c r="Q675" s="1" t="str">
        <f>IFERROR(IF(VALUE(tbl_data[[#This Row],[Engine_CC]])=0,"",VALUE(tbl_data[[#This Row],[Price_USD]])/VALUE(tbl_data[[#This Row],[Engine_CC]])),"")</f>
        <v/>
      </c>
      <c r="R675" s="1" t="str">
        <f>TRIM(tbl_data[[#This Row],[Brand]])</f>
        <v>Nissan</v>
      </c>
      <c r="S675" s="1">
        <f>_xlfn.NUMBERVALUE(tbl_data[[#This Row],[Price_USD]],".",",")</f>
        <v>89994.68</v>
      </c>
    </row>
    <row r="676" spans="1:19" x14ac:dyDescent="0.3">
      <c r="A676">
        <v>675</v>
      </c>
      <c r="B676" t="s">
        <v>92</v>
      </c>
      <c r="C676">
        <v>2009</v>
      </c>
      <c r="D676">
        <v>67032</v>
      </c>
      <c r="E676" t="s">
        <v>31</v>
      </c>
      <c r="F676" t="s">
        <v>14</v>
      </c>
      <c r="G676" t="s">
        <v>15</v>
      </c>
      <c r="H676">
        <v>2650</v>
      </c>
      <c r="I676" t="s">
        <v>1945</v>
      </c>
      <c r="J676" t="s">
        <v>1946</v>
      </c>
      <c r="K676">
        <v>7</v>
      </c>
      <c r="L676" t="s">
        <v>1947</v>
      </c>
      <c r="M676" s="1" t="str">
        <f>TEXT(DATE(tbl_data[[#This Row],[Model_Year]],1,1),"yyyy")</f>
        <v>2009</v>
      </c>
      <c r="N676" s="1" t="str">
        <f>IF(tbl_data[[#This Row],[Kilometers_Driven]]&lt;50000,"&lt;50k",
IF(tbl_data[[#This Row],[Kilometers_Driven]]&lt;100000,"50k-100k",
IF(tbl_data[[#This Row],[Kilometers_Driven]]&lt;150000,"100k-150k","150k+")))</f>
        <v>50k-100k</v>
      </c>
      <c r="O676" s="1" t="str">
        <f>IF(tbl_data[[#This Row],[Price_USD]]&gt;=87089,"High",
IF(tbl_data[[#This Row],[Price_USD]]&gt;=56807,"Mid","Low"))</f>
        <v>High</v>
      </c>
      <c r="P676" s="1" t="str">
        <f>IF(tbl_data[[#This Row],[Transmission]]="Automatic","Auto","Manual")</f>
        <v>Manual</v>
      </c>
      <c r="Q676" s="1" t="str">
        <f>IFERROR(IF(VALUE(tbl_data[[#This Row],[Engine_CC]])=0,"",VALUE(tbl_data[[#This Row],[Price_USD]])/VALUE(tbl_data[[#This Row],[Engine_CC]])),"")</f>
        <v/>
      </c>
      <c r="R676" s="1" t="str">
        <f>TRIM(tbl_data[[#This Row],[Brand]])</f>
        <v>Toyota</v>
      </c>
      <c r="S676" s="1">
        <f>_xlfn.NUMBERVALUE(tbl_data[[#This Row],[Price_USD]],".",",")</f>
        <v>70946.25</v>
      </c>
    </row>
    <row r="677" spans="1:19" x14ac:dyDescent="0.3">
      <c r="A677">
        <v>676</v>
      </c>
      <c r="B677" t="s">
        <v>43</v>
      </c>
      <c r="C677">
        <v>2008</v>
      </c>
      <c r="D677">
        <v>102852</v>
      </c>
      <c r="E677" t="s">
        <v>20</v>
      </c>
      <c r="F677" t="s">
        <v>14</v>
      </c>
      <c r="G677" t="s">
        <v>26</v>
      </c>
      <c r="H677">
        <v>2290</v>
      </c>
      <c r="I677" t="s">
        <v>1948</v>
      </c>
      <c r="J677" t="s">
        <v>1949</v>
      </c>
      <c r="K677">
        <v>5</v>
      </c>
      <c r="L677" t="s">
        <v>1950</v>
      </c>
      <c r="M677" s="1" t="str">
        <f>TEXT(DATE(tbl_data[[#This Row],[Model_Year]],1,1),"yyyy")</f>
        <v>2008</v>
      </c>
      <c r="N677" s="1" t="str">
        <f>IF(tbl_data[[#This Row],[Kilometers_Driven]]&lt;50000,"&lt;50k",
IF(tbl_data[[#This Row],[Kilometers_Driven]]&lt;100000,"50k-100k",
IF(tbl_data[[#This Row],[Kilometers_Driven]]&lt;150000,"100k-150k","150k+")))</f>
        <v>100k-150k</v>
      </c>
      <c r="O677" s="1" t="str">
        <f>IF(tbl_data[[#This Row],[Price_USD]]&gt;=87089,"High",
IF(tbl_data[[#This Row],[Price_USD]]&gt;=56807,"Mid","Low"))</f>
        <v>High</v>
      </c>
      <c r="P677" s="1" t="str">
        <f>IF(tbl_data[[#This Row],[Transmission]]="Automatic","Auto","Manual")</f>
        <v>Manual</v>
      </c>
      <c r="Q677" s="1" t="str">
        <f>IFERROR(IF(VALUE(tbl_data[[#This Row],[Engine_CC]])=0,"",VALUE(tbl_data[[#This Row],[Price_USD]])/VALUE(tbl_data[[#This Row],[Engine_CC]])),"")</f>
        <v/>
      </c>
      <c r="R677" s="1" t="str">
        <f>TRIM(tbl_data[[#This Row],[Brand]])</f>
        <v>Ford</v>
      </c>
      <c r="S677" s="1">
        <f>_xlfn.NUMBERVALUE(tbl_data[[#This Row],[Price_USD]],".",",")</f>
        <v>48411.57</v>
      </c>
    </row>
    <row r="678" spans="1:19" x14ac:dyDescent="0.3">
      <c r="A678">
        <v>677</v>
      </c>
      <c r="B678" t="s">
        <v>19</v>
      </c>
      <c r="C678">
        <v>2016</v>
      </c>
      <c r="D678">
        <v>143593</v>
      </c>
      <c r="E678" t="s">
        <v>44</v>
      </c>
      <c r="F678" t="s">
        <v>21</v>
      </c>
      <c r="G678" t="s">
        <v>32</v>
      </c>
      <c r="H678">
        <v>1693</v>
      </c>
      <c r="I678" t="s">
        <v>1951</v>
      </c>
      <c r="J678" t="s">
        <v>1952</v>
      </c>
      <c r="K678">
        <v>7</v>
      </c>
      <c r="L678" t="s">
        <v>1953</v>
      </c>
      <c r="M678" s="1" t="str">
        <f>TEXT(DATE(tbl_data[[#This Row],[Model_Year]],1,1),"yyyy")</f>
        <v>2016</v>
      </c>
      <c r="N678" s="1" t="str">
        <f>IF(tbl_data[[#This Row],[Kilometers_Driven]]&lt;50000,"&lt;50k",
IF(tbl_data[[#This Row],[Kilometers_Driven]]&lt;100000,"50k-100k",
IF(tbl_data[[#This Row],[Kilometers_Driven]]&lt;150000,"100k-150k","150k+")))</f>
        <v>100k-150k</v>
      </c>
      <c r="O678" s="1" t="str">
        <f>IF(tbl_data[[#This Row],[Price_USD]]&gt;=87089,"High",
IF(tbl_data[[#This Row],[Price_USD]]&gt;=56807,"Mid","Low"))</f>
        <v>High</v>
      </c>
      <c r="P678" s="1" t="str">
        <f>IF(tbl_data[[#This Row],[Transmission]]="Automatic","Auto","Manual")</f>
        <v>Auto</v>
      </c>
      <c r="Q678" s="1" t="str">
        <f>IFERROR(IF(VALUE(tbl_data[[#This Row],[Engine_CC]])=0,"",VALUE(tbl_data[[#This Row],[Price_USD]])/VALUE(tbl_data[[#This Row],[Engine_CC]])),"")</f>
        <v/>
      </c>
      <c r="R678" s="1" t="str">
        <f>TRIM(tbl_data[[#This Row],[Brand]])</f>
        <v>BMW</v>
      </c>
      <c r="S678" s="1">
        <f>_xlfn.NUMBERVALUE(tbl_data[[#This Row],[Price_USD]],".",",")</f>
        <v>22978.95</v>
      </c>
    </row>
    <row r="679" spans="1:19" x14ac:dyDescent="0.3">
      <c r="A679">
        <v>678</v>
      </c>
      <c r="B679" t="s">
        <v>92</v>
      </c>
      <c r="C679">
        <v>2024</v>
      </c>
      <c r="D679">
        <v>159553</v>
      </c>
      <c r="E679" t="s">
        <v>13</v>
      </c>
      <c r="F679" t="s">
        <v>21</v>
      </c>
      <c r="G679" t="s">
        <v>26</v>
      </c>
      <c r="H679">
        <v>2190</v>
      </c>
      <c r="I679" t="s">
        <v>498</v>
      </c>
      <c r="J679" t="s">
        <v>1725</v>
      </c>
      <c r="K679">
        <v>4</v>
      </c>
      <c r="L679" t="s">
        <v>1954</v>
      </c>
      <c r="M679" s="1" t="str">
        <f>TEXT(DATE(tbl_data[[#This Row],[Model_Year]],1,1),"yyyy")</f>
        <v>2024</v>
      </c>
      <c r="N679" s="1" t="str">
        <f>IF(tbl_data[[#This Row],[Kilometers_Driven]]&lt;50000,"&lt;50k",
IF(tbl_data[[#This Row],[Kilometers_Driven]]&lt;100000,"50k-100k",
IF(tbl_data[[#This Row],[Kilometers_Driven]]&lt;150000,"100k-150k","150k+")))</f>
        <v>150k+</v>
      </c>
      <c r="O679" s="1" t="str">
        <f>IF(tbl_data[[#This Row],[Price_USD]]&gt;=87089,"High",
IF(tbl_data[[#This Row],[Price_USD]]&gt;=56807,"Mid","Low"))</f>
        <v>High</v>
      </c>
      <c r="P679" s="1" t="str">
        <f>IF(tbl_data[[#This Row],[Transmission]]="Automatic","Auto","Manual")</f>
        <v>Auto</v>
      </c>
      <c r="Q679" s="1" t="str">
        <f>IFERROR(IF(VALUE(tbl_data[[#This Row],[Engine_CC]])=0,"",VALUE(tbl_data[[#This Row],[Price_USD]])/VALUE(tbl_data[[#This Row],[Engine_CC]])),"")</f>
        <v/>
      </c>
      <c r="R679" s="1" t="str">
        <f>TRIM(tbl_data[[#This Row],[Brand]])</f>
        <v>Toyota</v>
      </c>
      <c r="S679" s="1">
        <f>_xlfn.NUMBERVALUE(tbl_data[[#This Row],[Price_USD]],".",",")</f>
        <v>29539.94</v>
      </c>
    </row>
    <row r="680" spans="1:19" x14ac:dyDescent="0.3">
      <c r="A680">
        <v>679</v>
      </c>
      <c r="B680" t="s">
        <v>92</v>
      </c>
      <c r="C680">
        <v>2022</v>
      </c>
      <c r="D680">
        <v>23474</v>
      </c>
      <c r="E680" t="s">
        <v>13</v>
      </c>
      <c r="F680" t="s">
        <v>14</v>
      </c>
      <c r="G680" t="s">
        <v>32</v>
      </c>
      <c r="H680">
        <v>4189</v>
      </c>
      <c r="I680" t="s">
        <v>1955</v>
      </c>
      <c r="J680" t="s">
        <v>1956</v>
      </c>
      <c r="K680">
        <v>2</v>
      </c>
      <c r="L680" t="s">
        <v>1957</v>
      </c>
      <c r="M680" s="1" t="str">
        <f>TEXT(DATE(tbl_data[[#This Row],[Model_Year]],1,1),"yyyy")</f>
        <v>2022</v>
      </c>
      <c r="N680" s="1" t="str">
        <f>IF(tbl_data[[#This Row],[Kilometers_Driven]]&lt;50000,"&lt;50k",
IF(tbl_data[[#This Row],[Kilometers_Driven]]&lt;100000,"50k-100k",
IF(tbl_data[[#This Row],[Kilometers_Driven]]&lt;150000,"100k-150k","150k+")))</f>
        <v>&lt;50k</v>
      </c>
      <c r="O680" s="1" t="str">
        <f>IF(tbl_data[[#This Row],[Price_USD]]&gt;=87089,"High",
IF(tbl_data[[#This Row],[Price_USD]]&gt;=56807,"Mid","Low"))</f>
        <v>High</v>
      </c>
      <c r="P680" s="1" t="str">
        <f>IF(tbl_data[[#This Row],[Transmission]]="Automatic","Auto","Manual")</f>
        <v>Manual</v>
      </c>
      <c r="Q680" s="1" t="str">
        <f>IFERROR(IF(VALUE(tbl_data[[#This Row],[Engine_CC]])=0,"",VALUE(tbl_data[[#This Row],[Price_USD]])/VALUE(tbl_data[[#This Row],[Engine_CC]])),"")</f>
        <v/>
      </c>
      <c r="R680" s="1" t="str">
        <f>TRIM(tbl_data[[#This Row],[Brand]])</f>
        <v>Toyota</v>
      </c>
      <c r="S680" s="1">
        <f>_xlfn.NUMBERVALUE(tbl_data[[#This Row],[Price_USD]],".",",")</f>
        <v>70333.62</v>
      </c>
    </row>
    <row r="681" spans="1:19" x14ac:dyDescent="0.3">
      <c r="A681">
        <v>680</v>
      </c>
      <c r="B681" t="s">
        <v>25</v>
      </c>
      <c r="C681">
        <v>2021</v>
      </c>
      <c r="D681">
        <v>182832</v>
      </c>
      <c r="E681" t="s">
        <v>44</v>
      </c>
      <c r="F681" t="s">
        <v>14</v>
      </c>
      <c r="G681" t="s">
        <v>26</v>
      </c>
      <c r="H681">
        <v>3063</v>
      </c>
      <c r="I681" t="s">
        <v>1958</v>
      </c>
      <c r="J681" t="s">
        <v>1959</v>
      </c>
      <c r="K681">
        <v>4</v>
      </c>
      <c r="L681" t="s">
        <v>1960</v>
      </c>
      <c r="M681" s="1" t="str">
        <f>TEXT(DATE(tbl_data[[#This Row],[Model_Year]],1,1),"yyyy")</f>
        <v>2021</v>
      </c>
      <c r="N681" s="1" t="str">
        <f>IF(tbl_data[[#This Row],[Kilometers_Driven]]&lt;50000,"&lt;50k",
IF(tbl_data[[#This Row],[Kilometers_Driven]]&lt;100000,"50k-100k",
IF(tbl_data[[#This Row],[Kilometers_Driven]]&lt;150000,"100k-150k","150k+")))</f>
        <v>150k+</v>
      </c>
      <c r="O681" s="1" t="str">
        <f>IF(tbl_data[[#This Row],[Price_USD]]&gt;=87089,"High",
IF(tbl_data[[#This Row],[Price_USD]]&gt;=56807,"Mid","Low"))</f>
        <v>High</v>
      </c>
      <c r="P681" s="1" t="str">
        <f>IF(tbl_data[[#This Row],[Transmission]]="Automatic","Auto","Manual")</f>
        <v>Manual</v>
      </c>
      <c r="Q681" s="1" t="str">
        <f>IFERROR(IF(VALUE(tbl_data[[#This Row],[Engine_CC]])=0,"",VALUE(tbl_data[[#This Row],[Price_USD]])/VALUE(tbl_data[[#This Row],[Engine_CC]])),"")</f>
        <v/>
      </c>
      <c r="R681" s="1" t="str">
        <f>TRIM(tbl_data[[#This Row],[Brand]])</f>
        <v>Kia</v>
      </c>
      <c r="S681" s="1">
        <f>_xlfn.NUMBERVALUE(tbl_data[[#This Row],[Price_USD]],".",",")</f>
        <v>52542.34</v>
      </c>
    </row>
    <row r="682" spans="1:19" x14ac:dyDescent="0.3">
      <c r="A682">
        <v>681</v>
      </c>
      <c r="B682" t="s">
        <v>76</v>
      </c>
      <c r="C682">
        <v>2023</v>
      </c>
      <c r="D682">
        <v>60718</v>
      </c>
      <c r="E682" t="s">
        <v>20</v>
      </c>
      <c r="F682" t="s">
        <v>21</v>
      </c>
      <c r="G682" t="s">
        <v>32</v>
      </c>
      <c r="H682">
        <v>4232</v>
      </c>
      <c r="I682" t="s">
        <v>1961</v>
      </c>
      <c r="J682" t="s">
        <v>1962</v>
      </c>
      <c r="K682">
        <v>5</v>
      </c>
      <c r="L682" t="s">
        <v>1963</v>
      </c>
      <c r="M682" s="1" t="str">
        <f>TEXT(DATE(tbl_data[[#This Row],[Model_Year]],1,1),"yyyy")</f>
        <v>2023</v>
      </c>
      <c r="N682" s="1" t="str">
        <f>IF(tbl_data[[#This Row],[Kilometers_Driven]]&lt;50000,"&lt;50k",
IF(tbl_data[[#This Row],[Kilometers_Driven]]&lt;100000,"50k-100k",
IF(tbl_data[[#This Row],[Kilometers_Driven]]&lt;150000,"100k-150k","150k+")))</f>
        <v>50k-100k</v>
      </c>
      <c r="O682" s="1" t="str">
        <f>IF(tbl_data[[#This Row],[Price_USD]]&gt;=87089,"High",
IF(tbl_data[[#This Row],[Price_USD]]&gt;=56807,"Mid","Low"))</f>
        <v>High</v>
      </c>
      <c r="P682" s="1" t="str">
        <f>IF(tbl_data[[#This Row],[Transmission]]="Automatic","Auto","Manual")</f>
        <v>Auto</v>
      </c>
      <c r="Q682" s="1" t="str">
        <f>IFERROR(IF(VALUE(tbl_data[[#This Row],[Engine_CC]])=0,"",VALUE(tbl_data[[#This Row],[Price_USD]])/VALUE(tbl_data[[#This Row],[Engine_CC]])),"")</f>
        <v/>
      </c>
      <c r="R682" s="1" t="str">
        <f>TRIM(tbl_data[[#This Row],[Brand]])</f>
        <v>Honda</v>
      </c>
      <c r="S682" s="1">
        <f>_xlfn.NUMBERVALUE(tbl_data[[#This Row],[Price_USD]],".",",")</f>
        <v>63246.52</v>
      </c>
    </row>
    <row r="683" spans="1:19" x14ac:dyDescent="0.3">
      <c r="A683">
        <v>682</v>
      </c>
      <c r="B683" t="s">
        <v>25</v>
      </c>
      <c r="C683">
        <v>2013</v>
      </c>
      <c r="D683">
        <v>49629</v>
      </c>
      <c r="E683" t="s">
        <v>31</v>
      </c>
      <c r="F683" t="s">
        <v>21</v>
      </c>
      <c r="G683" t="s">
        <v>26</v>
      </c>
      <c r="H683">
        <v>3171</v>
      </c>
      <c r="I683" t="s">
        <v>1964</v>
      </c>
      <c r="J683" t="s">
        <v>1965</v>
      </c>
      <c r="K683">
        <v>5</v>
      </c>
      <c r="L683" t="s">
        <v>1966</v>
      </c>
      <c r="M683" s="1" t="str">
        <f>TEXT(DATE(tbl_data[[#This Row],[Model_Year]],1,1),"yyyy")</f>
        <v>2013</v>
      </c>
      <c r="N683" s="1" t="str">
        <f>IF(tbl_data[[#This Row],[Kilometers_Driven]]&lt;50000,"&lt;50k",
IF(tbl_data[[#This Row],[Kilometers_Driven]]&lt;100000,"50k-100k",
IF(tbl_data[[#This Row],[Kilometers_Driven]]&lt;150000,"100k-150k","150k+")))</f>
        <v>&lt;50k</v>
      </c>
      <c r="O683" s="1" t="str">
        <f>IF(tbl_data[[#This Row],[Price_USD]]&gt;=87089,"High",
IF(tbl_data[[#This Row],[Price_USD]]&gt;=56807,"Mid","Low"))</f>
        <v>High</v>
      </c>
      <c r="P683" s="1" t="str">
        <f>IF(tbl_data[[#This Row],[Transmission]]="Automatic","Auto","Manual")</f>
        <v>Auto</v>
      </c>
      <c r="Q683" s="1" t="str">
        <f>IFERROR(IF(VALUE(tbl_data[[#This Row],[Engine_CC]])=0,"",VALUE(tbl_data[[#This Row],[Price_USD]])/VALUE(tbl_data[[#This Row],[Engine_CC]])),"")</f>
        <v/>
      </c>
      <c r="R683" s="1" t="str">
        <f>TRIM(tbl_data[[#This Row],[Brand]])</f>
        <v>Kia</v>
      </c>
      <c r="S683" s="1">
        <f>_xlfn.NUMBERVALUE(tbl_data[[#This Row],[Price_USD]],".",",")</f>
        <v>22969.26</v>
      </c>
    </row>
    <row r="684" spans="1:19" x14ac:dyDescent="0.3">
      <c r="A684">
        <v>683</v>
      </c>
      <c r="B684" t="s">
        <v>12</v>
      </c>
      <c r="C684">
        <v>2008</v>
      </c>
      <c r="D684">
        <v>50232</v>
      </c>
      <c r="E684" t="s">
        <v>44</v>
      </c>
      <c r="F684" t="s">
        <v>21</v>
      </c>
      <c r="G684" t="s">
        <v>15</v>
      </c>
      <c r="H684">
        <v>3886</v>
      </c>
      <c r="I684" t="s">
        <v>1666</v>
      </c>
      <c r="J684" t="s">
        <v>1305</v>
      </c>
      <c r="K684">
        <v>2</v>
      </c>
      <c r="L684" t="s">
        <v>1967</v>
      </c>
      <c r="M684" s="1" t="str">
        <f>TEXT(DATE(tbl_data[[#This Row],[Model_Year]],1,1),"yyyy")</f>
        <v>2008</v>
      </c>
      <c r="N684" s="1" t="str">
        <f>IF(tbl_data[[#This Row],[Kilometers_Driven]]&lt;50000,"&lt;50k",
IF(tbl_data[[#This Row],[Kilometers_Driven]]&lt;100000,"50k-100k",
IF(tbl_data[[#This Row],[Kilometers_Driven]]&lt;150000,"100k-150k","150k+")))</f>
        <v>50k-100k</v>
      </c>
      <c r="O684" s="1" t="str">
        <f>IF(tbl_data[[#This Row],[Price_USD]]&gt;=87089,"High",
IF(tbl_data[[#This Row],[Price_USD]]&gt;=56807,"Mid","Low"))</f>
        <v>High</v>
      </c>
      <c r="P684" s="1" t="str">
        <f>IF(tbl_data[[#This Row],[Transmission]]="Automatic","Auto","Manual")</f>
        <v>Auto</v>
      </c>
      <c r="Q684" s="1" t="str">
        <f>IFERROR(IF(VALUE(tbl_data[[#This Row],[Engine_CC]])=0,"",VALUE(tbl_data[[#This Row],[Price_USD]])/VALUE(tbl_data[[#This Row],[Engine_CC]])),"")</f>
        <v/>
      </c>
      <c r="R684" s="1" t="str">
        <f>TRIM(tbl_data[[#This Row],[Brand]])</f>
        <v>Audi</v>
      </c>
      <c r="S684" s="1">
        <f>_xlfn.NUMBERVALUE(tbl_data[[#This Row],[Price_USD]],".",",")</f>
        <v>80560.03</v>
      </c>
    </row>
    <row r="685" spans="1:19" x14ac:dyDescent="0.3">
      <c r="A685">
        <v>684</v>
      </c>
      <c r="B685" t="s">
        <v>39</v>
      </c>
      <c r="C685">
        <v>2006</v>
      </c>
      <c r="D685">
        <v>91544</v>
      </c>
      <c r="E685" t="s">
        <v>44</v>
      </c>
      <c r="F685" t="s">
        <v>21</v>
      </c>
      <c r="G685" t="s">
        <v>32</v>
      </c>
      <c r="H685">
        <v>2315</v>
      </c>
      <c r="I685" t="s">
        <v>1968</v>
      </c>
      <c r="J685" t="s">
        <v>1969</v>
      </c>
      <c r="K685">
        <v>7</v>
      </c>
      <c r="L685" t="s">
        <v>1970</v>
      </c>
      <c r="M685" s="1" t="str">
        <f>TEXT(DATE(tbl_data[[#This Row],[Model_Year]],1,1),"yyyy")</f>
        <v>2006</v>
      </c>
      <c r="N685" s="1" t="str">
        <f>IF(tbl_data[[#This Row],[Kilometers_Driven]]&lt;50000,"&lt;50k",
IF(tbl_data[[#This Row],[Kilometers_Driven]]&lt;100000,"50k-100k",
IF(tbl_data[[#This Row],[Kilometers_Driven]]&lt;150000,"100k-150k","150k+")))</f>
        <v>50k-100k</v>
      </c>
      <c r="O685" s="1" t="str">
        <f>IF(tbl_data[[#This Row],[Price_USD]]&gt;=87089,"High",
IF(tbl_data[[#This Row],[Price_USD]]&gt;=56807,"Mid","Low"))</f>
        <v>High</v>
      </c>
      <c r="P685" s="1" t="str">
        <f>IF(tbl_data[[#This Row],[Transmission]]="Automatic","Auto","Manual")</f>
        <v>Auto</v>
      </c>
      <c r="Q685" s="1" t="str">
        <f>IFERROR(IF(VALUE(tbl_data[[#This Row],[Engine_CC]])=0,"",VALUE(tbl_data[[#This Row],[Price_USD]])/VALUE(tbl_data[[#This Row],[Engine_CC]])),"")</f>
        <v/>
      </c>
      <c r="R685" s="1" t="str">
        <f>TRIM(tbl_data[[#This Row],[Brand]])</f>
        <v>Volkswagen</v>
      </c>
      <c r="S685" s="1">
        <f>_xlfn.NUMBERVALUE(tbl_data[[#This Row],[Price_USD]],".",",")</f>
        <v>102747.03</v>
      </c>
    </row>
    <row r="686" spans="1:19" x14ac:dyDescent="0.3">
      <c r="A686">
        <v>685</v>
      </c>
      <c r="B686" t="s">
        <v>39</v>
      </c>
      <c r="C686">
        <v>2008</v>
      </c>
      <c r="D686">
        <v>55669</v>
      </c>
      <c r="E686" t="s">
        <v>20</v>
      </c>
      <c r="F686" t="s">
        <v>21</v>
      </c>
      <c r="G686" t="s">
        <v>32</v>
      </c>
      <c r="H686">
        <v>3717</v>
      </c>
      <c r="I686" t="s">
        <v>1971</v>
      </c>
      <c r="J686" t="s">
        <v>1972</v>
      </c>
      <c r="K686">
        <v>6</v>
      </c>
      <c r="L686" t="s">
        <v>1973</v>
      </c>
      <c r="M686" s="1" t="str">
        <f>TEXT(DATE(tbl_data[[#This Row],[Model_Year]],1,1),"yyyy")</f>
        <v>2008</v>
      </c>
      <c r="N686" s="1" t="str">
        <f>IF(tbl_data[[#This Row],[Kilometers_Driven]]&lt;50000,"&lt;50k",
IF(tbl_data[[#This Row],[Kilometers_Driven]]&lt;100000,"50k-100k",
IF(tbl_data[[#This Row],[Kilometers_Driven]]&lt;150000,"100k-150k","150k+")))</f>
        <v>50k-100k</v>
      </c>
      <c r="O686" s="1" t="str">
        <f>IF(tbl_data[[#This Row],[Price_USD]]&gt;=87089,"High",
IF(tbl_data[[#This Row],[Price_USD]]&gt;=56807,"Mid","Low"))</f>
        <v>High</v>
      </c>
      <c r="P686" s="1" t="str">
        <f>IF(tbl_data[[#This Row],[Transmission]]="Automatic","Auto","Manual")</f>
        <v>Auto</v>
      </c>
      <c r="Q686" s="1" t="str">
        <f>IFERROR(IF(VALUE(tbl_data[[#This Row],[Engine_CC]])=0,"",VALUE(tbl_data[[#This Row],[Price_USD]])/VALUE(tbl_data[[#This Row],[Engine_CC]])),"")</f>
        <v/>
      </c>
      <c r="R686" s="1" t="str">
        <f>TRIM(tbl_data[[#This Row],[Brand]])</f>
        <v>Volkswagen</v>
      </c>
      <c r="S686" s="1">
        <f>_xlfn.NUMBERVALUE(tbl_data[[#This Row],[Price_USD]],".",",")</f>
        <v>33178.92</v>
      </c>
    </row>
    <row r="687" spans="1:19" x14ac:dyDescent="0.3">
      <c r="A687">
        <v>686</v>
      </c>
      <c r="B687" t="s">
        <v>76</v>
      </c>
      <c r="C687">
        <v>2006</v>
      </c>
      <c r="D687">
        <v>74184</v>
      </c>
      <c r="E687" t="s">
        <v>13</v>
      </c>
      <c r="F687" t="s">
        <v>21</v>
      </c>
      <c r="G687" t="s">
        <v>15</v>
      </c>
      <c r="H687">
        <v>3152</v>
      </c>
      <c r="I687" t="s">
        <v>1478</v>
      </c>
      <c r="J687" t="s">
        <v>1290</v>
      </c>
      <c r="K687">
        <v>5</v>
      </c>
      <c r="L687" t="s">
        <v>1974</v>
      </c>
      <c r="M687" s="1" t="str">
        <f>TEXT(DATE(tbl_data[[#This Row],[Model_Year]],1,1),"yyyy")</f>
        <v>2006</v>
      </c>
      <c r="N687" s="1" t="str">
        <f>IF(tbl_data[[#This Row],[Kilometers_Driven]]&lt;50000,"&lt;50k",
IF(tbl_data[[#This Row],[Kilometers_Driven]]&lt;100000,"50k-100k",
IF(tbl_data[[#This Row],[Kilometers_Driven]]&lt;150000,"100k-150k","150k+")))</f>
        <v>50k-100k</v>
      </c>
      <c r="O687" s="1" t="str">
        <f>IF(tbl_data[[#This Row],[Price_USD]]&gt;=87089,"High",
IF(tbl_data[[#This Row],[Price_USD]]&gt;=56807,"Mid","Low"))</f>
        <v>High</v>
      </c>
      <c r="P687" s="1" t="str">
        <f>IF(tbl_data[[#This Row],[Transmission]]="Automatic","Auto","Manual")</f>
        <v>Auto</v>
      </c>
      <c r="Q687" s="1" t="str">
        <f>IFERROR(IF(VALUE(tbl_data[[#This Row],[Engine_CC]])=0,"",VALUE(tbl_data[[#This Row],[Price_USD]])/VALUE(tbl_data[[#This Row],[Engine_CC]])),"")</f>
        <v/>
      </c>
      <c r="R687" s="1" t="str">
        <f>TRIM(tbl_data[[#This Row],[Brand]])</f>
        <v>Honda</v>
      </c>
      <c r="S687" s="1">
        <f>_xlfn.NUMBERVALUE(tbl_data[[#This Row],[Price_USD]],".",",")</f>
        <v>60507.16</v>
      </c>
    </row>
    <row r="688" spans="1:19" x14ac:dyDescent="0.3">
      <c r="A688">
        <v>687</v>
      </c>
      <c r="B688" t="s">
        <v>69</v>
      </c>
      <c r="C688">
        <v>2019</v>
      </c>
      <c r="D688">
        <v>184017</v>
      </c>
      <c r="E688" t="s">
        <v>20</v>
      </c>
      <c r="F688" t="s">
        <v>21</v>
      </c>
      <c r="G688" t="s">
        <v>26</v>
      </c>
      <c r="H688">
        <v>1967</v>
      </c>
      <c r="I688" t="s">
        <v>1975</v>
      </c>
      <c r="J688" t="s">
        <v>1976</v>
      </c>
      <c r="K688">
        <v>2</v>
      </c>
      <c r="L688" t="s">
        <v>1977</v>
      </c>
      <c r="M688" s="1" t="str">
        <f>TEXT(DATE(tbl_data[[#This Row],[Model_Year]],1,1),"yyyy")</f>
        <v>2019</v>
      </c>
      <c r="N688" s="1" t="str">
        <f>IF(tbl_data[[#This Row],[Kilometers_Driven]]&lt;50000,"&lt;50k",
IF(tbl_data[[#This Row],[Kilometers_Driven]]&lt;100000,"50k-100k",
IF(tbl_data[[#This Row],[Kilometers_Driven]]&lt;150000,"100k-150k","150k+")))</f>
        <v>150k+</v>
      </c>
      <c r="O688" s="1" t="str">
        <f>IF(tbl_data[[#This Row],[Price_USD]]&gt;=87089,"High",
IF(tbl_data[[#This Row],[Price_USD]]&gt;=56807,"Mid","Low"))</f>
        <v>High</v>
      </c>
      <c r="P688" s="1" t="str">
        <f>IF(tbl_data[[#This Row],[Transmission]]="Automatic","Auto","Manual")</f>
        <v>Auto</v>
      </c>
      <c r="Q688" s="1" t="str">
        <f>IFERROR(IF(VALUE(tbl_data[[#This Row],[Engine_CC]])=0,"",VALUE(tbl_data[[#This Row],[Price_USD]])/VALUE(tbl_data[[#This Row],[Engine_CC]])),"")</f>
        <v/>
      </c>
      <c r="R688" s="1" t="str">
        <f>TRIM(tbl_data[[#This Row],[Brand]])</f>
        <v>Hyundai</v>
      </c>
      <c r="S688" s="1">
        <f>_xlfn.NUMBERVALUE(tbl_data[[#This Row],[Price_USD]],".",",")</f>
        <v>117136.7</v>
      </c>
    </row>
    <row r="689" spans="1:19" x14ac:dyDescent="0.3">
      <c r="A689">
        <v>688</v>
      </c>
      <c r="B689" t="s">
        <v>69</v>
      </c>
      <c r="C689">
        <v>2006</v>
      </c>
      <c r="D689">
        <v>18140</v>
      </c>
      <c r="E689" t="s">
        <v>44</v>
      </c>
      <c r="F689" t="s">
        <v>14</v>
      </c>
      <c r="G689" t="s">
        <v>32</v>
      </c>
      <c r="H689">
        <v>910</v>
      </c>
      <c r="I689" t="s">
        <v>1978</v>
      </c>
      <c r="J689" t="s">
        <v>1979</v>
      </c>
      <c r="K689">
        <v>6</v>
      </c>
      <c r="L689" t="s">
        <v>1980</v>
      </c>
      <c r="M689" s="1" t="str">
        <f>TEXT(DATE(tbl_data[[#This Row],[Model_Year]],1,1),"yyyy")</f>
        <v>2006</v>
      </c>
      <c r="N689" s="1" t="str">
        <f>IF(tbl_data[[#This Row],[Kilometers_Driven]]&lt;50000,"&lt;50k",
IF(tbl_data[[#This Row],[Kilometers_Driven]]&lt;100000,"50k-100k",
IF(tbl_data[[#This Row],[Kilometers_Driven]]&lt;150000,"100k-150k","150k+")))</f>
        <v>&lt;50k</v>
      </c>
      <c r="O689" s="1" t="str">
        <f>IF(tbl_data[[#This Row],[Price_USD]]&gt;=87089,"High",
IF(tbl_data[[#This Row],[Price_USD]]&gt;=56807,"Mid","Low"))</f>
        <v>High</v>
      </c>
      <c r="P689" s="1" t="str">
        <f>IF(tbl_data[[#This Row],[Transmission]]="Automatic","Auto","Manual")</f>
        <v>Manual</v>
      </c>
      <c r="Q689" s="1" t="str">
        <f>IFERROR(IF(VALUE(tbl_data[[#This Row],[Engine_CC]])=0,"",VALUE(tbl_data[[#This Row],[Price_USD]])/VALUE(tbl_data[[#This Row],[Engine_CC]])),"")</f>
        <v/>
      </c>
      <c r="R689" s="1" t="str">
        <f>TRIM(tbl_data[[#This Row],[Brand]])</f>
        <v>Hyundai</v>
      </c>
      <c r="S689" s="1">
        <f>_xlfn.NUMBERVALUE(tbl_data[[#This Row],[Price_USD]],".",",")</f>
        <v>41989.279999999999</v>
      </c>
    </row>
    <row r="690" spans="1:19" x14ac:dyDescent="0.3">
      <c r="A690">
        <v>689</v>
      </c>
      <c r="B690" t="s">
        <v>43</v>
      </c>
      <c r="C690">
        <v>2008</v>
      </c>
      <c r="D690">
        <v>131468</v>
      </c>
      <c r="E690" t="s">
        <v>44</v>
      </c>
      <c r="F690" t="s">
        <v>21</v>
      </c>
      <c r="G690" t="s">
        <v>32</v>
      </c>
      <c r="H690">
        <v>4455</v>
      </c>
      <c r="I690" t="s">
        <v>1981</v>
      </c>
      <c r="J690" t="s">
        <v>1982</v>
      </c>
      <c r="K690">
        <v>7</v>
      </c>
      <c r="L690" t="s">
        <v>1983</v>
      </c>
      <c r="M690" s="1" t="str">
        <f>TEXT(DATE(tbl_data[[#This Row],[Model_Year]],1,1),"yyyy")</f>
        <v>2008</v>
      </c>
      <c r="N690" s="1" t="str">
        <f>IF(tbl_data[[#This Row],[Kilometers_Driven]]&lt;50000,"&lt;50k",
IF(tbl_data[[#This Row],[Kilometers_Driven]]&lt;100000,"50k-100k",
IF(tbl_data[[#This Row],[Kilometers_Driven]]&lt;150000,"100k-150k","150k+")))</f>
        <v>100k-150k</v>
      </c>
      <c r="O690" s="1" t="str">
        <f>IF(tbl_data[[#This Row],[Price_USD]]&gt;=87089,"High",
IF(tbl_data[[#This Row],[Price_USD]]&gt;=56807,"Mid","Low"))</f>
        <v>High</v>
      </c>
      <c r="P690" s="1" t="str">
        <f>IF(tbl_data[[#This Row],[Transmission]]="Automatic","Auto","Manual")</f>
        <v>Auto</v>
      </c>
      <c r="Q690" s="1" t="str">
        <f>IFERROR(IF(VALUE(tbl_data[[#This Row],[Engine_CC]])=0,"",VALUE(tbl_data[[#This Row],[Price_USD]])/VALUE(tbl_data[[#This Row],[Engine_CC]])),"")</f>
        <v/>
      </c>
      <c r="R690" s="1" t="str">
        <f>TRIM(tbl_data[[#This Row],[Brand]])</f>
        <v>Ford</v>
      </c>
      <c r="S690" s="1">
        <f>_xlfn.NUMBERVALUE(tbl_data[[#This Row],[Price_USD]],".",",")</f>
        <v>72620.42</v>
      </c>
    </row>
    <row r="691" spans="1:19" x14ac:dyDescent="0.3">
      <c r="A691">
        <v>690</v>
      </c>
      <c r="B691" t="s">
        <v>76</v>
      </c>
      <c r="C691">
        <v>2010</v>
      </c>
      <c r="D691">
        <v>88457</v>
      </c>
      <c r="E691" t="s">
        <v>13</v>
      </c>
      <c r="F691" t="s">
        <v>21</v>
      </c>
      <c r="G691" t="s">
        <v>26</v>
      </c>
      <c r="H691">
        <v>4593</v>
      </c>
      <c r="I691" t="s">
        <v>1984</v>
      </c>
      <c r="J691" t="s">
        <v>1985</v>
      </c>
      <c r="K691">
        <v>5</v>
      </c>
      <c r="L691" t="s">
        <v>1986</v>
      </c>
      <c r="M691" s="1" t="str">
        <f>TEXT(DATE(tbl_data[[#This Row],[Model_Year]],1,1),"yyyy")</f>
        <v>2010</v>
      </c>
      <c r="N691" s="1" t="str">
        <f>IF(tbl_data[[#This Row],[Kilometers_Driven]]&lt;50000,"&lt;50k",
IF(tbl_data[[#This Row],[Kilometers_Driven]]&lt;100000,"50k-100k",
IF(tbl_data[[#This Row],[Kilometers_Driven]]&lt;150000,"100k-150k","150k+")))</f>
        <v>50k-100k</v>
      </c>
      <c r="O691" s="1" t="str">
        <f>IF(tbl_data[[#This Row],[Price_USD]]&gt;=87089,"High",
IF(tbl_data[[#This Row],[Price_USD]]&gt;=56807,"Mid","Low"))</f>
        <v>High</v>
      </c>
      <c r="P691" s="1" t="str">
        <f>IF(tbl_data[[#This Row],[Transmission]]="Automatic","Auto","Manual")</f>
        <v>Auto</v>
      </c>
      <c r="Q691" s="1" t="str">
        <f>IFERROR(IF(VALUE(tbl_data[[#This Row],[Engine_CC]])=0,"",VALUE(tbl_data[[#This Row],[Price_USD]])/VALUE(tbl_data[[#This Row],[Engine_CC]])),"")</f>
        <v/>
      </c>
      <c r="R691" s="1" t="str">
        <f>TRIM(tbl_data[[#This Row],[Brand]])</f>
        <v>Honda</v>
      </c>
      <c r="S691" s="1">
        <f>_xlfn.NUMBERVALUE(tbl_data[[#This Row],[Price_USD]],".",",")</f>
        <v>13552.9</v>
      </c>
    </row>
    <row r="692" spans="1:19" x14ac:dyDescent="0.3">
      <c r="A692">
        <v>691</v>
      </c>
      <c r="B692" t="s">
        <v>92</v>
      </c>
      <c r="C692">
        <v>2011</v>
      </c>
      <c r="D692">
        <v>19357</v>
      </c>
      <c r="E692" t="s">
        <v>13</v>
      </c>
      <c r="F692" t="s">
        <v>14</v>
      </c>
      <c r="G692" t="s">
        <v>15</v>
      </c>
      <c r="H692">
        <v>2555</v>
      </c>
      <c r="I692" t="s">
        <v>293</v>
      </c>
      <c r="J692" t="s">
        <v>1987</v>
      </c>
      <c r="K692">
        <v>2</v>
      </c>
      <c r="L692" t="s">
        <v>1988</v>
      </c>
      <c r="M692" s="1" t="str">
        <f>TEXT(DATE(tbl_data[[#This Row],[Model_Year]],1,1),"yyyy")</f>
        <v>2011</v>
      </c>
      <c r="N692" s="1" t="str">
        <f>IF(tbl_data[[#This Row],[Kilometers_Driven]]&lt;50000,"&lt;50k",
IF(tbl_data[[#This Row],[Kilometers_Driven]]&lt;100000,"50k-100k",
IF(tbl_data[[#This Row],[Kilometers_Driven]]&lt;150000,"100k-150k","150k+")))</f>
        <v>&lt;50k</v>
      </c>
      <c r="O692" s="1" t="str">
        <f>IF(tbl_data[[#This Row],[Price_USD]]&gt;=87089,"High",
IF(tbl_data[[#This Row],[Price_USD]]&gt;=56807,"Mid","Low"))</f>
        <v>High</v>
      </c>
      <c r="P692" s="1" t="str">
        <f>IF(tbl_data[[#This Row],[Transmission]]="Automatic","Auto","Manual")</f>
        <v>Manual</v>
      </c>
      <c r="Q692" s="1" t="str">
        <f>IFERROR(IF(VALUE(tbl_data[[#This Row],[Engine_CC]])=0,"",VALUE(tbl_data[[#This Row],[Price_USD]])/VALUE(tbl_data[[#This Row],[Engine_CC]])),"")</f>
        <v/>
      </c>
      <c r="R692" s="1" t="str">
        <f>TRIM(tbl_data[[#This Row],[Brand]])</f>
        <v>Toyota</v>
      </c>
      <c r="S692" s="1">
        <f>_xlfn.NUMBERVALUE(tbl_data[[#This Row],[Price_USD]],".",",")</f>
        <v>73903.759999999995</v>
      </c>
    </row>
    <row r="693" spans="1:19" x14ac:dyDescent="0.3">
      <c r="A693">
        <v>692</v>
      </c>
      <c r="B693" t="s">
        <v>69</v>
      </c>
      <c r="C693">
        <v>2014</v>
      </c>
      <c r="D693">
        <v>116672</v>
      </c>
      <c r="E693" t="s">
        <v>13</v>
      </c>
      <c r="F693" t="s">
        <v>21</v>
      </c>
      <c r="G693" t="s">
        <v>26</v>
      </c>
      <c r="H693">
        <v>2377</v>
      </c>
      <c r="I693" t="s">
        <v>1989</v>
      </c>
      <c r="J693" t="s">
        <v>1990</v>
      </c>
      <c r="K693">
        <v>2</v>
      </c>
      <c r="L693" t="s">
        <v>1991</v>
      </c>
      <c r="M693" s="1" t="str">
        <f>TEXT(DATE(tbl_data[[#This Row],[Model_Year]],1,1),"yyyy")</f>
        <v>2014</v>
      </c>
      <c r="N693" s="1" t="str">
        <f>IF(tbl_data[[#This Row],[Kilometers_Driven]]&lt;50000,"&lt;50k",
IF(tbl_data[[#This Row],[Kilometers_Driven]]&lt;100000,"50k-100k",
IF(tbl_data[[#This Row],[Kilometers_Driven]]&lt;150000,"100k-150k","150k+")))</f>
        <v>100k-150k</v>
      </c>
      <c r="O693" s="1" t="str">
        <f>IF(tbl_data[[#This Row],[Price_USD]]&gt;=87089,"High",
IF(tbl_data[[#This Row],[Price_USD]]&gt;=56807,"Mid","Low"))</f>
        <v>High</v>
      </c>
      <c r="P693" s="1" t="str">
        <f>IF(tbl_data[[#This Row],[Transmission]]="Automatic","Auto","Manual")</f>
        <v>Auto</v>
      </c>
      <c r="Q693" s="1" t="str">
        <f>IFERROR(IF(VALUE(tbl_data[[#This Row],[Engine_CC]])=0,"",VALUE(tbl_data[[#This Row],[Price_USD]])/VALUE(tbl_data[[#This Row],[Engine_CC]])),"")</f>
        <v/>
      </c>
      <c r="R693" s="1" t="str">
        <f>TRIM(tbl_data[[#This Row],[Brand]])</f>
        <v>Hyundai</v>
      </c>
      <c r="S693" s="1">
        <f>_xlfn.NUMBERVALUE(tbl_data[[#This Row],[Price_USD]],".",",")</f>
        <v>13486.92</v>
      </c>
    </row>
    <row r="694" spans="1:19" x14ac:dyDescent="0.3">
      <c r="A694">
        <v>693</v>
      </c>
      <c r="B694" t="s">
        <v>30</v>
      </c>
      <c r="C694">
        <v>2023</v>
      </c>
      <c r="D694">
        <v>73673</v>
      </c>
      <c r="E694" t="s">
        <v>20</v>
      </c>
      <c r="F694" t="s">
        <v>21</v>
      </c>
      <c r="G694" t="s">
        <v>26</v>
      </c>
      <c r="H694">
        <v>2096</v>
      </c>
      <c r="I694" t="s">
        <v>575</v>
      </c>
      <c r="J694" t="s">
        <v>188</v>
      </c>
      <c r="K694">
        <v>2</v>
      </c>
      <c r="L694" t="s">
        <v>1992</v>
      </c>
      <c r="M694" s="1" t="str">
        <f>TEXT(DATE(tbl_data[[#This Row],[Model_Year]],1,1),"yyyy")</f>
        <v>2023</v>
      </c>
      <c r="N694" s="1" t="str">
        <f>IF(tbl_data[[#This Row],[Kilometers_Driven]]&lt;50000,"&lt;50k",
IF(tbl_data[[#This Row],[Kilometers_Driven]]&lt;100000,"50k-100k",
IF(tbl_data[[#This Row],[Kilometers_Driven]]&lt;150000,"100k-150k","150k+")))</f>
        <v>50k-100k</v>
      </c>
      <c r="O694" s="1" t="str">
        <f>IF(tbl_data[[#This Row],[Price_USD]]&gt;=87089,"High",
IF(tbl_data[[#This Row],[Price_USD]]&gt;=56807,"Mid","Low"))</f>
        <v>High</v>
      </c>
      <c r="P694" s="1" t="str">
        <f>IF(tbl_data[[#This Row],[Transmission]]="Automatic","Auto","Manual")</f>
        <v>Auto</v>
      </c>
      <c r="Q694" s="1" t="str">
        <f>IFERROR(IF(VALUE(tbl_data[[#This Row],[Engine_CC]])=0,"",VALUE(tbl_data[[#This Row],[Price_USD]])/VALUE(tbl_data[[#This Row],[Engine_CC]])),"")</f>
        <v/>
      </c>
      <c r="R694" s="1" t="str">
        <f>TRIM(tbl_data[[#This Row],[Brand]])</f>
        <v>Mercedes</v>
      </c>
      <c r="S694" s="1">
        <f>_xlfn.NUMBERVALUE(tbl_data[[#This Row],[Price_USD]],".",",")</f>
        <v>115230.55</v>
      </c>
    </row>
    <row r="695" spans="1:19" x14ac:dyDescent="0.3">
      <c r="A695">
        <v>694</v>
      </c>
      <c r="B695" t="s">
        <v>102</v>
      </c>
      <c r="C695">
        <v>2023</v>
      </c>
      <c r="D695">
        <v>126673</v>
      </c>
      <c r="E695" t="s">
        <v>13</v>
      </c>
      <c r="F695" t="s">
        <v>14</v>
      </c>
      <c r="G695" t="s">
        <v>26</v>
      </c>
      <c r="H695">
        <v>4574</v>
      </c>
      <c r="I695" t="s">
        <v>1930</v>
      </c>
      <c r="J695" t="s">
        <v>1993</v>
      </c>
      <c r="K695">
        <v>5</v>
      </c>
      <c r="L695" t="s">
        <v>1994</v>
      </c>
      <c r="M695" s="1" t="str">
        <f>TEXT(DATE(tbl_data[[#This Row],[Model_Year]],1,1),"yyyy")</f>
        <v>2023</v>
      </c>
      <c r="N695" s="1" t="str">
        <f>IF(tbl_data[[#This Row],[Kilometers_Driven]]&lt;50000,"&lt;50k",
IF(tbl_data[[#This Row],[Kilometers_Driven]]&lt;100000,"50k-100k",
IF(tbl_data[[#This Row],[Kilometers_Driven]]&lt;150000,"100k-150k","150k+")))</f>
        <v>100k-150k</v>
      </c>
      <c r="O695" s="1" t="str">
        <f>IF(tbl_data[[#This Row],[Price_USD]]&gt;=87089,"High",
IF(tbl_data[[#This Row],[Price_USD]]&gt;=56807,"Mid","Low"))</f>
        <v>High</v>
      </c>
      <c r="P695" s="1" t="str">
        <f>IF(tbl_data[[#This Row],[Transmission]]="Automatic","Auto","Manual")</f>
        <v>Manual</v>
      </c>
      <c r="Q695" s="1" t="str">
        <f>IFERROR(IF(VALUE(tbl_data[[#This Row],[Engine_CC]])=0,"",VALUE(tbl_data[[#This Row],[Price_USD]])/VALUE(tbl_data[[#This Row],[Engine_CC]])),"")</f>
        <v/>
      </c>
      <c r="R695" s="1" t="str">
        <f>TRIM(tbl_data[[#This Row],[Brand]])</f>
        <v>Nissan</v>
      </c>
      <c r="S695" s="1">
        <f>_xlfn.NUMBERVALUE(tbl_data[[#This Row],[Price_USD]],".",",")</f>
        <v>86732.53</v>
      </c>
    </row>
    <row r="696" spans="1:19" x14ac:dyDescent="0.3">
      <c r="A696">
        <v>695</v>
      </c>
      <c r="B696" t="s">
        <v>92</v>
      </c>
      <c r="C696">
        <v>2016</v>
      </c>
      <c r="D696">
        <v>70633</v>
      </c>
      <c r="E696" t="s">
        <v>44</v>
      </c>
      <c r="F696" t="s">
        <v>21</v>
      </c>
      <c r="G696" t="s">
        <v>32</v>
      </c>
      <c r="H696">
        <v>3020</v>
      </c>
      <c r="I696" t="s">
        <v>1995</v>
      </c>
      <c r="J696" t="s">
        <v>1996</v>
      </c>
      <c r="K696">
        <v>6</v>
      </c>
      <c r="L696" t="s">
        <v>1997</v>
      </c>
      <c r="M696" s="1" t="str">
        <f>TEXT(DATE(tbl_data[[#This Row],[Model_Year]],1,1),"yyyy")</f>
        <v>2016</v>
      </c>
      <c r="N696" s="1" t="str">
        <f>IF(tbl_data[[#This Row],[Kilometers_Driven]]&lt;50000,"&lt;50k",
IF(tbl_data[[#This Row],[Kilometers_Driven]]&lt;100000,"50k-100k",
IF(tbl_data[[#This Row],[Kilometers_Driven]]&lt;150000,"100k-150k","150k+")))</f>
        <v>50k-100k</v>
      </c>
      <c r="O696" s="1" t="str">
        <f>IF(tbl_data[[#This Row],[Price_USD]]&gt;=87089,"High",
IF(tbl_data[[#This Row],[Price_USD]]&gt;=56807,"Mid","Low"))</f>
        <v>High</v>
      </c>
      <c r="P696" s="1" t="str">
        <f>IF(tbl_data[[#This Row],[Transmission]]="Automatic","Auto","Manual")</f>
        <v>Auto</v>
      </c>
      <c r="Q696" s="1" t="str">
        <f>IFERROR(IF(VALUE(tbl_data[[#This Row],[Engine_CC]])=0,"",VALUE(tbl_data[[#This Row],[Price_USD]])/VALUE(tbl_data[[#This Row],[Engine_CC]])),"")</f>
        <v/>
      </c>
      <c r="R696" s="1" t="str">
        <f>TRIM(tbl_data[[#This Row],[Brand]])</f>
        <v>Toyota</v>
      </c>
      <c r="S696" s="1">
        <f>_xlfn.NUMBERVALUE(tbl_data[[#This Row],[Price_USD]],".",",")</f>
        <v>95214.7</v>
      </c>
    </row>
    <row r="697" spans="1:19" x14ac:dyDescent="0.3">
      <c r="A697">
        <v>696</v>
      </c>
      <c r="B697" t="s">
        <v>12</v>
      </c>
      <c r="C697">
        <v>2007</v>
      </c>
      <c r="D697">
        <v>101111</v>
      </c>
      <c r="E697" t="s">
        <v>44</v>
      </c>
      <c r="F697" t="s">
        <v>14</v>
      </c>
      <c r="G697" t="s">
        <v>15</v>
      </c>
      <c r="H697">
        <v>1772</v>
      </c>
      <c r="I697" t="s">
        <v>1998</v>
      </c>
      <c r="J697" t="s">
        <v>1999</v>
      </c>
      <c r="K697">
        <v>2</v>
      </c>
      <c r="L697" t="s">
        <v>2000</v>
      </c>
      <c r="M697" s="1" t="str">
        <f>TEXT(DATE(tbl_data[[#This Row],[Model_Year]],1,1),"yyyy")</f>
        <v>2007</v>
      </c>
      <c r="N697" s="1" t="str">
        <f>IF(tbl_data[[#This Row],[Kilometers_Driven]]&lt;50000,"&lt;50k",
IF(tbl_data[[#This Row],[Kilometers_Driven]]&lt;100000,"50k-100k",
IF(tbl_data[[#This Row],[Kilometers_Driven]]&lt;150000,"100k-150k","150k+")))</f>
        <v>100k-150k</v>
      </c>
      <c r="O697" s="1" t="str">
        <f>IF(tbl_data[[#This Row],[Price_USD]]&gt;=87089,"High",
IF(tbl_data[[#This Row],[Price_USD]]&gt;=56807,"Mid","Low"))</f>
        <v>High</v>
      </c>
      <c r="P697" s="1" t="str">
        <f>IF(tbl_data[[#This Row],[Transmission]]="Automatic","Auto","Manual")</f>
        <v>Manual</v>
      </c>
      <c r="Q697" s="1" t="str">
        <f>IFERROR(IF(VALUE(tbl_data[[#This Row],[Engine_CC]])=0,"",VALUE(tbl_data[[#This Row],[Price_USD]])/VALUE(tbl_data[[#This Row],[Engine_CC]])),"")</f>
        <v/>
      </c>
      <c r="R697" s="1" t="str">
        <f>TRIM(tbl_data[[#This Row],[Brand]])</f>
        <v>Audi</v>
      </c>
      <c r="S697" s="1">
        <f>_xlfn.NUMBERVALUE(tbl_data[[#This Row],[Price_USD]],".",",")</f>
        <v>85380.21</v>
      </c>
    </row>
    <row r="698" spans="1:19" x14ac:dyDescent="0.3">
      <c r="A698">
        <v>697</v>
      </c>
      <c r="B698" t="s">
        <v>30</v>
      </c>
      <c r="C698">
        <v>2017</v>
      </c>
      <c r="D698">
        <v>83258</v>
      </c>
      <c r="E698" t="s">
        <v>31</v>
      </c>
      <c r="F698" t="s">
        <v>14</v>
      </c>
      <c r="G698" t="s">
        <v>15</v>
      </c>
      <c r="H698">
        <v>1830</v>
      </c>
      <c r="I698" t="s">
        <v>2001</v>
      </c>
      <c r="J698" t="s">
        <v>2002</v>
      </c>
      <c r="K698">
        <v>7</v>
      </c>
      <c r="L698" t="s">
        <v>2003</v>
      </c>
      <c r="M698" s="1" t="str">
        <f>TEXT(DATE(tbl_data[[#This Row],[Model_Year]],1,1),"yyyy")</f>
        <v>2017</v>
      </c>
      <c r="N698" s="1" t="str">
        <f>IF(tbl_data[[#This Row],[Kilometers_Driven]]&lt;50000,"&lt;50k",
IF(tbl_data[[#This Row],[Kilometers_Driven]]&lt;100000,"50k-100k",
IF(tbl_data[[#This Row],[Kilometers_Driven]]&lt;150000,"100k-150k","150k+")))</f>
        <v>50k-100k</v>
      </c>
      <c r="O698" s="1" t="str">
        <f>IF(tbl_data[[#This Row],[Price_USD]]&gt;=87089,"High",
IF(tbl_data[[#This Row],[Price_USD]]&gt;=56807,"Mid","Low"))</f>
        <v>High</v>
      </c>
      <c r="P698" s="1" t="str">
        <f>IF(tbl_data[[#This Row],[Transmission]]="Automatic","Auto","Manual")</f>
        <v>Manual</v>
      </c>
      <c r="Q698" s="1" t="str">
        <f>IFERROR(IF(VALUE(tbl_data[[#This Row],[Engine_CC]])=0,"",VALUE(tbl_data[[#This Row],[Price_USD]])/VALUE(tbl_data[[#This Row],[Engine_CC]])),"")</f>
        <v/>
      </c>
      <c r="R698" s="1" t="str">
        <f>TRIM(tbl_data[[#This Row],[Brand]])</f>
        <v>Mercedes</v>
      </c>
      <c r="S698" s="1">
        <f>_xlfn.NUMBERVALUE(tbl_data[[#This Row],[Price_USD]],".",",")</f>
        <v>71998.3</v>
      </c>
    </row>
    <row r="699" spans="1:19" x14ac:dyDescent="0.3">
      <c r="A699">
        <v>698</v>
      </c>
      <c r="B699" t="s">
        <v>30</v>
      </c>
      <c r="C699">
        <v>2022</v>
      </c>
      <c r="D699">
        <v>148996</v>
      </c>
      <c r="E699" t="s">
        <v>20</v>
      </c>
      <c r="F699" t="s">
        <v>14</v>
      </c>
      <c r="G699" t="s">
        <v>26</v>
      </c>
      <c r="H699">
        <v>3393</v>
      </c>
      <c r="I699" t="s">
        <v>2004</v>
      </c>
      <c r="J699" t="s">
        <v>2005</v>
      </c>
      <c r="K699">
        <v>2</v>
      </c>
      <c r="L699" t="s">
        <v>2006</v>
      </c>
      <c r="M699" s="1" t="str">
        <f>TEXT(DATE(tbl_data[[#This Row],[Model_Year]],1,1),"yyyy")</f>
        <v>2022</v>
      </c>
      <c r="N699" s="1" t="str">
        <f>IF(tbl_data[[#This Row],[Kilometers_Driven]]&lt;50000,"&lt;50k",
IF(tbl_data[[#This Row],[Kilometers_Driven]]&lt;100000,"50k-100k",
IF(tbl_data[[#This Row],[Kilometers_Driven]]&lt;150000,"100k-150k","150k+")))</f>
        <v>100k-150k</v>
      </c>
      <c r="O699" s="1" t="str">
        <f>IF(tbl_data[[#This Row],[Price_USD]]&gt;=87089,"High",
IF(tbl_data[[#This Row],[Price_USD]]&gt;=56807,"Mid","Low"))</f>
        <v>High</v>
      </c>
      <c r="P699" s="1" t="str">
        <f>IF(tbl_data[[#This Row],[Transmission]]="Automatic","Auto","Manual")</f>
        <v>Manual</v>
      </c>
      <c r="Q699" s="1" t="str">
        <f>IFERROR(IF(VALUE(tbl_data[[#This Row],[Engine_CC]])=0,"",VALUE(tbl_data[[#This Row],[Price_USD]])/VALUE(tbl_data[[#This Row],[Engine_CC]])),"")</f>
        <v/>
      </c>
      <c r="R699" s="1" t="str">
        <f>TRIM(tbl_data[[#This Row],[Brand]])</f>
        <v>Mercedes</v>
      </c>
      <c r="S699" s="1">
        <f>_xlfn.NUMBERVALUE(tbl_data[[#This Row],[Price_USD]],".",",")</f>
        <v>55639.8</v>
      </c>
    </row>
    <row r="700" spans="1:19" x14ac:dyDescent="0.3">
      <c r="A700">
        <v>699</v>
      </c>
      <c r="B700" t="s">
        <v>76</v>
      </c>
      <c r="C700">
        <v>2012</v>
      </c>
      <c r="D700">
        <v>74286</v>
      </c>
      <c r="E700" t="s">
        <v>31</v>
      </c>
      <c r="F700" t="s">
        <v>14</v>
      </c>
      <c r="G700" t="s">
        <v>32</v>
      </c>
      <c r="H700">
        <v>4792</v>
      </c>
      <c r="I700" t="s">
        <v>2007</v>
      </c>
      <c r="J700" t="s">
        <v>2008</v>
      </c>
      <c r="K700">
        <v>6</v>
      </c>
      <c r="L700" t="s">
        <v>2009</v>
      </c>
      <c r="M700" s="1" t="str">
        <f>TEXT(DATE(tbl_data[[#This Row],[Model_Year]],1,1),"yyyy")</f>
        <v>2012</v>
      </c>
      <c r="N700" s="1" t="str">
        <f>IF(tbl_data[[#This Row],[Kilometers_Driven]]&lt;50000,"&lt;50k",
IF(tbl_data[[#This Row],[Kilometers_Driven]]&lt;100000,"50k-100k",
IF(tbl_data[[#This Row],[Kilometers_Driven]]&lt;150000,"100k-150k","150k+")))</f>
        <v>50k-100k</v>
      </c>
      <c r="O700" s="1" t="str">
        <f>IF(tbl_data[[#This Row],[Price_USD]]&gt;=87089,"High",
IF(tbl_data[[#This Row],[Price_USD]]&gt;=56807,"Mid","Low"))</f>
        <v>High</v>
      </c>
      <c r="P700" s="1" t="str">
        <f>IF(tbl_data[[#This Row],[Transmission]]="Automatic","Auto","Manual")</f>
        <v>Manual</v>
      </c>
      <c r="Q700" s="1" t="str">
        <f>IFERROR(IF(VALUE(tbl_data[[#This Row],[Engine_CC]])=0,"",VALUE(tbl_data[[#This Row],[Price_USD]])/VALUE(tbl_data[[#This Row],[Engine_CC]])),"")</f>
        <v/>
      </c>
      <c r="R700" s="1" t="str">
        <f>TRIM(tbl_data[[#This Row],[Brand]])</f>
        <v>Honda</v>
      </c>
      <c r="S700" s="1">
        <f>_xlfn.NUMBERVALUE(tbl_data[[#This Row],[Price_USD]],".",",")</f>
        <v>103429.69</v>
      </c>
    </row>
    <row r="701" spans="1:19" x14ac:dyDescent="0.3">
      <c r="A701">
        <v>700</v>
      </c>
      <c r="B701" t="s">
        <v>43</v>
      </c>
      <c r="C701">
        <v>2019</v>
      </c>
      <c r="D701">
        <v>98269</v>
      </c>
      <c r="E701" t="s">
        <v>44</v>
      </c>
      <c r="F701" t="s">
        <v>21</v>
      </c>
      <c r="G701" t="s">
        <v>26</v>
      </c>
      <c r="H701">
        <v>1713</v>
      </c>
      <c r="I701" t="s">
        <v>2010</v>
      </c>
      <c r="J701" t="s">
        <v>2011</v>
      </c>
      <c r="K701">
        <v>5</v>
      </c>
      <c r="L701" t="s">
        <v>2012</v>
      </c>
      <c r="M701" s="1" t="str">
        <f>TEXT(DATE(tbl_data[[#This Row],[Model_Year]],1,1),"yyyy")</f>
        <v>2019</v>
      </c>
      <c r="N701" s="1" t="str">
        <f>IF(tbl_data[[#This Row],[Kilometers_Driven]]&lt;50000,"&lt;50k",
IF(tbl_data[[#This Row],[Kilometers_Driven]]&lt;100000,"50k-100k",
IF(tbl_data[[#This Row],[Kilometers_Driven]]&lt;150000,"100k-150k","150k+")))</f>
        <v>50k-100k</v>
      </c>
      <c r="O701" s="1" t="str">
        <f>IF(tbl_data[[#This Row],[Price_USD]]&gt;=87089,"High",
IF(tbl_data[[#This Row],[Price_USD]]&gt;=56807,"Mid","Low"))</f>
        <v>High</v>
      </c>
      <c r="P701" s="1" t="str">
        <f>IF(tbl_data[[#This Row],[Transmission]]="Automatic","Auto","Manual")</f>
        <v>Auto</v>
      </c>
      <c r="Q701" s="1" t="str">
        <f>IFERROR(IF(VALUE(tbl_data[[#This Row],[Engine_CC]])=0,"",VALUE(tbl_data[[#This Row],[Price_USD]])/VALUE(tbl_data[[#This Row],[Engine_CC]])),"")</f>
        <v/>
      </c>
      <c r="R701" s="1" t="str">
        <f>TRIM(tbl_data[[#This Row],[Brand]])</f>
        <v>Ford</v>
      </c>
      <c r="S701" s="1">
        <f>_xlfn.NUMBERVALUE(tbl_data[[#This Row],[Price_USD]],".",",")</f>
        <v>114949.77</v>
      </c>
    </row>
    <row r="702" spans="1:19" x14ac:dyDescent="0.3">
      <c r="A702">
        <v>701</v>
      </c>
      <c r="B702" t="s">
        <v>12</v>
      </c>
      <c r="C702">
        <v>2005</v>
      </c>
      <c r="D702">
        <v>79071</v>
      </c>
      <c r="E702" t="s">
        <v>31</v>
      </c>
      <c r="F702" t="s">
        <v>14</v>
      </c>
      <c r="G702" t="s">
        <v>32</v>
      </c>
      <c r="H702">
        <v>2981</v>
      </c>
      <c r="I702" t="s">
        <v>1808</v>
      </c>
      <c r="J702" t="s">
        <v>2013</v>
      </c>
      <c r="K702">
        <v>2</v>
      </c>
      <c r="L702" t="s">
        <v>2014</v>
      </c>
      <c r="M702" s="1" t="str">
        <f>TEXT(DATE(tbl_data[[#This Row],[Model_Year]],1,1),"yyyy")</f>
        <v>2005</v>
      </c>
      <c r="N702" s="1" t="str">
        <f>IF(tbl_data[[#This Row],[Kilometers_Driven]]&lt;50000,"&lt;50k",
IF(tbl_data[[#This Row],[Kilometers_Driven]]&lt;100000,"50k-100k",
IF(tbl_data[[#This Row],[Kilometers_Driven]]&lt;150000,"100k-150k","150k+")))</f>
        <v>50k-100k</v>
      </c>
      <c r="O702" s="1" t="str">
        <f>IF(tbl_data[[#This Row],[Price_USD]]&gt;=87089,"High",
IF(tbl_data[[#This Row],[Price_USD]]&gt;=56807,"Mid","Low"))</f>
        <v>High</v>
      </c>
      <c r="P702" s="1" t="str">
        <f>IF(tbl_data[[#This Row],[Transmission]]="Automatic","Auto","Manual")</f>
        <v>Manual</v>
      </c>
      <c r="Q702" s="1" t="str">
        <f>IFERROR(IF(VALUE(tbl_data[[#This Row],[Engine_CC]])=0,"",VALUE(tbl_data[[#This Row],[Price_USD]])/VALUE(tbl_data[[#This Row],[Engine_CC]])),"")</f>
        <v/>
      </c>
      <c r="R702" s="1" t="str">
        <f>TRIM(tbl_data[[#This Row],[Brand]])</f>
        <v>Audi</v>
      </c>
      <c r="S702" s="1">
        <f>_xlfn.NUMBERVALUE(tbl_data[[#This Row],[Price_USD]],".",",")</f>
        <v>61387.23</v>
      </c>
    </row>
    <row r="703" spans="1:19" x14ac:dyDescent="0.3">
      <c r="A703">
        <v>702</v>
      </c>
      <c r="B703" t="s">
        <v>69</v>
      </c>
      <c r="C703">
        <v>2007</v>
      </c>
      <c r="D703">
        <v>193398</v>
      </c>
      <c r="E703" t="s">
        <v>44</v>
      </c>
      <c r="F703" t="s">
        <v>14</v>
      </c>
      <c r="G703" t="s">
        <v>32</v>
      </c>
      <c r="H703">
        <v>3997</v>
      </c>
      <c r="I703" t="s">
        <v>2015</v>
      </c>
      <c r="J703" t="s">
        <v>2016</v>
      </c>
      <c r="K703">
        <v>2</v>
      </c>
      <c r="L703" t="s">
        <v>2017</v>
      </c>
      <c r="M703" s="1" t="str">
        <f>TEXT(DATE(tbl_data[[#This Row],[Model_Year]],1,1),"yyyy")</f>
        <v>2007</v>
      </c>
      <c r="N703" s="1" t="str">
        <f>IF(tbl_data[[#This Row],[Kilometers_Driven]]&lt;50000,"&lt;50k",
IF(tbl_data[[#This Row],[Kilometers_Driven]]&lt;100000,"50k-100k",
IF(tbl_data[[#This Row],[Kilometers_Driven]]&lt;150000,"100k-150k","150k+")))</f>
        <v>150k+</v>
      </c>
      <c r="O703" s="1" t="str">
        <f>IF(tbl_data[[#This Row],[Price_USD]]&gt;=87089,"High",
IF(tbl_data[[#This Row],[Price_USD]]&gt;=56807,"Mid","Low"))</f>
        <v>High</v>
      </c>
      <c r="P703" s="1" t="str">
        <f>IF(tbl_data[[#This Row],[Transmission]]="Automatic","Auto","Manual")</f>
        <v>Manual</v>
      </c>
      <c r="Q703" s="1" t="str">
        <f>IFERROR(IF(VALUE(tbl_data[[#This Row],[Engine_CC]])=0,"",VALUE(tbl_data[[#This Row],[Price_USD]])/VALUE(tbl_data[[#This Row],[Engine_CC]])),"")</f>
        <v/>
      </c>
      <c r="R703" s="1" t="str">
        <f>TRIM(tbl_data[[#This Row],[Brand]])</f>
        <v>Hyundai</v>
      </c>
      <c r="S703" s="1">
        <f>_xlfn.NUMBERVALUE(tbl_data[[#This Row],[Price_USD]],".",",")</f>
        <v>111989.6</v>
      </c>
    </row>
    <row r="704" spans="1:19" x14ac:dyDescent="0.3">
      <c r="A704">
        <v>703</v>
      </c>
      <c r="B704" t="s">
        <v>76</v>
      </c>
      <c r="C704">
        <v>2012</v>
      </c>
      <c r="D704">
        <v>35651</v>
      </c>
      <c r="E704" t="s">
        <v>31</v>
      </c>
      <c r="F704" t="s">
        <v>21</v>
      </c>
      <c r="G704" t="s">
        <v>32</v>
      </c>
      <c r="H704">
        <v>2262</v>
      </c>
      <c r="I704" t="s">
        <v>2018</v>
      </c>
      <c r="J704" t="s">
        <v>2019</v>
      </c>
      <c r="K704">
        <v>7</v>
      </c>
      <c r="L704" t="s">
        <v>2020</v>
      </c>
      <c r="M704" s="1" t="str">
        <f>TEXT(DATE(tbl_data[[#This Row],[Model_Year]],1,1),"yyyy")</f>
        <v>2012</v>
      </c>
      <c r="N704" s="1" t="str">
        <f>IF(tbl_data[[#This Row],[Kilometers_Driven]]&lt;50000,"&lt;50k",
IF(tbl_data[[#This Row],[Kilometers_Driven]]&lt;100000,"50k-100k",
IF(tbl_data[[#This Row],[Kilometers_Driven]]&lt;150000,"100k-150k","150k+")))</f>
        <v>&lt;50k</v>
      </c>
      <c r="O704" s="1" t="str">
        <f>IF(tbl_data[[#This Row],[Price_USD]]&gt;=87089,"High",
IF(tbl_data[[#This Row],[Price_USD]]&gt;=56807,"Mid","Low"))</f>
        <v>High</v>
      </c>
      <c r="P704" s="1" t="str">
        <f>IF(tbl_data[[#This Row],[Transmission]]="Automatic","Auto","Manual")</f>
        <v>Auto</v>
      </c>
      <c r="Q704" s="1" t="str">
        <f>IFERROR(IF(VALUE(tbl_data[[#This Row],[Engine_CC]])=0,"",VALUE(tbl_data[[#This Row],[Price_USD]])/VALUE(tbl_data[[#This Row],[Engine_CC]])),"")</f>
        <v/>
      </c>
      <c r="R704" s="1" t="str">
        <f>TRIM(tbl_data[[#This Row],[Brand]])</f>
        <v>Honda</v>
      </c>
      <c r="S704" s="1">
        <f>_xlfn.NUMBERVALUE(tbl_data[[#This Row],[Price_USD]],".",",")</f>
        <v>71249.95</v>
      </c>
    </row>
    <row r="705" spans="1:19" x14ac:dyDescent="0.3">
      <c r="A705">
        <v>704</v>
      </c>
      <c r="B705" t="s">
        <v>69</v>
      </c>
      <c r="C705">
        <v>2008</v>
      </c>
      <c r="D705">
        <v>75202</v>
      </c>
      <c r="E705" t="s">
        <v>13</v>
      </c>
      <c r="F705" t="s">
        <v>14</v>
      </c>
      <c r="G705" t="s">
        <v>32</v>
      </c>
      <c r="H705">
        <v>3178</v>
      </c>
      <c r="I705" t="s">
        <v>2021</v>
      </c>
      <c r="J705" t="s">
        <v>2022</v>
      </c>
      <c r="K705">
        <v>7</v>
      </c>
      <c r="L705" t="s">
        <v>2023</v>
      </c>
      <c r="M705" s="1" t="str">
        <f>TEXT(DATE(tbl_data[[#This Row],[Model_Year]],1,1),"yyyy")</f>
        <v>2008</v>
      </c>
      <c r="N705" s="1" t="str">
        <f>IF(tbl_data[[#This Row],[Kilometers_Driven]]&lt;50000,"&lt;50k",
IF(tbl_data[[#This Row],[Kilometers_Driven]]&lt;100000,"50k-100k",
IF(tbl_data[[#This Row],[Kilometers_Driven]]&lt;150000,"100k-150k","150k+")))</f>
        <v>50k-100k</v>
      </c>
      <c r="O705" s="1" t="str">
        <f>IF(tbl_data[[#This Row],[Price_USD]]&gt;=87089,"High",
IF(tbl_data[[#This Row],[Price_USD]]&gt;=56807,"Mid","Low"))</f>
        <v>High</v>
      </c>
      <c r="P705" s="1" t="str">
        <f>IF(tbl_data[[#This Row],[Transmission]]="Automatic","Auto","Manual")</f>
        <v>Manual</v>
      </c>
      <c r="Q705" s="1" t="str">
        <f>IFERROR(IF(VALUE(tbl_data[[#This Row],[Engine_CC]])=0,"",VALUE(tbl_data[[#This Row],[Price_USD]])/VALUE(tbl_data[[#This Row],[Engine_CC]])),"")</f>
        <v/>
      </c>
      <c r="R705" s="1" t="str">
        <f>TRIM(tbl_data[[#This Row],[Brand]])</f>
        <v>Hyundai</v>
      </c>
      <c r="S705" s="1">
        <f>_xlfn.NUMBERVALUE(tbl_data[[#This Row],[Price_USD]],".",",")</f>
        <v>65990.95</v>
      </c>
    </row>
    <row r="706" spans="1:19" x14ac:dyDescent="0.3">
      <c r="A706">
        <v>705</v>
      </c>
      <c r="B706" t="s">
        <v>76</v>
      </c>
      <c r="C706">
        <v>2020</v>
      </c>
      <c r="D706">
        <v>53777</v>
      </c>
      <c r="E706" t="s">
        <v>31</v>
      </c>
      <c r="F706" t="s">
        <v>14</v>
      </c>
      <c r="G706" t="s">
        <v>15</v>
      </c>
      <c r="H706">
        <v>4254</v>
      </c>
      <c r="I706" t="s">
        <v>2024</v>
      </c>
      <c r="J706" t="s">
        <v>2025</v>
      </c>
      <c r="K706">
        <v>2</v>
      </c>
      <c r="L706" t="s">
        <v>2026</v>
      </c>
      <c r="M706" s="1" t="str">
        <f>TEXT(DATE(tbl_data[[#This Row],[Model_Year]],1,1),"yyyy")</f>
        <v>2020</v>
      </c>
      <c r="N706" s="1" t="str">
        <f>IF(tbl_data[[#This Row],[Kilometers_Driven]]&lt;50000,"&lt;50k",
IF(tbl_data[[#This Row],[Kilometers_Driven]]&lt;100000,"50k-100k",
IF(tbl_data[[#This Row],[Kilometers_Driven]]&lt;150000,"100k-150k","150k+")))</f>
        <v>50k-100k</v>
      </c>
      <c r="O706" s="1" t="str">
        <f>IF(tbl_data[[#This Row],[Price_USD]]&gt;=87089,"High",
IF(tbl_data[[#This Row],[Price_USD]]&gt;=56807,"Mid","Low"))</f>
        <v>High</v>
      </c>
      <c r="P706" s="1" t="str">
        <f>IF(tbl_data[[#This Row],[Transmission]]="Automatic","Auto","Manual")</f>
        <v>Manual</v>
      </c>
      <c r="Q706" s="1" t="str">
        <f>IFERROR(IF(VALUE(tbl_data[[#This Row],[Engine_CC]])=0,"",VALUE(tbl_data[[#This Row],[Price_USD]])/VALUE(tbl_data[[#This Row],[Engine_CC]])),"")</f>
        <v/>
      </c>
      <c r="R706" s="1" t="str">
        <f>TRIM(tbl_data[[#This Row],[Brand]])</f>
        <v>Honda</v>
      </c>
      <c r="S706" s="1">
        <f>_xlfn.NUMBERVALUE(tbl_data[[#This Row],[Price_USD]],".",",")</f>
        <v>56174.48</v>
      </c>
    </row>
    <row r="707" spans="1:19" x14ac:dyDescent="0.3">
      <c r="A707">
        <v>706</v>
      </c>
      <c r="B707" t="s">
        <v>76</v>
      </c>
      <c r="C707">
        <v>2014</v>
      </c>
      <c r="D707">
        <v>153066</v>
      </c>
      <c r="E707" t="s">
        <v>13</v>
      </c>
      <c r="F707" t="s">
        <v>14</v>
      </c>
      <c r="G707" t="s">
        <v>32</v>
      </c>
      <c r="H707">
        <v>4353</v>
      </c>
      <c r="I707" t="s">
        <v>2027</v>
      </c>
      <c r="J707" t="s">
        <v>170</v>
      </c>
      <c r="K707">
        <v>2</v>
      </c>
      <c r="L707" t="s">
        <v>2028</v>
      </c>
      <c r="M707" s="1" t="str">
        <f>TEXT(DATE(tbl_data[[#This Row],[Model_Year]],1,1),"yyyy")</f>
        <v>2014</v>
      </c>
      <c r="N707" s="1" t="str">
        <f>IF(tbl_data[[#This Row],[Kilometers_Driven]]&lt;50000,"&lt;50k",
IF(tbl_data[[#This Row],[Kilometers_Driven]]&lt;100000,"50k-100k",
IF(tbl_data[[#This Row],[Kilometers_Driven]]&lt;150000,"100k-150k","150k+")))</f>
        <v>150k+</v>
      </c>
      <c r="O707" s="1" t="str">
        <f>IF(tbl_data[[#This Row],[Price_USD]]&gt;=87089,"High",
IF(tbl_data[[#This Row],[Price_USD]]&gt;=56807,"Mid","Low"))</f>
        <v>High</v>
      </c>
      <c r="P707" s="1" t="str">
        <f>IF(tbl_data[[#This Row],[Transmission]]="Automatic","Auto","Manual")</f>
        <v>Manual</v>
      </c>
      <c r="Q707" s="1" t="str">
        <f>IFERROR(IF(VALUE(tbl_data[[#This Row],[Engine_CC]])=0,"",VALUE(tbl_data[[#This Row],[Price_USD]])/VALUE(tbl_data[[#This Row],[Engine_CC]])),"")</f>
        <v/>
      </c>
      <c r="R707" s="1" t="str">
        <f>TRIM(tbl_data[[#This Row],[Brand]])</f>
        <v>Honda</v>
      </c>
      <c r="S707" s="1">
        <f>_xlfn.NUMBERVALUE(tbl_data[[#This Row],[Price_USD]],".",",")</f>
        <v>27486.67</v>
      </c>
    </row>
    <row r="708" spans="1:19" x14ac:dyDescent="0.3">
      <c r="A708">
        <v>707</v>
      </c>
      <c r="B708" t="s">
        <v>76</v>
      </c>
      <c r="C708">
        <v>2016</v>
      </c>
      <c r="D708">
        <v>72263</v>
      </c>
      <c r="E708" t="s">
        <v>13</v>
      </c>
      <c r="F708" t="s">
        <v>14</v>
      </c>
      <c r="G708" t="s">
        <v>32</v>
      </c>
      <c r="H708">
        <v>2107</v>
      </c>
      <c r="I708" t="s">
        <v>2029</v>
      </c>
      <c r="J708" t="s">
        <v>276</v>
      </c>
      <c r="K708">
        <v>7</v>
      </c>
      <c r="L708" t="s">
        <v>2030</v>
      </c>
      <c r="M708" s="1" t="str">
        <f>TEXT(DATE(tbl_data[[#This Row],[Model_Year]],1,1),"yyyy")</f>
        <v>2016</v>
      </c>
      <c r="N708" s="1" t="str">
        <f>IF(tbl_data[[#This Row],[Kilometers_Driven]]&lt;50000,"&lt;50k",
IF(tbl_data[[#This Row],[Kilometers_Driven]]&lt;100000,"50k-100k",
IF(tbl_data[[#This Row],[Kilometers_Driven]]&lt;150000,"100k-150k","150k+")))</f>
        <v>50k-100k</v>
      </c>
      <c r="O708" s="1" t="str">
        <f>IF(tbl_data[[#This Row],[Price_USD]]&gt;=87089,"High",
IF(tbl_data[[#This Row],[Price_USD]]&gt;=56807,"Mid","Low"))</f>
        <v>High</v>
      </c>
      <c r="P708" s="1" t="str">
        <f>IF(tbl_data[[#This Row],[Transmission]]="Automatic","Auto","Manual")</f>
        <v>Manual</v>
      </c>
      <c r="Q708" s="1" t="str">
        <f>IFERROR(IF(VALUE(tbl_data[[#This Row],[Engine_CC]])=0,"",VALUE(tbl_data[[#This Row],[Price_USD]])/VALUE(tbl_data[[#This Row],[Engine_CC]])),"")</f>
        <v/>
      </c>
      <c r="R708" s="1" t="str">
        <f>TRIM(tbl_data[[#This Row],[Brand]])</f>
        <v>Honda</v>
      </c>
      <c r="S708" s="1">
        <f>_xlfn.NUMBERVALUE(tbl_data[[#This Row],[Price_USD]],".",",")</f>
        <v>3435.2</v>
      </c>
    </row>
    <row r="709" spans="1:19" x14ac:dyDescent="0.3">
      <c r="A709">
        <v>708</v>
      </c>
      <c r="B709" t="s">
        <v>43</v>
      </c>
      <c r="C709">
        <v>2018</v>
      </c>
      <c r="D709">
        <v>195706</v>
      </c>
      <c r="E709" t="s">
        <v>20</v>
      </c>
      <c r="F709" t="s">
        <v>21</v>
      </c>
      <c r="G709" t="s">
        <v>26</v>
      </c>
      <c r="H709">
        <v>1989</v>
      </c>
      <c r="I709" t="s">
        <v>2031</v>
      </c>
      <c r="J709" t="s">
        <v>2032</v>
      </c>
      <c r="K709">
        <v>6</v>
      </c>
      <c r="L709" t="s">
        <v>2033</v>
      </c>
      <c r="M709" s="1" t="str">
        <f>TEXT(DATE(tbl_data[[#This Row],[Model_Year]],1,1),"yyyy")</f>
        <v>2018</v>
      </c>
      <c r="N709" s="1" t="str">
        <f>IF(tbl_data[[#This Row],[Kilometers_Driven]]&lt;50000,"&lt;50k",
IF(tbl_data[[#This Row],[Kilometers_Driven]]&lt;100000,"50k-100k",
IF(tbl_data[[#This Row],[Kilometers_Driven]]&lt;150000,"100k-150k","150k+")))</f>
        <v>150k+</v>
      </c>
      <c r="O709" s="1" t="str">
        <f>IF(tbl_data[[#This Row],[Price_USD]]&gt;=87089,"High",
IF(tbl_data[[#This Row],[Price_USD]]&gt;=56807,"Mid","Low"))</f>
        <v>High</v>
      </c>
      <c r="P709" s="1" t="str">
        <f>IF(tbl_data[[#This Row],[Transmission]]="Automatic","Auto","Manual")</f>
        <v>Auto</v>
      </c>
      <c r="Q709" s="1" t="str">
        <f>IFERROR(IF(VALUE(tbl_data[[#This Row],[Engine_CC]])=0,"",VALUE(tbl_data[[#This Row],[Price_USD]])/VALUE(tbl_data[[#This Row],[Engine_CC]])),"")</f>
        <v/>
      </c>
      <c r="R709" s="1" t="str">
        <f>TRIM(tbl_data[[#This Row],[Brand]])</f>
        <v>Ford</v>
      </c>
      <c r="S709" s="1">
        <f>_xlfn.NUMBERVALUE(tbl_data[[#This Row],[Price_USD]],".",",")</f>
        <v>31256.23</v>
      </c>
    </row>
    <row r="710" spans="1:19" x14ac:dyDescent="0.3">
      <c r="A710">
        <v>709</v>
      </c>
      <c r="B710" t="s">
        <v>76</v>
      </c>
      <c r="C710">
        <v>2018</v>
      </c>
      <c r="D710">
        <v>105158</v>
      </c>
      <c r="E710" t="s">
        <v>13</v>
      </c>
      <c r="F710" t="s">
        <v>14</v>
      </c>
      <c r="G710" t="s">
        <v>26</v>
      </c>
      <c r="H710">
        <v>1487</v>
      </c>
      <c r="I710" t="s">
        <v>2034</v>
      </c>
      <c r="J710" t="s">
        <v>2035</v>
      </c>
      <c r="K710">
        <v>4</v>
      </c>
      <c r="L710" t="s">
        <v>2036</v>
      </c>
      <c r="M710" s="1" t="str">
        <f>TEXT(DATE(tbl_data[[#This Row],[Model_Year]],1,1),"yyyy")</f>
        <v>2018</v>
      </c>
      <c r="N710" s="1" t="str">
        <f>IF(tbl_data[[#This Row],[Kilometers_Driven]]&lt;50000,"&lt;50k",
IF(tbl_data[[#This Row],[Kilometers_Driven]]&lt;100000,"50k-100k",
IF(tbl_data[[#This Row],[Kilometers_Driven]]&lt;150000,"100k-150k","150k+")))</f>
        <v>100k-150k</v>
      </c>
      <c r="O710" s="1" t="str">
        <f>IF(tbl_data[[#This Row],[Price_USD]]&gt;=87089,"High",
IF(tbl_data[[#This Row],[Price_USD]]&gt;=56807,"Mid","Low"))</f>
        <v>High</v>
      </c>
      <c r="P710" s="1" t="str">
        <f>IF(tbl_data[[#This Row],[Transmission]]="Automatic","Auto","Manual")</f>
        <v>Manual</v>
      </c>
      <c r="Q710" s="1" t="str">
        <f>IFERROR(IF(VALUE(tbl_data[[#This Row],[Engine_CC]])=0,"",VALUE(tbl_data[[#This Row],[Price_USD]])/VALUE(tbl_data[[#This Row],[Engine_CC]])),"")</f>
        <v/>
      </c>
      <c r="R710" s="1" t="str">
        <f>TRIM(tbl_data[[#This Row],[Brand]])</f>
        <v>Honda</v>
      </c>
      <c r="S710" s="1">
        <f>_xlfn.NUMBERVALUE(tbl_data[[#This Row],[Price_USD]],".",",")</f>
        <v>62637.61</v>
      </c>
    </row>
    <row r="711" spans="1:19" x14ac:dyDescent="0.3">
      <c r="A711">
        <v>710</v>
      </c>
      <c r="B711" t="s">
        <v>19</v>
      </c>
      <c r="C711">
        <v>2006</v>
      </c>
      <c r="D711">
        <v>15800</v>
      </c>
      <c r="E711" t="s">
        <v>13</v>
      </c>
      <c r="F711" t="s">
        <v>21</v>
      </c>
      <c r="G711" t="s">
        <v>15</v>
      </c>
      <c r="H711">
        <v>2007</v>
      </c>
      <c r="I711" t="s">
        <v>1540</v>
      </c>
      <c r="J711" t="s">
        <v>2037</v>
      </c>
      <c r="K711">
        <v>4</v>
      </c>
      <c r="L711" t="s">
        <v>2038</v>
      </c>
      <c r="M711" s="1" t="str">
        <f>TEXT(DATE(tbl_data[[#This Row],[Model_Year]],1,1),"yyyy")</f>
        <v>2006</v>
      </c>
      <c r="N711" s="1" t="str">
        <f>IF(tbl_data[[#This Row],[Kilometers_Driven]]&lt;50000,"&lt;50k",
IF(tbl_data[[#This Row],[Kilometers_Driven]]&lt;100000,"50k-100k",
IF(tbl_data[[#This Row],[Kilometers_Driven]]&lt;150000,"100k-150k","150k+")))</f>
        <v>&lt;50k</v>
      </c>
      <c r="O711" s="1" t="str">
        <f>IF(tbl_data[[#This Row],[Price_USD]]&gt;=87089,"High",
IF(tbl_data[[#This Row],[Price_USD]]&gt;=56807,"Mid","Low"))</f>
        <v>High</v>
      </c>
      <c r="P711" s="1" t="str">
        <f>IF(tbl_data[[#This Row],[Transmission]]="Automatic","Auto","Manual")</f>
        <v>Auto</v>
      </c>
      <c r="Q711" s="1" t="str">
        <f>IFERROR(IF(VALUE(tbl_data[[#This Row],[Engine_CC]])=0,"",VALUE(tbl_data[[#This Row],[Price_USD]])/VALUE(tbl_data[[#This Row],[Engine_CC]])),"")</f>
        <v/>
      </c>
      <c r="R711" s="1" t="str">
        <f>TRIM(tbl_data[[#This Row],[Brand]])</f>
        <v>BMW</v>
      </c>
      <c r="S711" s="1">
        <f>_xlfn.NUMBERVALUE(tbl_data[[#This Row],[Price_USD]],".",",")</f>
        <v>47455.31</v>
      </c>
    </row>
    <row r="712" spans="1:19" x14ac:dyDescent="0.3">
      <c r="A712">
        <v>711</v>
      </c>
      <c r="B712" t="s">
        <v>102</v>
      </c>
      <c r="C712">
        <v>2009</v>
      </c>
      <c r="D712">
        <v>42823</v>
      </c>
      <c r="E712" t="s">
        <v>31</v>
      </c>
      <c r="F712" t="s">
        <v>21</v>
      </c>
      <c r="G712" t="s">
        <v>26</v>
      </c>
      <c r="H712">
        <v>2694</v>
      </c>
      <c r="I712" t="s">
        <v>2039</v>
      </c>
      <c r="J712" t="s">
        <v>2040</v>
      </c>
      <c r="K712">
        <v>2</v>
      </c>
      <c r="L712" t="s">
        <v>2041</v>
      </c>
      <c r="M712" s="1" t="str">
        <f>TEXT(DATE(tbl_data[[#This Row],[Model_Year]],1,1),"yyyy")</f>
        <v>2009</v>
      </c>
      <c r="N712" s="1" t="str">
        <f>IF(tbl_data[[#This Row],[Kilometers_Driven]]&lt;50000,"&lt;50k",
IF(tbl_data[[#This Row],[Kilometers_Driven]]&lt;100000,"50k-100k",
IF(tbl_data[[#This Row],[Kilometers_Driven]]&lt;150000,"100k-150k","150k+")))</f>
        <v>&lt;50k</v>
      </c>
      <c r="O712" s="1" t="str">
        <f>IF(tbl_data[[#This Row],[Price_USD]]&gt;=87089,"High",
IF(tbl_data[[#This Row],[Price_USD]]&gt;=56807,"Mid","Low"))</f>
        <v>High</v>
      </c>
      <c r="P712" s="1" t="str">
        <f>IF(tbl_data[[#This Row],[Transmission]]="Automatic","Auto","Manual")</f>
        <v>Auto</v>
      </c>
      <c r="Q712" s="1" t="str">
        <f>IFERROR(IF(VALUE(tbl_data[[#This Row],[Engine_CC]])=0,"",VALUE(tbl_data[[#This Row],[Price_USD]])/VALUE(tbl_data[[#This Row],[Engine_CC]])),"")</f>
        <v/>
      </c>
      <c r="R712" s="1" t="str">
        <f>TRIM(tbl_data[[#This Row],[Brand]])</f>
        <v>Nissan</v>
      </c>
      <c r="S712" s="1">
        <f>_xlfn.NUMBERVALUE(tbl_data[[#This Row],[Price_USD]],".",",")</f>
        <v>55472.77</v>
      </c>
    </row>
    <row r="713" spans="1:19" x14ac:dyDescent="0.3">
      <c r="A713">
        <v>712</v>
      </c>
      <c r="B713" t="s">
        <v>69</v>
      </c>
      <c r="C713">
        <v>2009</v>
      </c>
      <c r="D713">
        <v>68878</v>
      </c>
      <c r="E713" t="s">
        <v>44</v>
      </c>
      <c r="F713" t="s">
        <v>14</v>
      </c>
      <c r="G713" t="s">
        <v>32</v>
      </c>
      <c r="H713">
        <v>2611</v>
      </c>
      <c r="I713" t="s">
        <v>2042</v>
      </c>
      <c r="J713" t="s">
        <v>2043</v>
      </c>
      <c r="K713">
        <v>7</v>
      </c>
      <c r="L713" t="s">
        <v>2044</v>
      </c>
      <c r="M713" s="1" t="str">
        <f>TEXT(DATE(tbl_data[[#This Row],[Model_Year]],1,1),"yyyy")</f>
        <v>2009</v>
      </c>
      <c r="N713" s="1" t="str">
        <f>IF(tbl_data[[#This Row],[Kilometers_Driven]]&lt;50000,"&lt;50k",
IF(tbl_data[[#This Row],[Kilometers_Driven]]&lt;100000,"50k-100k",
IF(tbl_data[[#This Row],[Kilometers_Driven]]&lt;150000,"100k-150k","150k+")))</f>
        <v>50k-100k</v>
      </c>
      <c r="O713" s="1" t="str">
        <f>IF(tbl_data[[#This Row],[Price_USD]]&gt;=87089,"High",
IF(tbl_data[[#This Row],[Price_USD]]&gt;=56807,"Mid","Low"))</f>
        <v>High</v>
      </c>
      <c r="P713" s="1" t="str">
        <f>IF(tbl_data[[#This Row],[Transmission]]="Automatic","Auto","Manual")</f>
        <v>Manual</v>
      </c>
      <c r="Q713" s="1" t="str">
        <f>IFERROR(IF(VALUE(tbl_data[[#This Row],[Engine_CC]])=0,"",VALUE(tbl_data[[#This Row],[Price_USD]])/VALUE(tbl_data[[#This Row],[Engine_CC]])),"")</f>
        <v/>
      </c>
      <c r="R713" s="1" t="str">
        <f>TRIM(tbl_data[[#This Row],[Brand]])</f>
        <v>Hyundai</v>
      </c>
      <c r="S713" s="1">
        <f>_xlfn.NUMBERVALUE(tbl_data[[#This Row],[Price_USD]],".",",")</f>
        <v>117735.84</v>
      </c>
    </row>
    <row r="714" spans="1:19" x14ac:dyDescent="0.3">
      <c r="A714">
        <v>713</v>
      </c>
      <c r="B714" t="s">
        <v>92</v>
      </c>
      <c r="C714">
        <v>2010</v>
      </c>
      <c r="D714">
        <v>23708</v>
      </c>
      <c r="E714" t="s">
        <v>20</v>
      </c>
      <c r="F714" t="s">
        <v>14</v>
      </c>
      <c r="G714" t="s">
        <v>26</v>
      </c>
      <c r="H714">
        <v>3983</v>
      </c>
      <c r="I714" t="s">
        <v>652</v>
      </c>
      <c r="J714" t="s">
        <v>2045</v>
      </c>
      <c r="K714">
        <v>5</v>
      </c>
      <c r="L714" t="s">
        <v>2046</v>
      </c>
      <c r="M714" s="1" t="str">
        <f>TEXT(DATE(tbl_data[[#This Row],[Model_Year]],1,1),"yyyy")</f>
        <v>2010</v>
      </c>
      <c r="N714" s="1" t="str">
        <f>IF(tbl_data[[#This Row],[Kilometers_Driven]]&lt;50000,"&lt;50k",
IF(tbl_data[[#This Row],[Kilometers_Driven]]&lt;100000,"50k-100k",
IF(tbl_data[[#This Row],[Kilometers_Driven]]&lt;150000,"100k-150k","150k+")))</f>
        <v>&lt;50k</v>
      </c>
      <c r="O714" s="1" t="str">
        <f>IF(tbl_data[[#This Row],[Price_USD]]&gt;=87089,"High",
IF(tbl_data[[#This Row],[Price_USD]]&gt;=56807,"Mid","Low"))</f>
        <v>High</v>
      </c>
      <c r="P714" s="1" t="str">
        <f>IF(tbl_data[[#This Row],[Transmission]]="Automatic","Auto","Manual")</f>
        <v>Manual</v>
      </c>
      <c r="Q714" s="1" t="str">
        <f>IFERROR(IF(VALUE(tbl_data[[#This Row],[Engine_CC]])=0,"",VALUE(tbl_data[[#This Row],[Price_USD]])/VALUE(tbl_data[[#This Row],[Engine_CC]])),"")</f>
        <v/>
      </c>
      <c r="R714" s="1" t="str">
        <f>TRIM(tbl_data[[#This Row],[Brand]])</f>
        <v>Toyota</v>
      </c>
      <c r="S714" s="1">
        <f>_xlfn.NUMBERVALUE(tbl_data[[#This Row],[Price_USD]],".",",")</f>
        <v>43981.87</v>
      </c>
    </row>
    <row r="715" spans="1:19" x14ac:dyDescent="0.3">
      <c r="A715">
        <v>714</v>
      </c>
      <c r="B715" t="s">
        <v>25</v>
      </c>
      <c r="C715">
        <v>2017</v>
      </c>
      <c r="D715">
        <v>148891</v>
      </c>
      <c r="E715" t="s">
        <v>13</v>
      </c>
      <c r="F715" t="s">
        <v>14</v>
      </c>
      <c r="G715" t="s">
        <v>15</v>
      </c>
      <c r="H715">
        <v>4597</v>
      </c>
      <c r="I715" t="s">
        <v>2047</v>
      </c>
      <c r="J715" t="s">
        <v>2048</v>
      </c>
      <c r="K715">
        <v>5</v>
      </c>
      <c r="L715" t="s">
        <v>2049</v>
      </c>
      <c r="M715" s="1" t="str">
        <f>TEXT(DATE(tbl_data[[#This Row],[Model_Year]],1,1),"yyyy")</f>
        <v>2017</v>
      </c>
      <c r="N715" s="1" t="str">
        <f>IF(tbl_data[[#This Row],[Kilometers_Driven]]&lt;50000,"&lt;50k",
IF(tbl_data[[#This Row],[Kilometers_Driven]]&lt;100000,"50k-100k",
IF(tbl_data[[#This Row],[Kilometers_Driven]]&lt;150000,"100k-150k","150k+")))</f>
        <v>100k-150k</v>
      </c>
      <c r="O715" s="1" t="str">
        <f>IF(tbl_data[[#This Row],[Price_USD]]&gt;=87089,"High",
IF(tbl_data[[#This Row],[Price_USD]]&gt;=56807,"Mid","Low"))</f>
        <v>High</v>
      </c>
      <c r="P715" s="1" t="str">
        <f>IF(tbl_data[[#This Row],[Transmission]]="Automatic","Auto","Manual")</f>
        <v>Manual</v>
      </c>
      <c r="Q715" s="1" t="str">
        <f>IFERROR(IF(VALUE(tbl_data[[#This Row],[Engine_CC]])=0,"",VALUE(tbl_data[[#This Row],[Price_USD]])/VALUE(tbl_data[[#This Row],[Engine_CC]])),"")</f>
        <v/>
      </c>
      <c r="R715" s="1" t="str">
        <f>TRIM(tbl_data[[#This Row],[Brand]])</f>
        <v>Kia</v>
      </c>
      <c r="S715" s="1">
        <f>_xlfn.NUMBERVALUE(tbl_data[[#This Row],[Price_USD]],".",",")</f>
        <v>55905.4</v>
      </c>
    </row>
    <row r="716" spans="1:19" x14ac:dyDescent="0.3">
      <c r="A716">
        <v>715</v>
      </c>
      <c r="B716" t="s">
        <v>12</v>
      </c>
      <c r="C716">
        <v>2013</v>
      </c>
      <c r="D716">
        <v>68870</v>
      </c>
      <c r="E716" t="s">
        <v>20</v>
      </c>
      <c r="F716" t="s">
        <v>14</v>
      </c>
      <c r="G716" t="s">
        <v>26</v>
      </c>
      <c r="H716">
        <v>2444</v>
      </c>
      <c r="I716" t="s">
        <v>2050</v>
      </c>
      <c r="J716" t="s">
        <v>2051</v>
      </c>
      <c r="K716">
        <v>4</v>
      </c>
      <c r="L716" t="s">
        <v>2052</v>
      </c>
      <c r="M716" s="1" t="str">
        <f>TEXT(DATE(tbl_data[[#This Row],[Model_Year]],1,1),"yyyy")</f>
        <v>2013</v>
      </c>
      <c r="N716" s="1" t="str">
        <f>IF(tbl_data[[#This Row],[Kilometers_Driven]]&lt;50000,"&lt;50k",
IF(tbl_data[[#This Row],[Kilometers_Driven]]&lt;100000,"50k-100k",
IF(tbl_data[[#This Row],[Kilometers_Driven]]&lt;150000,"100k-150k","150k+")))</f>
        <v>50k-100k</v>
      </c>
      <c r="O716" s="1" t="str">
        <f>IF(tbl_data[[#This Row],[Price_USD]]&gt;=87089,"High",
IF(tbl_data[[#This Row],[Price_USD]]&gt;=56807,"Mid","Low"))</f>
        <v>High</v>
      </c>
      <c r="P716" s="1" t="str">
        <f>IF(tbl_data[[#This Row],[Transmission]]="Automatic","Auto","Manual")</f>
        <v>Manual</v>
      </c>
      <c r="Q716" s="1" t="str">
        <f>IFERROR(IF(VALUE(tbl_data[[#This Row],[Engine_CC]])=0,"",VALUE(tbl_data[[#This Row],[Price_USD]])/VALUE(tbl_data[[#This Row],[Engine_CC]])),"")</f>
        <v/>
      </c>
      <c r="R716" s="1" t="str">
        <f>TRIM(tbl_data[[#This Row],[Brand]])</f>
        <v>Audi</v>
      </c>
      <c r="S716" s="1">
        <f>_xlfn.NUMBERVALUE(tbl_data[[#This Row],[Price_USD]],".",",")</f>
        <v>18621.32</v>
      </c>
    </row>
    <row r="717" spans="1:19" x14ac:dyDescent="0.3">
      <c r="A717">
        <v>716</v>
      </c>
      <c r="B717" t="s">
        <v>39</v>
      </c>
      <c r="C717">
        <v>2019</v>
      </c>
      <c r="D717">
        <v>14283</v>
      </c>
      <c r="E717" t="s">
        <v>31</v>
      </c>
      <c r="F717" t="s">
        <v>21</v>
      </c>
      <c r="G717" t="s">
        <v>26</v>
      </c>
      <c r="H717">
        <v>4768</v>
      </c>
      <c r="I717" t="s">
        <v>2053</v>
      </c>
      <c r="J717" t="s">
        <v>2054</v>
      </c>
      <c r="K717">
        <v>6</v>
      </c>
      <c r="L717" t="s">
        <v>2055</v>
      </c>
      <c r="M717" s="1" t="str">
        <f>TEXT(DATE(tbl_data[[#This Row],[Model_Year]],1,1),"yyyy")</f>
        <v>2019</v>
      </c>
      <c r="N717" s="1" t="str">
        <f>IF(tbl_data[[#This Row],[Kilometers_Driven]]&lt;50000,"&lt;50k",
IF(tbl_data[[#This Row],[Kilometers_Driven]]&lt;100000,"50k-100k",
IF(tbl_data[[#This Row],[Kilometers_Driven]]&lt;150000,"100k-150k","150k+")))</f>
        <v>&lt;50k</v>
      </c>
      <c r="O717" s="1" t="str">
        <f>IF(tbl_data[[#This Row],[Price_USD]]&gt;=87089,"High",
IF(tbl_data[[#This Row],[Price_USD]]&gt;=56807,"Mid","Low"))</f>
        <v>High</v>
      </c>
      <c r="P717" s="1" t="str">
        <f>IF(tbl_data[[#This Row],[Transmission]]="Automatic","Auto","Manual")</f>
        <v>Auto</v>
      </c>
      <c r="Q717" s="1" t="str">
        <f>IFERROR(IF(VALUE(tbl_data[[#This Row],[Engine_CC]])=0,"",VALUE(tbl_data[[#This Row],[Price_USD]])/VALUE(tbl_data[[#This Row],[Engine_CC]])),"")</f>
        <v/>
      </c>
      <c r="R717" s="1" t="str">
        <f>TRIM(tbl_data[[#This Row],[Brand]])</f>
        <v>Volkswagen</v>
      </c>
      <c r="S717" s="1">
        <f>_xlfn.NUMBERVALUE(tbl_data[[#This Row],[Price_USD]],".",",")</f>
        <v>8611.0499999999993</v>
      </c>
    </row>
    <row r="718" spans="1:19" x14ac:dyDescent="0.3">
      <c r="A718">
        <v>717</v>
      </c>
      <c r="B718" t="s">
        <v>43</v>
      </c>
      <c r="C718">
        <v>2018</v>
      </c>
      <c r="D718">
        <v>166645</v>
      </c>
      <c r="E718" t="s">
        <v>13</v>
      </c>
      <c r="F718" t="s">
        <v>21</v>
      </c>
      <c r="G718" t="s">
        <v>15</v>
      </c>
      <c r="H718">
        <v>3516</v>
      </c>
      <c r="I718" t="s">
        <v>2056</v>
      </c>
      <c r="J718" t="s">
        <v>2057</v>
      </c>
      <c r="K718">
        <v>4</v>
      </c>
      <c r="L718" t="s">
        <v>2058</v>
      </c>
      <c r="M718" s="1" t="str">
        <f>TEXT(DATE(tbl_data[[#This Row],[Model_Year]],1,1),"yyyy")</f>
        <v>2018</v>
      </c>
      <c r="N718" s="1" t="str">
        <f>IF(tbl_data[[#This Row],[Kilometers_Driven]]&lt;50000,"&lt;50k",
IF(tbl_data[[#This Row],[Kilometers_Driven]]&lt;100000,"50k-100k",
IF(tbl_data[[#This Row],[Kilometers_Driven]]&lt;150000,"100k-150k","150k+")))</f>
        <v>150k+</v>
      </c>
      <c r="O718" s="1" t="str">
        <f>IF(tbl_data[[#This Row],[Price_USD]]&gt;=87089,"High",
IF(tbl_data[[#This Row],[Price_USD]]&gt;=56807,"Mid","Low"))</f>
        <v>High</v>
      </c>
      <c r="P718" s="1" t="str">
        <f>IF(tbl_data[[#This Row],[Transmission]]="Automatic","Auto","Manual")</f>
        <v>Auto</v>
      </c>
      <c r="Q718" s="1" t="str">
        <f>IFERROR(IF(VALUE(tbl_data[[#This Row],[Engine_CC]])=0,"",VALUE(tbl_data[[#This Row],[Price_USD]])/VALUE(tbl_data[[#This Row],[Engine_CC]])),"")</f>
        <v/>
      </c>
      <c r="R718" s="1" t="str">
        <f>TRIM(tbl_data[[#This Row],[Brand]])</f>
        <v>Ford</v>
      </c>
      <c r="S718" s="1">
        <f>_xlfn.NUMBERVALUE(tbl_data[[#This Row],[Price_USD]],".",",")</f>
        <v>93722.91</v>
      </c>
    </row>
    <row r="719" spans="1:19" x14ac:dyDescent="0.3">
      <c r="A719">
        <v>718</v>
      </c>
      <c r="B719" t="s">
        <v>92</v>
      </c>
      <c r="C719">
        <v>2011</v>
      </c>
      <c r="D719">
        <v>83707</v>
      </c>
      <c r="E719" t="s">
        <v>31</v>
      </c>
      <c r="F719" t="s">
        <v>21</v>
      </c>
      <c r="G719" t="s">
        <v>15</v>
      </c>
      <c r="H719">
        <v>990</v>
      </c>
      <c r="I719" t="s">
        <v>2059</v>
      </c>
      <c r="J719" t="s">
        <v>2060</v>
      </c>
      <c r="K719">
        <v>2</v>
      </c>
      <c r="L719" t="s">
        <v>2061</v>
      </c>
      <c r="M719" s="1" t="str">
        <f>TEXT(DATE(tbl_data[[#This Row],[Model_Year]],1,1),"yyyy")</f>
        <v>2011</v>
      </c>
      <c r="N719" s="1" t="str">
        <f>IF(tbl_data[[#This Row],[Kilometers_Driven]]&lt;50000,"&lt;50k",
IF(tbl_data[[#This Row],[Kilometers_Driven]]&lt;100000,"50k-100k",
IF(tbl_data[[#This Row],[Kilometers_Driven]]&lt;150000,"100k-150k","150k+")))</f>
        <v>50k-100k</v>
      </c>
      <c r="O719" s="1" t="str">
        <f>IF(tbl_data[[#This Row],[Price_USD]]&gt;=87089,"High",
IF(tbl_data[[#This Row],[Price_USD]]&gt;=56807,"Mid","Low"))</f>
        <v>High</v>
      </c>
      <c r="P719" s="1" t="str">
        <f>IF(tbl_data[[#This Row],[Transmission]]="Automatic","Auto","Manual")</f>
        <v>Auto</v>
      </c>
      <c r="Q719" s="1" t="str">
        <f>IFERROR(IF(VALUE(tbl_data[[#This Row],[Engine_CC]])=0,"",VALUE(tbl_data[[#This Row],[Price_USD]])/VALUE(tbl_data[[#This Row],[Engine_CC]])),"")</f>
        <v/>
      </c>
      <c r="R719" s="1" t="str">
        <f>TRIM(tbl_data[[#This Row],[Brand]])</f>
        <v>Toyota</v>
      </c>
      <c r="S719" s="1">
        <f>_xlfn.NUMBERVALUE(tbl_data[[#This Row],[Price_USD]],".",",")</f>
        <v>69769.929999999993</v>
      </c>
    </row>
    <row r="720" spans="1:19" x14ac:dyDescent="0.3">
      <c r="A720">
        <v>719</v>
      </c>
      <c r="B720" t="s">
        <v>30</v>
      </c>
      <c r="C720">
        <v>2024</v>
      </c>
      <c r="D720">
        <v>167005</v>
      </c>
      <c r="E720" t="s">
        <v>20</v>
      </c>
      <c r="F720" t="s">
        <v>14</v>
      </c>
      <c r="G720" t="s">
        <v>32</v>
      </c>
      <c r="H720">
        <v>2135</v>
      </c>
      <c r="I720" t="s">
        <v>1131</v>
      </c>
      <c r="J720" t="s">
        <v>384</v>
      </c>
      <c r="K720">
        <v>6</v>
      </c>
      <c r="L720" t="s">
        <v>2062</v>
      </c>
      <c r="M720" s="1" t="str">
        <f>TEXT(DATE(tbl_data[[#This Row],[Model_Year]],1,1),"yyyy")</f>
        <v>2024</v>
      </c>
      <c r="N720" s="1" t="str">
        <f>IF(tbl_data[[#This Row],[Kilometers_Driven]]&lt;50000,"&lt;50k",
IF(tbl_data[[#This Row],[Kilometers_Driven]]&lt;100000,"50k-100k",
IF(tbl_data[[#This Row],[Kilometers_Driven]]&lt;150000,"100k-150k","150k+")))</f>
        <v>150k+</v>
      </c>
      <c r="O720" s="1" t="str">
        <f>IF(tbl_data[[#This Row],[Price_USD]]&gt;=87089,"High",
IF(tbl_data[[#This Row],[Price_USD]]&gt;=56807,"Mid","Low"))</f>
        <v>High</v>
      </c>
      <c r="P720" s="1" t="str">
        <f>IF(tbl_data[[#This Row],[Transmission]]="Automatic","Auto","Manual")</f>
        <v>Manual</v>
      </c>
      <c r="Q720" s="1" t="str">
        <f>IFERROR(IF(VALUE(tbl_data[[#This Row],[Engine_CC]])=0,"",VALUE(tbl_data[[#This Row],[Price_USD]])/VALUE(tbl_data[[#This Row],[Engine_CC]])),"")</f>
        <v/>
      </c>
      <c r="R720" s="1" t="str">
        <f>TRIM(tbl_data[[#This Row],[Brand]])</f>
        <v>Mercedes</v>
      </c>
      <c r="S720" s="1">
        <f>_xlfn.NUMBERVALUE(tbl_data[[#This Row],[Price_USD]],".",",")</f>
        <v>92002.46</v>
      </c>
    </row>
    <row r="721" spans="1:19" x14ac:dyDescent="0.3">
      <c r="A721">
        <v>720</v>
      </c>
      <c r="B721" t="s">
        <v>19</v>
      </c>
      <c r="C721">
        <v>2006</v>
      </c>
      <c r="D721">
        <v>10774</v>
      </c>
      <c r="E721" t="s">
        <v>31</v>
      </c>
      <c r="F721" t="s">
        <v>21</v>
      </c>
      <c r="G721" t="s">
        <v>26</v>
      </c>
      <c r="H721">
        <v>3906</v>
      </c>
      <c r="I721" t="s">
        <v>2063</v>
      </c>
      <c r="J721" t="s">
        <v>2064</v>
      </c>
      <c r="K721">
        <v>5</v>
      </c>
      <c r="L721" t="s">
        <v>2065</v>
      </c>
      <c r="M721" s="1" t="str">
        <f>TEXT(DATE(tbl_data[[#This Row],[Model_Year]],1,1),"yyyy")</f>
        <v>2006</v>
      </c>
      <c r="N721" s="1" t="str">
        <f>IF(tbl_data[[#This Row],[Kilometers_Driven]]&lt;50000,"&lt;50k",
IF(tbl_data[[#This Row],[Kilometers_Driven]]&lt;100000,"50k-100k",
IF(tbl_data[[#This Row],[Kilometers_Driven]]&lt;150000,"100k-150k","150k+")))</f>
        <v>&lt;50k</v>
      </c>
      <c r="O721" s="1" t="str">
        <f>IF(tbl_data[[#This Row],[Price_USD]]&gt;=87089,"High",
IF(tbl_data[[#This Row],[Price_USD]]&gt;=56807,"Mid","Low"))</f>
        <v>High</v>
      </c>
      <c r="P721" s="1" t="str">
        <f>IF(tbl_data[[#This Row],[Transmission]]="Automatic","Auto","Manual")</f>
        <v>Auto</v>
      </c>
      <c r="Q721" s="1" t="str">
        <f>IFERROR(IF(VALUE(tbl_data[[#This Row],[Engine_CC]])=0,"",VALUE(tbl_data[[#This Row],[Price_USD]])/VALUE(tbl_data[[#This Row],[Engine_CC]])),"")</f>
        <v/>
      </c>
      <c r="R721" s="1" t="str">
        <f>TRIM(tbl_data[[#This Row],[Brand]])</f>
        <v>BMW</v>
      </c>
      <c r="S721" s="1">
        <f>_xlfn.NUMBERVALUE(tbl_data[[#This Row],[Price_USD]],".",",")</f>
        <v>20533.95</v>
      </c>
    </row>
    <row r="722" spans="1:19" x14ac:dyDescent="0.3">
      <c r="A722">
        <v>721</v>
      </c>
      <c r="B722" t="s">
        <v>39</v>
      </c>
      <c r="C722">
        <v>2011</v>
      </c>
      <c r="D722">
        <v>147055</v>
      </c>
      <c r="E722" t="s">
        <v>20</v>
      </c>
      <c r="F722" t="s">
        <v>14</v>
      </c>
      <c r="G722" t="s">
        <v>32</v>
      </c>
      <c r="H722">
        <v>1178</v>
      </c>
      <c r="I722" t="s">
        <v>2066</v>
      </c>
      <c r="J722" t="s">
        <v>1579</v>
      </c>
      <c r="K722">
        <v>7</v>
      </c>
      <c r="L722" t="s">
        <v>2067</v>
      </c>
      <c r="M722" s="1" t="str">
        <f>TEXT(DATE(tbl_data[[#This Row],[Model_Year]],1,1),"yyyy")</f>
        <v>2011</v>
      </c>
      <c r="N722" s="1" t="str">
        <f>IF(tbl_data[[#This Row],[Kilometers_Driven]]&lt;50000,"&lt;50k",
IF(tbl_data[[#This Row],[Kilometers_Driven]]&lt;100000,"50k-100k",
IF(tbl_data[[#This Row],[Kilometers_Driven]]&lt;150000,"100k-150k","150k+")))</f>
        <v>100k-150k</v>
      </c>
      <c r="O722" s="1" t="str">
        <f>IF(tbl_data[[#This Row],[Price_USD]]&gt;=87089,"High",
IF(tbl_data[[#This Row],[Price_USD]]&gt;=56807,"Mid","Low"))</f>
        <v>High</v>
      </c>
      <c r="P722" s="1" t="str">
        <f>IF(tbl_data[[#This Row],[Transmission]]="Automatic","Auto","Manual")</f>
        <v>Manual</v>
      </c>
      <c r="Q722" s="1" t="str">
        <f>IFERROR(IF(VALUE(tbl_data[[#This Row],[Engine_CC]])=0,"",VALUE(tbl_data[[#This Row],[Price_USD]])/VALUE(tbl_data[[#This Row],[Engine_CC]])),"")</f>
        <v/>
      </c>
      <c r="R722" s="1" t="str">
        <f>TRIM(tbl_data[[#This Row],[Brand]])</f>
        <v>Volkswagen</v>
      </c>
      <c r="S722" s="1">
        <f>_xlfn.NUMBERVALUE(tbl_data[[#This Row],[Price_USD]],".",",")</f>
        <v>69903.97</v>
      </c>
    </row>
    <row r="723" spans="1:19" x14ac:dyDescent="0.3">
      <c r="A723">
        <v>722</v>
      </c>
      <c r="B723" t="s">
        <v>25</v>
      </c>
      <c r="C723">
        <v>2010</v>
      </c>
      <c r="D723">
        <v>101468</v>
      </c>
      <c r="E723" t="s">
        <v>31</v>
      </c>
      <c r="F723" t="s">
        <v>14</v>
      </c>
      <c r="G723" t="s">
        <v>26</v>
      </c>
      <c r="H723">
        <v>4629</v>
      </c>
      <c r="I723" t="s">
        <v>2068</v>
      </c>
      <c r="J723" t="s">
        <v>2069</v>
      </c>
      <c r="K723">
        <v>7</v>
      </c>
      <c r="L723" t="s">
        <v>2070</v>
      </c>
      <c r="M723" s="1" t="str">
        <f>TEXT(DATE(tbl_data[[#This Row],[Model_Year]],1,1),"yyyy")</f>
        <v>2010</v>
      </c>
      <c r="N723" s="1" t="str">
        <f>IF(tbl_data[[#This Row],[Kilometers_Driven]]&lt;50000,"&lt;50k",
IF(tbl_data[[#This Row],[Kilometers_Driven]]&lt;100000,"50k-100k",
IF(tbl_data[[#This Row],[Kilometers_Driven]]&lt;150000,"100k-150k","150k+")))</f>
        <v>100k-150k</v>
      </c>
      <c r="O723" s="1" t="str">
        <f>IF(tbl_data[[#This Row],[Price_USD]]&gt;=87089,"High",
IF(tbl_data[[#This Row],[Price_USD]]&gt;=56807,"Mid","Low"))</f>
        <v>High</v>
      </c>
      <c r="P723" s="1" t="str">
        <f>IF(tbl_data[[#This Row],[Transmission]]="Automatic","Auto","Manual")</f>
        <v>Manual</v>
      </c>
      <c r="Q723" s="1" t="str">
        <f>IFERROR(IF(VALUE(tbl_data[[#This Row],[Engine_CC]])=0,"",VALUE(tbl_data[[#This Row],[Price_USD]])/VALUE(tbl_data[[#This Row],[Engine_CC]])),"")</f>
        <v/>
      </c>
      <c r="R723" s="1" t="str">
        <f>TRIM(tbl_data[[#This Row],[Brand]])</f>
        <v>Kia</v>
      </c>
      <c r="S723" s="1">
        <f>_xlfn.NUMBERVALUE(tbl_data[[#This Row],[Price_USD]],".",",")</f>
        <v>32676.17</v>
      </c>
    </row>
    <row r="724" spans="1:19" x14ac:dyDescent="0.3">
      <c r="A724">
        <v>723</v>
      </c>
      <c r="B724" t="s">
        <v>92</v>
      </c>
      <c r="C724">
        <v>2021</v>
      </c>
      <c r="D724">
        <v>101334</v>
      </c>
      <c r="E724" t="s">
        <v>20</v>
      </c>
      <c r="F724" t="s">
        <v>14</v>
      </c>
      <c r="G724" t="s">
        <v>26</v>
      </c>
      <c r="H724">
        <v>1415</v>
      </c>
      <c r="I724" t="s">
        <v>2071</v>
      </c>
      <c r="J724" t="s">
        <v>2072</v>
      </c>
      <c r="K724">
        <v>2</v>
      </c>
      <c r="L724" t="s">
        <v>2073</v>
      </c>
      <c r="M724" s="1" t="str">
        <f>TEXT(DATE(tbl_data[[#This Row],[Model_Year]],1,1),"yyyy")</f>
        <v>2021</v>
      </c>
      <c r="N724" s="1" t="str">
        <f>IF(tbl_data[[#This Row],[Kilometers_Driven]]&lt;50000,"&lt;50k",
IF(tbl_data[[#This Row],[Kilometers_Driven]]&lt;100000,"50k-100k",
IF(tbl_data[[#This Row],[Kilometers_Driven]]&lt;150000,"100k-150k","150k+")))</f>
        <v>100k-150k</v>
      </c>
      <c r="O724" s="1" t="str">
        <f>IF(tbl_data[[#This Row],[Price_USD]]&gt;=87089,"High",
IF(tbl_data[[#This Row],[Price_USD]]&gt;=56807,"Mid","Low"))</f>
        <v>High</v>
      </c>
      <c r="P724" s="1" t="str">
        <f>IF(tbl_data[[#This Row],[Transmission]]="Automatic","Auto","Manual")</f>
        <v>Manual</v>
      </c>
      <c r="Q724" s="1" t="str">
        <f>IFERROR(IF(VALUE(tbl_data[[#This Row],[Engine_CC]])=0,"",VALUE(tbl_data[[#This Row],[Price_USD]])/VALUE(tbl_data[[#This Row],[Engine_CC]])),"")</f>
        <v/>
      </c>
      <c r="R724" s="1" t="str">
        <f>TRIM(tbl_data[[#This Row],[Brand]])</f>
        <v>Toyota</v>
      </c>
      <c r="S724" s="1">
        <f>_xlfn.NUMBERVALUE(tbl_data[[#This Row],[Price_USD]],".",",")</f>
        <v>29683.23</v>
      </c>
    </row>
    <row r="725" spans="1:19" x14ac:dyDescent="0.3">
      <c r="A725">
        <v>724</v>
      </c>
      <c r="B725" t="s">
        <v>39</v>
      </c>
      <c r="C725">
        <v>2006</v>
      </c>
      <c r="D725">
        <v>23133</v>
      </c>
      <c r="E725" t="s">
        <v>44</v>
      </c>
      <c r="F725" t="s">
        <v>14</v>
      </c>
      <c r="G725" t="s">
        <v>32</v>
      </c>
      <c r="H725">
        <v>3130</v>
      </c>
      <c r="I725" t="s">
        <v>2074</v>
      </c>
      <c r="J725" t="s">
        <v>2075</v>
      </c>
      <c r="K725">
        <v>4</v>
      </c>
      <c r="L725" t="s">
        <v>2076</v>
      </c>
      <c r="M725" s="1" t="str">
        <f>TEXT(DATE(tbl_data[[#This Row],[Model_Year]],1,1),"yyyy")</f>
        <v>2006</v>
      </c>
      <c r="N725" s="1" t="str">
        <f>IF(tbl_data[[#This Row],[Kilometers_Driven]]&lt;50000,"&lt;50k",
IF(tbl_data[[#This Row],[Kilometers_Driven]]&lt;100000,"50k-100k",
IF(tbl_data[[#This Row],[Kilometers_Driven]]&lt;150000,"100k-150k","150k+")))</f>
        <v>&lt;50k</v>
      </c>
      <c r="O725" s="1" t="str">
        <f>IF(tbl_data[[#This Row],[Price_USD]]&gt;=87089,"High",
IF(tbl_data[[#This Row],[Price_USD]]&gt;=56807,"Mid","Low"))</f>
        <v>High</v>
      </c>
      <c r="P725" s="1" t="str">
        <f>IF(tbl_data[[#This Row],[Transmission]]="Automatic","Auto","Manual")</f>
        <v>Manual</v>
      </c>
      <c r="Q725" s="1" t="str">
        <f>IFERROR(IF(VALUE(tbl_data[[#This Row],[Engine_CC]])=0,"",VALUE(tbl_data[[#This Row],[Price_USD]])/VALUE(tbl_data[[#This Row],[Engine_CC]])),"")</f>
        <v/>
      </c>
      <c r="R725" s="1" t="str">
        <f>TRIM(tbl_data[[#This Row],[Brand]])</f>
        <v>Volkswagen</v>
      </c>
      <c r="S725" s="1">
        <f>_xlfn.NUMBERVALUE(tbl_data[[#This Row],[Price_USD]],".",",")</f>
        <v>4348.54</v>
      </c>
    </row>
    <row r="726" spans="1:19" x14ac:dyDescent="0.3">
      <c r="A726">
        <v>725</v>
      </c>
      <c r="B726" t="s">
        <v>92</v>
      </c>
      <c r="C726">
        <v>2007</v>
      </c>
      <c r="D726">
        <v>151011</v>
      </c>
      <c r="E726" t="s">
        <v>31</v>
      </c>
      <c r="F726" t="s">
        <v>14</v>
      </c>
      <c r="G726" t="s">
        <v>26</v>
      </c>
      <c r="H726">
        <v>2554</v>
      </c>
      <c r="I726" t="s">
        <v>2077</v>
      </c>
      <c r="J726" t="s">
        <v>668</v>
      </c>
      <c r="K726">
        <v>2</v>
      </c>
      <c r="L726" t="s">
        <v>2078</v>
      </c>
      <c r="M726" s="1" t="str">
        <f>TEXT(DATE(tbl_data[[#This Row],[Model_Year]],1,1),"yyyy")</f>
        <v>2007</v>
      </c>
      <c r="N726" s="1" t="str">
        <f>IF(tbl_data[[#This Row],[Kilometers_Driven]]&lt;50000,"&lt;50k",
IF(tbl_data[[#This Row],[Kilometers_Driven]]&lt;100000,"50k-100k",
IF(tbl_data[[#This Row],[Kilometers_Driven]]&lt;150000,"100k-150k","150k+")))</f>
        <v>150k+</v>
      </c>
      <c r="O726" s="1" t="str">
        <f>IF(tbl_data[[#This Row],[Price_USD]]&gt;=87089,"High",
IF(tbl_data[[#This Row],[Price_USD]]&gt;=56807,"Mid","Low"))</f>
        <v>High</v>
      </c>
      <c r="P726" s="1" t="str">
        <f>IF(tbl_data[[#This Row],[Transmission]]="Automatic","Auto","Manual")</f>
        <v>Manual</v>
      </c>
      <c r="Q726" s="1" t="str">
        <f>IFERROR(IF(VALUE(tbl_data[[#This Row],[Engine_CC]])=0,"",VALUE(tbl_data[[#This Row],[Price_USD]])/VALUE(tbl_data[[#This Row],[Engine_CC]])),"")</f>
        <v/>
      </c>
      <c r="R726" s="1" t="str">
        <f>TRIM(tbl_data[[#This Row],[Brand]])</f>
        <v>Toyota</v>
      </c>
      <c r="S726" s="1">
        <f>_xlfn.NUMBERVALUE(tbl_data[[#This Row],[Price_USD]],".",",")</f>
        <v>18249.86</v>
      </c>
    </row>
    <row r="727" spans="1:19" x14ac:dyDescent="0.3">
      <c r="A727">
        <v>726</v>
      </c>
      <c r="B727" t="s">
        <v>19</v>
      </c>
      <c r="C727">
        <v>2009</v>
      </c>
      <c r="D727">
        <v>5781</v>
      </c>
      <c r="E727" t="s">
        <v>31</v>
      </c>
      <c r="F727" t="s">
        <v>21</v>
      </c>
      <c r="G727" t="s">
        <v>26</v>
      </c>
      <c r="H727">
        <v>1263</v>
      </c>
      <c r="I727" t="s">
        <v>2079</v>
      </c>
      <c r="J727" t="s">
        <v>473</v>
      </c>
      <c r="K727">
        <v>7</v>
      </c>
      <c r="L727" t="s">
        <v>2080</v>
      </c>
      <c r="M727" s="1" t="str">
        <f>TEXT(DATE(tbl_data[[#This Row],[Model_Year]],1,1),"yyyy")</f>
        <v>2009</v>
      </c>
      <c r="N727" s="1" t="str">
        <f>IF(tbl_data[[#This Row],[Kilometers_Driven]]&lt;50000,"&lt;50k",
IF(tbl_data[[#This Row],[Kilometers_Driven]]&lt;100000,"50k-100k",
IF(tbl_data[[#This Row],[Kilometers_Driven]]&lt;150000,"100k-150k","150k+")))</f>
        <v>&lt;50k</v>
      </c>
      <c r="O727" s="1" t="str">
        <f>IF(tbl_data[[#This Row],[Price_USD]]&gt;=87089,"High",
IF(tbl_data[[#This Row],[Price_USD]]&gt;=56807,"Mid","Low"))</f>
        <v>High</v>
      </c>
      <c r="P727" s="1" t="str">
        <f>IF(tbl_data[[#This Row],[Transmission]]="Automatic","Auto","Manual")</f>
        <v>Auto</v>
      </c>
      <c r="Q727" s="1" t="str">
        <f>IFERROR(IF(VALUE(tbl_data[[#This Row],[Engine_CC]])=0,"",VALUE(tbl_data[[#This Row],[Price_USD]])/VALUE(tbl_data[[#This Row],[Engine_CC]])),"")</f>
        <v/>
      </c>
      <c r="R727" s="1" t="str">
        <f>TRIM(tbl_data[[#This Row],[Brand]])</f>
        <v>BMW</v>
      </c>
      <c r="S727" s="1">
        <f>_xlfn.NUMBERVALUE(tbl_data[[#This Row],[Price_USD]],".",",")</f>
        <v>39184.370000000003</v>
      </c>
    </row>
    <row r="728" spans="1:19" x14ac:dyDescent="0.3">
      <c r="A728">
        <v>727</v>
      </c>
      <c r="B728" t="s">
        <v>25</v>
      </c>
      <c r="C728">
        <v>2009</v>
      </c>
      <c r="D728">
        <v>119586</v>
      </c>
      <c r="E728" t="s">
        <v>44</v>
      </c>
      <c r="F728" t="s">
        <v>21</v>
      </c>
      <c r="G728" t="s">
        <v>26</v>
      </c>
      <c r="H728">
        <v>1766</v>
      </c>
      <c r="I728" t="s">
        <v>2081</v>
      </c>
      <c r="J728" t="s">
        <v>2082</v>
      </c>
      <c r="K728">
        <v>5</v>
      </c>
      <c r="L728" t="s">
        <v>2083</v>
      </c>
      <c r="M728" s="1" t="str">
        <f>TEXT(DATE(tbl_data[[#This Row],[Model_Year]],1,1),"yyyy")</f>
        <v>2009</v>
      </c>
      <c r="N728" s="1" t="str">
        <f>IF(tbl_data[[#This Row],[Kilometers_Driven]]&lt;50000,"&lt;50k",
IF(tbl_data[[#This Row],[Kilometers_Driven]]&lt;100000,"50k-100k",
IF(tbl_data[[#This Row],[Kilometers_Driven]]&lt;150000,"100k-150k","150k+")))</f>
        <v>100k-150k</v>
      </c>
      <c r="O728" s="1" t="str">
        <f>IF(tbl_data[[#This Row],[Price_USD]]&gt;=87089,"High",
IF(tbl_data[[#This Row],[Price_USD]]&gt;=56807,"Mid","Low"))</f>
        <v>High</v>
      </c>
      <c r="P728" s="1" t="str">
        <f>IF(tbl_data[[#This Row],[Transmission]]="Automatic","Auto","Manual")</f>
        <v>Auto</v>
      </c>
      <c r="Q728" s="1" t="str">
        <f>IFERROR(IF(VALUE(tbl_data[[#This Row],[Engine_CC]])=0,"",VALUE(tbl_data[[#This Row],[Price_USD]])/VALUE(tbl_data[[#This Row],[Engine_CC]])),"")</f>
        <v/>
      </c>
      <c r="R728" s="1" t="str">
        <f>TRIM(tbl_data[[#This Row],[Brand]])</f>
        <v>Kia</v>
      </c>
      <c r="S728" s="1">
        <f>_xlfn.NUMBERVALUE(tbl_data[[#This Row],[Price_USD]],".",",")</f>
        <v>16674.810000000001</v>
      </c>
    </row>
    <row r="729" spans="1:19" x14ac:dyDescent="0.3">
      <c r="A729">
        <v>728</v>
      </c>
      <c r="B729" t="s">
        <v>30</v>
      </c>
      <c r="C729">
        <v>2005</v>
      </c>
      <c r="D729">
        <v>192772</v>
      </c>
      <c r="E729" t="s">
        <v>44</v>
      </c>
      <c r="F729" t="s">
        <v>14</v>
      </c>
      <c r="G729" t="s">
        <v>15</v>
      </c>
      <c r="H729">
        <v>3958</v>
      </c>
      <c r="I729" t="s">
        <v>2084</v>
      </c>
      <c r="J729" t="s">
        <v>2085</v>
      </c>
      <c r="K729">
        <v>7</v>
      </c>
      <c r="L729" t="s">
        <v>2086</v>
      </c>
      <c r="M729" s="1" t="str">
        <f>TEXT(DATE(tbl_data[[#This Row],[Model_Year]],1,1),"yyyy")</f>
        <v>2005</v>
      </c>
      <c r="N729" s="1" t="str">
        <f>IF(tbl_data[[#This Row],[Kilometers_Driven]]&lt;50000,"&lt;50k",
IF(tbl_data[[#This Row],[Kilometers_Driven]]&lt;100000,"50k-100k",
IF(tbl_data[[#This Row],[Kilometers_Driven]]&lt;150000,"100k-150k","150k+")))</f>
        <v>150k+</v>
      </c>
      <c r="O729" s="1" t="str">
        <f>IF(tbl_data[[#This Row],[Price_USD]]&gt;=87089,"High",
IF(tbl_data[[#This Row],[Price_USD]]&gt;=56807,"Mid","Low"))</f>
        <v>High</v>
      </c>
      <c r="P729" s="1" t="str">
        <f>IF(tbl_data[[#This Row],[Transmission]]="Automatic","Auto","Manual")</f>
        <v>Manual</v>
      </c>
      <c r="Q729" s="1" t="str">
        <f>IFERROR(IF(VALUE(tbl_data[[#This Row],[Engine_CC]])=0,"",VALUE(tbl_data[[#This Row],[Price_USD]])/VALUE(tbl_data[[#This Row],[Engine_CC]])),"")</f>
        <v/>
      </c>
      <c r="R729" s="1" t="str">
        <f>TRIM(tbl_data[[#This Row],[Brand]])</f>
        <v>Mercedes</v>
      </c>
      <c r="S729" s="1">
        <f>_xlfn.NUMBERVALUE(tbl_data[[#This Row],[Price_USD]],".",",")</f>
        <v>118345.44</v>
      </c>
    </row>
    <row r="730" spans="1:19" x14ac:dyDescent="0.3">
      <c r="A730">
        <v>729</v>
      </c>
      <c r="B730" t="s">
        <v>76</v>
      </c>
      <c r="C730">
        <v>2012</v>
      </c>
      <c r="D730">
        <v>32624</v>
      </c>
      <c r="E730" t="s">
        <v>31</v>
      </c>
      <c r="F730" t="s">
        <v>21</v>
      </c>
      <c r="G730" t="s">
        <v>32</v>
      </c>
      <c r="H730">
        <v>4424</v>
      </c>
      <c r="I730" t="s">
        <v>2087</v>
      </c>
      <c r="J730" t="s">
        <v>2088</v>
      </c>
      <c r="K730">
        <v>6</v>
      </c>
      <c r="L730" t="s">
        <v>2089</v>
      </c>
      <c r="M730" s="1" t="str">
        <f>TEXT(DATE(tbl_data[[#This Row],[Model_Year]],1,1),"yyyy")</f>
        <v>2012</v>
      </c>
      <c r="N730" s="1" t="str">
        <f>IF(tbl_data[[#This Row],[Kilometers_Driven]]&lt;50000,"&lt;50k",
IF(tbl_data[[#This Row],[Kilometers_Driven]]&lt;100000,"50k-100k",
IF(tbl_data[[#This Row],[Kilometers_Driven]]&lt;150000,"100k-150k","150k+")))</f>
        <v>&lt;50k</v>
      </c>
      <c r="O730" s="1" t="str">
        <f>IF(tbl_data[[#This Row],[Price_USD]]&gt;=87089,"High",
IF(tbl_data[[#This Row],[Price_USD]]&gt;=56807,"Mid","Low"))</f>
        <v>High</v>
      </c>
      <c r="P730" s="1" t="str">
        <f>IF(tbl_data[[#This Row],[Transmission]]="Automatic","Auto","Manual")</f>
        <v>Auto</v>
      </c>
      <c r="Q730" s="1" t="str">
        <f>IFERROR(IF(VALUE(tbl_data[[#This Row],[Engine_CC]])=0,"",VALUE(tbl_data[[#This Row],[Price_USD]])/VALUE(tbl_data[[#This Row],[Engine_CC]])),"")</f>
        <v/>
      </c>
      <c r="R730" s="1" t="str">
        <f>TRIM(tbl_data[[#This Row],[Brand]])</f>
        <v>Honda</v>
      </c>
      <c r="S730" s="1">
        <f>_xlfn.NUMBERVALUE(tbl_data[[#This Row],[Price_USD]],".",",")</f>
        <v>39110.019999999997</v>
      </c>
    </row>
    <row r="731" spans="1:19" x14ac:dyDescent="0.3">
      <c r="A731">
        <v>730</v>
      </c>
      <c r="B731" t="s">
        <v>69</v>
      </c>
      <c r="C731">
        <v>2016</v>
      </c>
      <c r="D731">
        <v>11823</v>
      </c>
      <c r="E731" t="s">
        <v>44</v>
      </c>
      <c r="F731" t="s">
        <v>14</v>
      </c>
      <c r="G731" t="s">
        <v>15</v>
      </c>
      <c r="H731">
        <v>1489</v>
      </c>
      <c r="I731" t="s">
        <v>2090</v>
      </c>
      <c r="J731" t="s">
        <v>683</v>
      </c>
      <c r="K731">
        <v>7</v>
      </c>
      <c r="L731" t="s">
        <v>2091</v>
      </c>
      <c r="M731" s="1" t="str">
        <f>TEXT(DATE(tbl_data[[#This Row],[Model_Year]],1,1),"yyyy")</f>
        <v>2016</v>
      </c>
      <c r="N731" s="1" t="str">
        <f>IF(tbl_data[[#This Row],[Kilometers_Driven]]&lt;50000,"&lt;50k",
IF(tbl_data[[#This Row],[Kilometers_Driven]]&lt;100000,"50k-100k",
IF(tbl_data[[#This Row],[Kilometers_Driven]]&lt;150000,"100k-150k","150k+")))</f>
        <v>&lt;50k</v>
      </c>
      <c r="O731" s="1" t="str">
        <f>IF(tbl_data[[#This Row],[Price_USD]]&gt;=87089,"High",
IF(tbl_data[[#This Row],[Price_USD]]&gt;=56807,"Mid","Low"))</f>
        <v>High</v>
      </c>
      <c r="P731" s="1" t="str">
        <f>IF(tbl_data[[#This Row],[Transmission]]="Automatic","Auto","Manual")</f>
        <v>Manual</v>
      </c>
      <c r="Q731" s="1" t="str">
        <f>IFERROR(IF(VALUE(tbl_data[[#This Row],[Engine_CC]])=0,"",VALUE(tbl_data[[#This Row],[Price_USD]])/VALUE(tbl_data[[#This Row],[Engine_CC]])),"")</f>
        <v/>
      </c>
      <c r="R731" s="1" t="str">
        <f>TRIM(tbl_data[[#This Row],[Brand]])</f>
        <v>Hyundai</v>
      </c>
      <c r="S731" s="1">
        <f>_xlfn.NUMBERVALUE(tbl_data[[#This Row],[Price_USD]],".",",")</f>
        <v>18247.900000000001</v>
      </c>
    </row>
    <row r="732" spans="1:19" x14ac:dyDescent="0.3">
      <c r="A732">
        <v>731</v>
      </c>
      <c r="B732" t="s">
        <v>30</v>
      </c>
      <c r="C732">
        <v>2008</v>
      </c>
      <c r="D732">
        <v>23489</v>
      </c>
      <c r="E732" t="s">
        <v>13</v>
      </c>
      <c r="F732" t="s">
        <v>14</v>
      </c>
      <c r="G732" t="s">
        <v>32</v>
      </c>
      <c r="H732">
        <v>3422</v>
      </c>
      <c r="I732" t="s">
        <v>2092</v>
      </c>
      <c r="J732" t="s">
        <v>2093</v>
      </c>
      <c r="K732">
        <v>7</v>
      </c>
      <c r="L732" t="s">
        <v>2094</v>
      </c>
      <c r="M732" s="1" t="str">
        <f>TEXT(DATE(tbl_data[[#This Row],[Model_Year]],1,1),"yyyy")</f>
        <v>2008</v>
      </c>
      <c r="N732" s="1" t="str">
        <f>IF(tbl_data[[#This Row],[Kilometers_Driven]]&lt;50000,"&lt;50k",
IF(tbl_data[[#This Row],[Kilometers_Driven]]&lt;100000,"50k-100k",
IF(tbl_data[[#This Row],[Kilometers_Driven]]&lt;150000,"100k-150k","150k+")))</f>
        <v>&lt;50k</v>
      </c>
      <c r="O732" s="1" t="str">
        <f>IF(tbl_data[[#This Row],[Price_USD]]&gt;=87089,"High",
IF(tbl_data[[#This Row],[Price_USD]]&gt;=56807,"Mid","Low"))</f>
        <v>High</v>
      </c>
      <c r="P732" s="1" t="str">
        <f>IF(tbl_data[[#This Row],[Transmission]]="Automatic","Auto","Manual")</f>
        <v>Manual</v>
      </c>
      <c r="Q732" s="1" t="str">
        <f>IFERROR(IF(VALUE(tbl_data[[#This Row],[Engine_CC]])=0,"",VALUE(tbl_data[[#This Row],[Price_USD]])/VALUE(tbl_data[[#This Row],[Engine_CC]])),"")</f>
        <v/>
      </c>
      <c r="R732" s="1" t="str">
        <f>TRIM(tbl_data[[#This Row],[Brand]])</f>
        <v>Mercedes</v>
      </c>
      <c r="S732" s="1">
        <f>_xlfn.NUMBERVALUE(tbl_data[[#This Row],[Price_USD]],".",",")</f>
        <v>26292.63</v>
      </c>
    </row>
    <row r="733" spans="1:19" x14ac:dyDescent="0.3">
      <c r="A733">
        <v>732</v>
      </c>
      <c r="B733" t="s">
        <v>76</v>
      </c>
      <c r="C733">
        <v>2017</v>
      </c>
      <c r="D733">
        <v>176033</v>
      </c>
      <c r="E733" t="s">
        <v>20</v>
      </c>
      <c r="F733" t="s">
        <v>14</v>
      </c>
      <c r="G733" t="s">
        <v>32</v>
      </c>
      <c r="H733">
        <v>3012</v>
      </c>
      <c r="I733" t="s">
        <v>2095</v>
      </c>
      <c r="J733" t="s">
        <v>2096</v>
      </c>
      <c r="K733">
        <v>6</v>
      </c>
      <c r="L733" t="s">
        <v>2097</v>
      </c>
      <c r="M733" s="1" t="str">
        <f>TEXT(DATE(tbl_data[[#This Row],[Model_Year]],1,1),"yyyy")</f>
        <v>2017</v>
      </c>
      <c r="N733" s="1" t="str">
        <f>IF(tbl_data[[#This Row],[Kilometers_Driven]]&lt;50000,"&lt;50k",
IF(tbl_data[[#This Row],[Kilometers_Driven]]&lt;100000,"50k-100k",
IF(tbl_data[[#This Row],[Kilometers_Driven]]&lt;150000,"100k-150k","150k+")))</f>
        <v>150k+</v>
      </c>
      <c r="O733" s="1" t="str">
        <f>IF(tbl_data[[#This Row],[Price_USD]]&gt;=87089,"High",
IF(tbl_data[[#This Row],[Price_USD]]&gt;=56807,"Mid","Low"))</f>
        <v>High</v>
      </c>
      <c r="P733" s="1" t="str">
        <f>IF(tbl_data[[#This Row],[Transmission]]="Automatic","Auto","Manual")</f>
        <v>Manual</v>
      </c>
      <c r="Q733" s="1" t="str">
        <f>IFERROR(IF(VALUE(tbl_data[[#This Row],[Engine_CC]])=0,"",VALUE(tbl_data[[#This Row],[Price_USD]])/VALUE(tbl_data[[#This Row],[Engine_CC]])),"")</f>
        <v/>
      </c>
      <c r="R733" s="1" t="str">
        <f>TRIM(tbl_data[[#This Row],[Brand]])</f>
        <v>Honda</v>
      </c>
      <c r="S733" s="1">
        <f>_xlfn.NUMBERVALUE(tbl_data[[#This Row],[Price_USD]],".",",")</f>
        <v>71761.279999999999</v>
      </c>
    </row>
    <row r="734" spans="1:19" x14ac:dyDescent="0.3">
      <c r="A734">
        <v>733</v>
      </c>
      <c r="B734" t="s">
        <v>43</v>
      </c>
      <c r="C734">
        <v>2019</v>
      </c>
      <c r="D734">
        <v>34118</v>
      </c>
      <c r="E734" t="s">
        <v>20</v>
      </c>
      <c r="F734" t="s">
        <v>21</v>
      </c>
      <c r="G734" t="s">
        <v>26</v>
      </c>
      <c r="H734">
        <v>1182</v>
      </c>
      <c r="I734" t="s">
        <v>2098</v>
      </c>
      <c r="J734" t="s">
        <v>2099</v>
      </c>
      <c r="K734">
        <v>4</v>
      </c>
      <c r="L734" t="s">
        <v>2100</v>
      </c>
      <c r="M734" s="1" t="str">
        <f>TEXT(DATE(tbl_data[[#This Row],[Model_Year]],1,1),"yyyy")</f>
        <v>2019</v>
      </c>
      <c r="N734" s="1" t="str">
        <f>IF(tbl_data[[#This Row],[Kilometers_Driven]]&lt;50000,"&lt;50k",
IF(tbl_data[[#This Row],[Kilometers_Driven]]&lt;100000,"50k-100k",
IF(tbl_data[[#This Row],[Kilometers_Driven]]&lt;150000,"100k-150k","150k+")))</f>
        <v>&lt;50k</v>
      </c>
      <c r="O734" s="1" t="str">
        <f>IF(tbl_data[[#This Row],[Price_USD]]&gt;=87089,"High",
IF(tbl_data[[#This Row],[Price_USD]]&gt;=56807,"Mid","Low"))</f>
        <v>High</v>
      </c>
      <c r="P734" s="1" t="str">
        <f>IF(tbl_data[[#This Row],[Transmission]]="Automatic","Auto","Manual")</f>
        <v>Auto</v>
      </c>
      <c r="Q734" s="1" t="str">
        <f>IFERROR(IF(VALUE(tbl_data[[#This Row],[Engine_CC]])=0,"",VALUE(tbl_data[[#This Row],[Price_USD]])/VALUE(tbl_data[[#This Row],[Engine_CC]])),"")</f>
        <v/>
      </c>
      <c r="R734" s="1" t="str">
        <f>TRIM(tbl_data[[#This Row],[Brand]])</f>
        <v>Ford</v>
      </c>
      <c r="S734" s="1">
        <f>_xlfn.NUMBERVALUE(tbl_data[[#This Row],[Price_USD]],".",",")</f>
        <v>10493.09</v>
      </c>
    </row>
    <row r="735" spans="1:19" x14ac:dyDescent="0.3">
      <c r="A735">
        <v>734</v>
      </c>
      <c r="B735" t="s">
        <v>102</v>
      </c>
      <c r="C735">
        <v>2015</v>
      </c>
      <c r="D735">
        <v>105417</v>
      </c>
      <c r="E735" t="s">
        <v>20</v>
      </c>
      <c r="F735" t="s">
        <v>14</v>
      </c>
      <c r="G735" t="s">
        <v>32</v>
      </c>
      <c r="H735">
        <v>3056</v>
      </c>
      <c r="I735" t="s">
        <v>2101</v>
      </c>
      <c r="J735" t="s">
        <v>2102</v>
      </c>
      <c r="K735">
        <v>7</v>
      </c>
      <c r="L735" t="s">
        <v>2103</v>
      </c>
      <c r="M735" s="1" t="str">
        <f>TEXT(DATE(tbl_data[[#This Row],[Model_Year]],1,1),"yyyy")</f>
        <v>2015</v>
      </c>
      <c r="N735" s="1" t="str">
        <f>IF(tbl_data[[#This Row],[Kilometers_Driven]]&lt;50000,"&lt;50k",
IF(tbl_data[[#This Row],[Kilometers_Driven]]&lt;100000,"50k-100k",
IF(tbl_data[[#This Row],[Kilometers_Driven]]&lt;150000,"100k-150k","150k+")))</f>
        <v>100k-150k</v>
      </c>
      <c r="O735" s="1" t="str">
        <f>IF(tbl_data[[#This Row],[Price_USD]]&gt;=87089,"High",
IF(tbl_data[[#This Row],[Price_USD]]&gt;=56807,"Mid","Low"))</f>
        <v>High</v>
      </c>
      <c r="P735" s="1" t="str">
        <f>IF(tbl_data[[#This Row],[Transmission]]="Automatic","Auto","Manual")</f>
        <v>Manual</v>
      </c>
      <c r="Q735" s="1" t="str">
        <f>IFERROR(IF(VALUE(tbl_data[[#This Row],[Engine_CC]])=0,"",VALUE(tbl_data[[#This Row],[Price_USD]])/VALUE(tbl_data[[#This Row],[Engine_CC]])),"")</f>
        <v/>
      </c>
      <c r="R735" s="1" t="str">
        <f>TRIM(tbl_data[[#This Row],[Brand]])</f>
        <v>Nissan</v>
      </c>
      <c r="S735" s="1">
        <f>_xlfn.NUMBERVALUE(tbl_data[[#This Row],[Price_USD]],".",",")</f>
        <v>103904.79</v>
      </c>
    </row>
    <row r="736" spans="1:19" x14ac:dyDescent="0.3">
      <c r="A736">
        <v>735</v>
      </c>
      <c r="B736" t="s">
        <v>12</v>
      </c>
      <c r="C736">
        <v>2014</v>
      </c>
      <c r="D736">
        <v>86816</v>
      </c>
      <c r="E736" t="s">
        <v>13</v>
      </c>
      <c r="F736" t="s">
        <v>14</v>
      </c>
      <c r="G736" t="s">
        <v>15</v>
      </c>
      <c r="H736">
        <v>4610</v>
      </c>
      <c r="I736" t="s">
        <v>124</v>
      </c>
      <c r="J736" t="s">
        <v>2104</v>
      </c>
      <c r="K736">
        <v>2</v>
      </c>
      <c r="L736" t="s">
        <v>2105</v>
      </c>
      <c r="M736" s="1" t="str">
        <f>TEXT(DATE(tbl_data[[#This Row],[Model_Year]],1,1),"yyyy")</f>
        <v>2014</v>
      </c>
      <c r="N736" s="1" t="str">
        <f>IF(tbl_data[[#This Row],[Kilometers_Driven]]&lt;50000,"&lt;50k",
IF(tbl_data[[#This Row],[Kilometers_Driven]]&lt;100000,"50k-100k",
IF(tbl_data[[#This Row],[Kilometers_Driven]]&lt;150000,"100k-150k","150k+")))</f>
        <v>50k-100k</v>
      </c>
      <c r="O736" s="1" t="str">
        <f>IF(tbl_data[[#This Row],[Price_USD]]&gt;=87089,"High",
IF(tbl_data[[#This Row],[Price_USD]]&gt;=56807,"Mid","Low"))</f>
        <v>High</v>
      </c>
      <c r="P736" s="1" t="str">
        <f>IF(tbl_data[[#This Row],[Transmission]]="Automatic","Auto","Manual")</f>
        <v>Manual</v>
      </c>
      <c r="Q736" s="1" t="str">
        <f>IFERROR(IF(VALUE(tbl_data[[#This Row],[Engine_CC]])=0,"",VALUE(tbl_data[[#This Row],[Price_USD]])/VALUE(tbl_data[[#This Row],[Engine_CC]])),"")</f>
        <v/>
      </c>
      <c r="R736" s="1" t="str">
        <f>TRIM(tbl_data[[#This Row],[Brand]])</f>
        <v>Audi</v>
      </c>
      <c r="S736" s="1">
        <f>_xlfn.NUMBERVALUE(tbl_data[[#This Row],[Price_USD]],".",",")</f>
        <v>115495.46</v>
      </c>
    </row>
    <row r="737" spans="1:19" x14ac:dyDescent="0.3">
      <c r="A737">
        <v>736</v>
      </c>
      <c r="B737" t="s">
        <v>12</v>
      </c>
      <c r="C737">
        <v>2007</v>
      </c>
      <c r="D737">
        <v>158335</v>
      </c>
      <c r="E737" t="s">
        <v>44</v>
      </c>
      <c r="F737" t="s">
        <v>21</v>
      </c>
      <c r="G737" t="s">
        <v>15</v>
      </c>
      <c r="H737">
        <v>4303</v>
      </c>
      <c r="I737" t="s">
        <v>2106</v>
      </c>
      <c r="J737" t="s">
        <v>2107</v>
      </c>
      <c r="K737">
        <v>7</v>
      </c>
      <c r="L737" t="s">
        <v>2108</v>
      </c>
      <c r="M737" s="1" t="str">
        <f>TEXT(DATE(tbl_data[[#This Row],[Model_Year]],1,1),"yyyy")</f>
        <v>2007</v>
      </c>
      <c r="N737" s="1" t="str">
        <f>IF(tbl_data[[#This Row],[Kilometers_Driven]]&lt;50000,"&lt;50k",
IF(tbl_data[[#This Row],[Kilometers_Driven]]&lt;100000,"50k-100k",
IF(tbl_data[[#This Row],[Kilometers_Driven]]&lt;150000,"100k-150k","150k+")))</f>
        <v>150k+</v>
      </c>
      <c r="O737" s="1" t="str">
        <f>IF(tbl_data[[#This Row],[Price_USD]]&gt;=87089,"High",
IF(tbl_data[[#This Row],[Price_USD]]&gt;=56807,"Mid","Low"))</f>
        <v>High</v>
      </c>
      <c r="P737" s="1" t="str">
        <f>IF(tbl_data[[#This Row],[Transmission]]="Automatic","Auto","Manual")</f>
        <v>Auto</v>
      </c>
      <c r="Q737" s="1" t="str">
        <f>IFERROR(IF(VALUE(tbl_data[[#This Row],[Engine_CC]])=0,"",VALUE(tbl_data[[#This Row],[Price_USD]])/VALUE(tbl_data[[#This Row],[Engine_CC]])),"")</f>
        <v/>
      </c>
      <c r="R737" s="1" t="str">
        <f>TRIM(tbl_data[[#This Row],[Brand]])</f>
        <v>Audi</v>
      </c>
      <c r="S737" s="1">
        <f>_xlfn.NUMBERVALUE(tbl_data[[#This Row],[Price_USD]],".",",")</f>
        <v>31869.45</v>
      </c>
    </row>
    <row r="738" spans="1:19" x14ac:dyDescent="0.3">
      <c r="A738">
        <v>737</v>
      </c>
      <c r="B738" t="s">
        <v>69</v>
      </c>
      <c r="C738">
        <v>2018</v>
      </c>
      <c r="D738">
        <v>18565</v>
      </c>
      <c r="E738" t="s">
        <v>44</v>
      </c>
      <c r="F738" t="s">
        <v>21</v>
      </c>
      <c r="G738" t="s">
        <v>15</v>
      </c>
      <c r="H738">
        <v>2212</v>
      </c>
      <c r="I738" t="s">
        <v>213</v>
      </c>
      <c r="J738" t="s">
        <v>2109</v>
      </c>
      <c r="K738">
        <v>2</v>
      </c>
      <c r="L738" t="s">
        <v>2110</v>
      </c>
      <c r="M738" s="1" t="str">
        <f>TEXT(DATE(tbl_data[[#This Row],[Model_Year]],1,1),"yyyy")</f>
        <v>2018</v>
      </c>
      <c r="N738" s="1" t="str">
        <f>IF(tbl_data[[#This Row],[Kilometers_Driven]]&lt;50000,"&lt;50k",
IF(tbl_data[[#This Row],[Kilometers_Driven]]&lt;100000,"50k-100k",
IF(tbl_data[[#This Row],[Kilometers_Driven]]&lt;150000,"100k-150k","150k+")))</f>
        <v>&lt;50k</v>
      </c>
      <c r="O738" s="1" t="str">
        <f>IF(tbl_data[[#This Row],[Price_USD]]&gt;=87089,"High",
IF(tbl_data[[#This Row],[Price_USD]]&gt;=56807,"Mid","Low"))</f>
        <v>High</v>
      </c>
      <c r="P738" s="1" t="str">
        <f>IF(tbl_data[[#This Row],[Transmission]]="Automatic","Auto","Manual")</f>
        <v>Auto</v>
      </c>
      <c r="Q738" s="1" t="str">
        <f>IFERROR(IF(VALUE(tbl_data[[#This Row],[Engine_CC]])=0,"",VALUE(tbl_data[[#This Row],[Price_USD]])/VALUE(tbl_data[[#This Row],[Engine_CC]])),"")</f>
        <v/>
      </c>
      <c r="R738" s="1" t="str">
        <f>TRIM(tbl_data[[#This Row],[Brand]])</f>
        <v>Hyundai</v>
      </c>
      <c r="S738" s="1">
        <f>_xlfn.NUMBERVALUE(tbl_data[[#This Row],[Price_USD]],".",",")</f>
        <v>55661.15</v>
      </c>
    </row>
    <row r="739" spans="1:19" x14ac:dyDescent="0.3">
      <c r="A739">
        <v>738</v>
      </c>
      <c r="B739" t="s">
        <v>25</v>
      </c>
      <c r="C739">
        <v>2020</v>
      </c>
      <c r="D739">
        <v>156426</v>
      </c>
      <c r="E739" t="s">
        <v>31</v>
      </c>
      <c r="F739" t="s">
        <v>21</v>
      </c>
      <c r="G739" t="s">
        <v>32</v>
      </c>
      <c r="H739">
        <v>2383</v>
      </c>
      <c r="I739" t="s">
        <v>2111</v>
      </c>
      <c r="J739" t="s">
        <v>590</v>
      </c>
      <c r="K739">
        <v>6</v>
      </c>
      <c r="L739" t="s">
        <v>2112</v>
      </c>
      <c r="M739" s="1" t="str">
        <f>TEXT(DATE(tbl_data[[#This Row],[Model_Year]],1,1),"yyyy")</f>
        <v>2020</v>
      </c>
      <c r="N739" s="1" t="str">
        <f>IF(tbl_data[[#This Row],[Kilometers_Driven]]&lt;50000,"&lt;50k",
IF(tbl_data[[#This Row],[Kilometers_Driven]]&lt;100000,"50k-100k",
IF(tbl_data[[#This Row],[Kilometers_Driven]]&lt;150000,"100k-150k","150k+")))</f>
        <v>150k+</v>
      </c>
      <c r="O739" s="1" t="str">
        <f>IF(tbl_data[[#This Row],[Price_USD]]&gt;=87089,"High",
IF(tbl_data[[#This Row],[Price_USD]]&gt;=56807,"Mid","Low"))</f>
        <v>High</v>
      </c>
      <c r="P739" s="1" t="str">
        <f>IF(tbl_data[[#This Row],[Transmission]]="Automatic","Auto","Manual")</f>
        <v>Auto</v>
      </c>
      <c r="Q739" s="1" t="str">
        <f>IFERROR(IF(VALUE(tbl_data[[#This Row],[Engine_CC]])=0,"",VALUE(tbl_data[[#This Row],[Price_USD]])/VALUE(tbl_data[[#This Row],[Engine_CC]])),"")</f>
        <v/>
      </c>
      <c r="R739" s="1" t="str">
        <f>TRIM(tbl_data[[#This Row],[Brand]])</f>
        <v>Kia</v>
      </c>
      <c r="S739" s="1">
        <f>_xlfn.NUMBERVALUE(tbl_data[[#This Row],[Price_USD]],".",",")</f>
        <v>5589.73</v>
      </c>
    </row>
    <row r="740" spans="1:19" x14ac:dyDescent="0.3">
      <c r="A740">
        <v>739</v>
      </c>
      <c r="B740" t="s">
        <v>19</v>
      </c>
      <c r="C740">
        <v>2014</v>
      </c>
      <c r="D740">
        <v>179023</v>
      </c>
      <c r="E740" t="s">
        <v>44</v>
      </c>
      <c r="F740" t="s">
        <v>14</v>
      </c>
      <c r="G740" t="s">
        <v>15</v>
      </c>
      <c r="H740">
        <v>1171</v>
      </c>
      <c r="I740" t="s">
        <v>697</v>
      </c>
      <c r="J740" t="s">
        <v>2113</v>
      </c>
      <c r="K740">
        <v>7</v>
      </c>
      <c r="L740" t="s">
        <v>2114</v>
      </c>
      <c r="M740" s="1" t="str">
        <f>TEXT(DATE(tbl_data[[#This Row],[Model_Year]],1,1),"yyyy")</f>
        <v>2014</v>
      </c>
      <c r="N740" s="1" t="str">
        <f>IF(tbl_data[[#This Row],[Kilometers_Driven]]&lt;50000,"&lt;50k",
IF(tbl_data[[#This Row],[Kilometers_Driven]]&lt;100000,"50k-100k",
IF(tbl_data[[#This Row],[Kilometers_Driven]]&lt;150000,"100k-150k","150k+")))</f>
        <v>150k+</v>
      </c>
      <c r="O740" s="1" t="str">
        <f>IF(tbl_data[[#This Row],[Price_USD]]&gt;=87089,"High",
IF(tbl_data[[#This Row],[Price_USD]]&gt;=56807,"Mid","Low"))</f>
        <v>High</v>
      </c>
      <c r="P740" s="1" t="str">
        <f>IF(tbl_data[[#This Row],[Transmission]]="Automatic","Auto","Manual")</f>
        <v>Manual</v>
      </c>
      <c r="Q740" s="1" t="str">
        <f>IFERROR(IF(VALUE(tbl_data[[#This Row],[Engine_CC]])=0,"",VALUE(tbl_data[[#This Row],[Price_USD]])/VALUE(tbl_data[[#This Row],[Engine_CC]])),"")</f>
        <v/>
      </c>
      <c r="R740" s="1" t="str">
        <f>TRIM(tbl_data[[#This Row],[Brand]])</f>
        <v>BMW</v>
      </c>
      <c r="S740" s="1">
        <f>_xlfn.NUMBERVALUE(tbl_data[[#This Row],[Price_USD]],".",",")</f>
        <v>77963.100000000006</v>
      </c>
    </row>
    <row r="741" spans="1:19" x14ac:dyDescent="0.3">
      <c r="A741">
        <v>740</v>
      </c>
      <c r="B741" t="s">
        <v>25</v>
      </c>
      <c r="C741">
        <v>2014</v>
      </c>
      <c r="D741">
        <v>96179</v>
      </c>
      <c r="E741" t="s">
        <v>31</v>
      </c>
      <c r="F741" t="s">
        <v>14</v>
      </c>
      <c r="G741" t="s">
        <v>32</v>
      </c>
      <c r="H741">
        <v>1410</v>
      </c>
      <c r="I741" t="s">
        <v>2115</v>
      </c>
      <c r="J741" t="s">
        <v>342</v>
      </c>
      <c r="K741">
        <v>6</v>
      </c>
      <c r="L741" t="s">
        <v>2116</v>
      </c>
      <c r="M741" s="1" t="str">
        <f>TEXT(DATE(tbl_data[[#This Row],[Model_Year]],1,1),"yyyy")</f>
        <v>2014</v>
      </c>
      <c r="N741" s="1" t="str">
        <f>IF(tbl_data[[#This Row],[Kilometers_Driven]]&lt;50000,"&lt;50k",
IF(tbl_data[[#This Row],[Kilometers_Driven]]&lt;100000,"50k-100k",
IF(tbl_data[[#This Row],[Kilometers_Driven]]&lt;150000,"100k-150k","150k+")))</f>
        <v>50k-100k</v>
      </c>
      <c r="O741" s="1" t="str">
        <f>IF(tbl_data[[#This Row],[Price_USD]]&gt;=87089,"High",
IF(tbl_data[[#This Row],[Price_USD]]&gt;=56807,"Mid","Low"))</f>
        <v>High</v>
      </c>
      <c r="P741" s="1" t="str">
        <f>IF(tbl_data[[#This Row],[Transmission]]="Automatic","Auto","Manual")</f>
        <v>Manual</v>
      </c>
      <c r="Q741" s="1" t="str">
        <f>IFERROR(IF(VALUE(tbl_data[[#This Row],[Engine_CC]])=0,"",VALUE(tbl_data[[#This Row],[Price_USD]])/VALUE(tbl_data[[#This Row],[Engine_CC]])),"")</f>
        <v/>
      </c>
      <c r="R741" s="1" t="str">
        <f>TRIM(tbl_data[[#This Row],[Brand]])</f>
        <v>Kia</v>
      </c>
      <c r="S741" s="1">
        <f>_xlfn.NUMBERVALUE(tbl_data[[#This Row],[Price_USD]],".",",")</f>
        <v>51429.35</v>
      </c>
    </row>
    <row r="742" spans="1:19" x14ac:dyDescent="0.3">
      <c r="A742">
        <v>741</v>
      </c>
      <c r="B742" t="s">
        <v>19</v>
      </c>
      <c r="C742">
        <v>2016</v>
      </c>
      <c r="D742">
        <v>28648</v>
      </c>
      <c r="E742" t="s">
        <v>13</v>
      </c>
      <c r="F742" t="s">
        <v>21</v>
      </c>
      <c r="G742" t="s">
        <v>15</v>
      </c>
      <c r="H742">
        <v>915</v>
      </c>
      <c r="I742" t="s">
        <v>2117</v>
      </c>
      <c r="J742" t="s">
        <v>2118</v>
      </c>
      <c r="K742">
        <v>6</v>
      </c>
      <c r="L742" t="s">
        <v>2119</v>
      </c>
      <c r="M742" s="1" t="str">
        <f>TEXT(DATE(tbl_data[[#This Row],[Model_Year]],1,1),"yyyy")</f>
        <v>2016</v>
      </c>
      <c r="N742" s="1" t="str">
        <f>IF(tbl_data[[#This Row],[Kilometers_Driven]]&lt;50000,"&lt;50k",
IF(tbl_data[[#This Row],[Kilometers_Driven]]&lt;100000,"50k-100k",
IF(tbl_data[[#This Row],[Kilometers_Driven]]&lt;150000,"100k-150k","150k+")))</f>
        <v>&lt;50k</v>
      </c>
      <c r="O742" s="1" t="str">
        <f>IF(tbl_data[[#This Row],[Price_USD]]&gt;=87089,"High",
IF(tbl_data[[#This Row],[Price_USD]]&gt;=56807,"Mid","Low"))</f>
        <v>High</v>
      </c>
      <c r="P742" s="1" t="str">
        <f>IF(tbl_data[[#This Row],[Transmission]]="Automatic","Auto","Manual")</f>
        <v>Auto</v>
      </c>
      <c r="Q742" s="1" t="str">
        <f>IFERROR(IF(VALUE(tbl_data[[#This Row],[Engine_CC]])=0,"",VALUE(tbl_data[[#This Row],[Price_USD]])/VALUE(tbl_data[[#This Row],[Engine_CC]])),"")</f>
        <v/>
      </c>
      <c r="R742" s="1" t="str">
        <f>TRIM(tbl_data[[#This Row],[Brand]])</f>
        <v>BMW</v>
      </c>
      <c r="S742" s="1">
        <f>_xlfn.NUMBERVALUE(tbl_data[[#This Row],[Price_USD]],".",",")</f>
        <v>34596.839999999997</v>
      </c>
    </row>
    <row r="743" spans="1:19" x14ac:dyDescent="0.3">
      <c r="A743">
        <v>742</v>
      </c>
      <c r="B743" t="s">
        <v>25</v>
      </c>
      <c r="C743">
        <v>2013</v>
      </c>
      <c r="D743">
        <v>186801</v>
      </c>
      <c r="E743" t="s">
        <v>20</v>
      </c>
      <c r="F743" t="s">
        <v>14</v>
      </c>
      <c r="G743" t="s">
        <v>15</v>
      </c>
      <c r="H743">
        <v>1246</v>
      </c>
      <c r="I743" t="s">
        <v>2120</v>
      </c>
      <c r="J743" t="s">
        <v>1576</v>
      </c>
      <c r="K743">
        <v>4</v>
      </c>
      <c r="L743" t="s">
        <v>2121</v>
      </c>
      <c r="M743" s="1" t="str">
        <f>TEXT(DATE(tbl_data[[#This Row],[Model_Year]],1,1),"yyyy")</f>
        <v>2013</v>
      </c>
      <c r="N743" s="1" t="str">
        <f>IF(tbl_data[[#This Row],[Kilometers_Driven]]&lt;50000,"&lt;50k",
IF(tbl_data[[#This Row],[Kilometers_Driven]]&lt;100000,"50k-100k",
IF(tbl_data[[#This Row],[Kilometers_Driven]]&lt;150000,"100k-150k","150k+")))</f>
        <v>150k+</v>
      </c>
      <c r="O743" s="1" t="str">
        <f>IF(tbl_data[[#This Row],[Price_USD]]&gt;=87089,"High",
IF(tbl_data[[#This Row],[Price_USD]]&gt;=56807,"Mid","Low"))</f>
        <v>High</v>
      </c>
      <c r="P743" s="1" t="str">
        <f>IF(tbl_data[[#This Row],[Transmission]]="Automatic","Auto","Manual")</f>
        <v>Manual</v>
      </c>
      <c r="Q743" s="1" t="str">
        <f>IFERROR(IF(VALUE(tbl_data[[#This Row],[Engine_CC]])=0,"",VALUE(tbl_data[[#This Row],[Price_USD]])/VALUE(tbl_data[[#This Row],[Engine_CC]])),"")</f>
        <v/>
      </c>
      <c r="R743" s="1" t="str">
        <f>TRIM(tbl_data[[#This Row],[Brand]])</f>
        <v>Kia</v>
      </c>
      <c r="S743" s="1">
        <f>_xlfn.NUMBERVALUE(tbl_data[[#This Row],[Price_USD]],".",",")</f>
        <v>27199.94</v>
      </c>
    </row>
    <row r="744" spans="1:19" x14ac:dyDescent="0.3">
      <c r="A744">
        <v>743</v>
      </c>
      <c r="B744" t="s">
        <v>102</v>
      </c>
      <c r="C744">
        <v>2005</v>
      </c>
      <c r="D744">
        <v>46971</v>
      </c>
      <c r="E744" t="s">
        <v>20</v>
      </c>
      <c r="F744" t="s">
        <v>21</v>
      </c>
      <c r="G744" t="s">
        <v>32</v>
      </c>
      <c r="H744">
        <v>2191</v>
      </c>
      <c r="I744" t="s">
        <v>2122</v>
      </c>
      <c r="J744" t="s">
        <v>2123</v>
      </c>
      <c r="K744">
        <v>7</v>
      </c>
      <c r="L744" t="s">
        <v>2124</v>
      </c>
      <c r="M744" s="1" t="str">
        <f>TEXT(DATE(tbl_data[[#This Row],[Model_Year]],1,1),"yyyy")</f>
        <v>2005</v>
      </c>
      <c r="N744" s="1" t="str">
        <f>IF(tbl_data[[#This Row],[Kilometers_Driven]]&lt;50000,"&lt;50k",
IF(tbl_data[[#This Row],[Kilometers_Driven]]&lt;100000,"50k-100k",
IF(tbl_data[[#This Row],[Kilometers_Driven]]&lt;150000,"100k-150k","150k+")))</f>
        <v>&lt;50k</v>
      </c>
      <c r="O744" s="1" t="str">
        <f>IF(tbl_data[[#This Row],[Price_USD]]&gt;=87089,"High",
IF(tbl_data[[#This Row],[Price_USD]]&gt;=56807,"Mid","Low"))</f>
        <v>High</v>
      </c>
      <c r="P744" s="1" t="str">
        <f>IF(tbl_data[[#This Row],[Transmission]]="Automatic","Auto","Manual")</f>
        <v>Auto</v>
      </c>
      <c r="Q744" s="1" t="str">
        <f>IFERROR(IF(VALUE(tbl_data[[#This Row],[Engine_CC]])=0,"",VALUE(tbl_data[[#This Row],[Price_USD]])/VALUE(tbl_data[[#This Row],[Engine_CC]])),"")</f>
        <v/>
      </c>
      <c r="R744" s="1" t="str">
        <f>TRIM(tbl_data[[#This Row],[Brand]])</f>
        <v>Nissan</v>
      </c>
      <c r="S744" s="1">
        <f>_xlfn.NUMBERVALUE(tbl_data[[#This Row],[Price_USD]],".",",")</f>
        <v>79520.7</v>
      </c>
    </row>
    <row r="745" spans="1:19" x14ac:dyDescent="0.3">
      <c r="A745">
        <v>744</v>
      </c>
      <c r="B745" t="s">
        <v>43</v>
      </c>
      <c r="C745">
        <v>2009</v>
      </c>
      <c r="D745">
        <v>23658</v>
      </c>
      <c r="E745" t="s">
        <v>20</v>
      </c>
      <c r="F745" t="s">
        <v>21</v>
      </c>
      <c r="G745" t="s">
        <v>15</v>
      </c>
      <c r="H745">
        <v>4124</v>
      </c>
      <c r="I745" t="s">
        <v>2125</v>
      </c>
      <c r="J745" t="s">
        <v>2126</v>
      </c>
      <c r="K745">
        <v>2</v>
      </c>
      <c r="L745" t="s">
        <v>2127</v>
      </c>
      <c r="M745" s="1" t="str">
        <f>TEXT(DATE(tbl_data[[#This Row],[Model_Year]],1,1),"yyyy")</f>
        <v>2009</v>
      </c>
      <c r="N745" s="1" t="str">
        <f>IF(tbl_data[[#This Row],[Kilometers_Driven]]&lt;50000,"&lt;50k",
IF(tbl_data[[#This Row],[Kilometers_Driven]]&lt;100000,"50k-100k",
IF(tbl_data[[#This Row],[Kilometers_Driven]]&lt;150000,"100k-150k","150k+")))</f>
        <v>&lt;50k</v>
      </c>
      <c r="O745" s="1" t="str">
        <f>IF(tbl_data[[#This Row],[Price_USD]]&gt;=87089,"High",
IF(tbl_data[[#This Row],[Price_USD]]&gt;=56807,"Mid","Low"))</f>
        <v>High</v>
      </c>
      <c r="P745" s="1" t="str">
        <f>IF(tbl_data[[#This Row],[Transmission]]="Automatic","Auto","Manual")</f>
        <v>Auto</v>
      </c>
      <c r="Q745" s="1" t="str">
        <f>IFERROR(IF(VALUE(tbl_data[[#This Row],[Engine_CC]])=0,"",VALUE(tbl_data[[#This Row],[Price_USD]])/VALUE(tbl_data[[#This Row],[Engine_CC]])),"")</f>
        <v/>
      </c>
      <c r="R745" s="1" t="str">
        <f>TRIM(tbl_data[[#This Row],[Brand]])</f>
        <v>Ford</v>
      </c>
      <c r="S745" s="1">
        <f>_xlfn.NUMBERVALUE(tbl_data[[#This Row],[Price_USD]],".",",")</f>
        <v>51697.39</v>
      </c>
    </row>
    <row r="746" spans="1:19" x14ac:dyDescent="0.3">
      <c r="A746">
        <v>745</v>
      </c>
      <c r="B746" t="s">
        <v>43</v>
      </c>
      <c r="C746">
        <v>2024</v>
      </c>
      <c r="D746">
        <v>26253</v>
      </c>
      <c r="E746" t="s">
        <v>44</v>
      </c>
      <c r="F746" t="s">
        <v>14</v>
      </c>
      <c r="G746" t="s">
        <v>26</v>
      </c>
      <c r="H746">
        <v>2140</v>
      </c>
      <c r="I746" t="s">
        <v>742</v>
      </c>
      <c r="J746" t="s">
        <v>2128</v>
      </c>
      <c r="K746">
        <v>2</v>
      </c>
      <c r="L746" t="s">
        <v>2129</v>
      </c>
      <c r="M746" s="1" t="str">
        <f>TEXT(DATE(tbl_data[[#This Row],[Model_Year]],1,1),"yyyy")</f>
        <v>2024</v>
      </c>
      <c r="N746" s="1" t="str">
        <f>IF(tbl_data[[#This Row],[Kilometers_Driven]]&lt;50000,"&lt;50k",
IF(tbl_data[[#This Row],[Kilometers_Driven]]&lt;100000,"50k-100k",
IF(tbl_data[[#This Row],[Kilometers_Driven]]&lt;150000,"100k-150k","150k+")))</f>
        <v>&lt;50k</v>
      </c>
      <c r="O746" s="1" t="str">
        <f>IF(tbl_data[[#This Row],[Price_USD]]&gt;=87089,"High",
IF(tbl_data[[#This Row],[Price_USD]]&gt;=56807,"Mid","Low"))</f>
        <v>High</v>
      </c>
      <c r="P746" s="1" t="str">
        <f>IF(tbl_data[[#This Row],[Transmission]]="Automatic","Auto","Manual")</f>
        <v>Manual</v>
      </c>
      <c r="Q746" s="1" t="str">
        <f>IFERROR(IF(VALUE(tbl_data[[#This Row],[Engine_CC]])=0,"",VALUE(tbl_data[[#This Row],[Price_USD]])/VALUE(tbl_data[[#This Row],[Engine_CC]])),"")</f>
        <v/>
      </c>
      <c r="R746" s="1" t="str">
        <f>TRIM(tbl_data[[#This Row],[Brand]])</f>
        <v>Ford</v>
      </c>
      <c r="S746" s="1">
        <f>_xlfn.NUMBERVALUE(tbl_data[[#This Row],[Price_USD]],".",",")</f>
        <v>24020.14</v>
      </c>
    </row>
    <row r="747" spans="1:19" x14ac:dyDescent="0.3">
      <c r="A747">
        <v>746</v>
      </c>
      <c r="B747" t="s">
        <v>76</v>
      </c>
      <c r="C747">
        <v>2012</v>
      </c>
      <c r="D747">
        <v>184635</v>
      </c>
      <c r="E747" t="s">
        <v>31</v>
      </c>
      <c r="F747" t="s">
        <v>14</v>
      </c>
      <c r="G747" t="s">
        <v>32</v>
      </c>
      <c r="H747">
        <v>3739</v>
      </c>
      <c r="I747" t="s">
        <v>2130</v>
      </c>
      <c r="J747" t="s">
        <v>1839</v>
      </c>
      <c r="K747">
        <v>7</v>
      </c>
      <c r="L747" t="s">
        <v>2131</v>
      </c>
      <c r="M747" s="1" t="str">
        <f>TEXT(DATE(tbl_data[[#This Row],[Model_Year]],1,1),"yyyy")</f>
        <v>2012</v>
      </c>
      <c r="N747" s="1" t="str">
        <f>IF(tbl_data[[#This Row],[Kilometers_Driven]]&lt;50000,"&lt;50k",
IF(tbl_data[[#This Row],[Kilometers_Driven]]&lt;100000,"50k-100k",
IF(tbl_data[[#This Row],[Kilometers_Driven]]&lt;150000,"100k-150k","150k+")))</f>
        <v>150k+</v>
      </c>
      <c r="O747" s="1" t="str">
        <f>IF(tbl_data[[#This Row],[Price_USD]]&gt;=87089,"High",
IF(tbl_data[[#This Row],[Price_USD]]&gt;=56807,"Mid","Low"))</f>
        <v>High</v>
      </c>
      <c r="P747" s="1" t="str">
        <f>IF(tbl_data[[#This Row],[Transmission]]="Automatic","Auto","Manual")</f>
        <v>Manual</v>
      </c>
      <c r="Q747" s="1" t="str">
        <f>IFERROR(IF(VALUE(tbl_data[[#This Row],[Engine_CC]])=0,"",VALUE(tbl_data[[#This Row],[Price_USD]])/VALUE(tbl_data[[#This Row],[Engine_CC]])),"")</f>
        <v/>
      </c>
      <c r="R747" s="1" t="str">
        <f>TRIM(tbl_data[[#This Row],[Brand]])</f>
        <v>Honda</v>
      </c>
      <c r="S747" s="1">
        <f>_xlfn.NUMBERVALUE(tbl_data[[#This Row],[Price_USD]],".",",")</f>
        <v>83625.759999999995</v>
      </c>
    </row>
    <row r="748" spans="1:19" x14ac:dyDescent="0.3">
      <c r="A748">
        <v>747</v>
      </c>
      <c r="B748" t="s">
        <v>39</v>
      </c>
      <c r="C748">
        <v>2015</v>
      </c>
      <c r="D748">
        <v>162462</v>
      </c>
      <c r="E748" t="s">
        <v>31</v>
      </c>
      <c r="F748" t="s">
        <v>21</v>
      </c>
      <c r="G748" t="s">
        <v>32</v>
      </c>
      <c r="H748">
        <v>4499</v>
      </c>
      <c r="I748" t="s">
        <v>2132</v>
      </c>
      <c r="J748" t="s">
        <v>2133</v>
      </c>
      <c r="K748">
        <v>4</v>
      </c>
      <c r="L748" t="s">
        <v>2134</v>
      </c>
      <c r="M748" s="1" t="str">
        <f>TEXT(DATE(tbl_data[[#This Row],[Model_Year]],1,1),"yyyy")</f>
        <v>2015</v>
      </c>
      <c r="N748" s="1" t="str">
        <f>IF(tbl_data[[#This Row],[Kilometers_Driven]]&lt;50000,"&lt;50k",
IF(tbl_data[[#This Row],[Kilometers_Driven]]&lt;100000,"50k-100k",
IF(tbl_data[[#This Row],[Kilometers_Driven]]&lt;150000,"100k-150k","150k+")))</f>
        <v>150k+</v>
      </c>
      <c r="O748" s="1" t="str">
        <f>IF(tbl_data[[#This Row],[Price_USD]]&gt;=87089,"High",
IF(tbl_data[[#This Row],[Price_USD]]&gt;=56807,"Mid","Low"))</f>
        <v>High</v>
      </c>
      <c r="P748" s="1" t="str">
        <f>IF(tbl_data[[#This Row],[Transmission]]="Automatic","Auto","Manual")</f>
        <v>Auto</v>
      </c>
      <c r="Q748" s="1" t="str">
        <f>IFERROR(IF(VALUE(tbl_data[[#This Row],[Engine_CC]])=0,"",VALUE(tbl_data[[#This Row],[Price_USD]])/VALUE(tbl_data[[#This Row],[Engine_CC]])),"")</f>
        <v/>
      </c>
      <c r="R748" s="1" t="str">
        <f>TRIM(tbl_data[[#This Row],[Brand]])</f>
        <v>Volkswagen</v>
      </c>
      <c r="S748" s="1">
        <f>_xlfn.NUMBERVALUE(tbl_data[[#This Row],[Price_USD]],".",",")</f>
        <v>69113.460000000006</v>
      </c>
    </row>
    <row r="749" spans="1:19" x14ac:dyDescent="0.3">
      <c r="A749">
        <v>748</v>
      </c>
      <c r="B749" t="s">
        <v>43</v>
      </c>
      <c r="C749">
        <v>2016</v>
      </c>
      <c r="D749">
        <v>93664</v>
      </c>
      <c r="E749" t="s">
        <v>13</v>
      </c>
      <c r="F749" t="s">
        <v>21</v>
      </c>
      <c r="G749" t="s">
        <v>32</v>
      </c>
      <c r="H749">
        <v>1873</v>
      </c>
      <c r="I749" t="s">
        <v>2135</v>
      </c>
      <c r="J749" t="s">
        <v>2136</v>
      </c>
      <c r="K749">
        <v>4</v>
      </c>
      <c r="L749" t="s">
        <v>2137</v>
      </c>
      <c r="M749" s="1" t="str">
        <f>TEXT(DATE(tbl_data[[#This Row],[Model_Year]],1,1),"yyyy")</f>
        <v>2016</v>
      </c>
      <c r="N749" s="1" t="str">
        <f>IF(tbl_data[[#This Row],[Kilometers_Driven]]&lt;50000,"&lt;50k",
IF(tbl_data[[#This Row],[Kilometers_Driven]]&lt;100000,"50k-100k",
IF(tbl_data[[#This Row],[Kilometers_Driven]]&lt;150000,"100k-150k","150k+")))</f>
        <v>50k-100k</v>
      </c>
      <c r="O749" s="1" t="str">
        <f>IF(tbl_data[[#This Row],[Price_USD]]&gt;=87089,"High",
IF(tbl_data[[#This Row],[Price_USD]]&gt;=56807,"Mid","Low"))</f>
        <v>High</v>
      </c>
      <c r="P749" s="1" t="str">
        <f>IF(tbl_data[[#This Row],[Transmission]]="Automatic","Auto","Manual")</f>
        <v>Auto</v>
      </c>
      <c r="Q749" s="1" t="str">
        <f>IFERROR(IF(VALUE(tbl_data[[#This Row],[Engine_CC]])=0,"",VALUE(tbl_data[[#This Row],[Price_USD]])/VALUE(tbl_data[[#This Row],[Engine_CC]])),"")</f>
        <v/>
      </c>
      <c r="R749" s="1" t="str">
        <f>TRIM(tbl_data[[#This Row],[Brand]])</f>
        <v>Ford</v>
      </c>
      <c r="S749" s="1">
        <f>_xlfn.NUMBERVALUE(tbl_data[[#This Row],[Price_USD]],".",",")</f>
        <v>103464.63</v>
      </c>
    </row>
    <row r="750" spans="1:19" x14ac:dyDescent="0.3">
      <c r="A750">
        <v>749</v>
      </c>
      <c r="B750" t="s">
        <v>43</v>
      </c>
      <c r="C750">
        <v>2005</v>
      </c>
      <c r="D750">
        <v>187650</v>
      </c>
      <c r="E750" t="s">
        <v>44</v>
      </c>
      <c r="F750" t="s">
        <v>21</v>
      </c>
      <c r="G750" t="s">
        <v>26</v>
      </c>
      <c r="H750">
        <v>4369</v>
      </c>
      <c r="I750" t="s">
        <v>2138</v>
      </c>
      <c r="J750" t="s">
        <v>2139</v>
      </c>
      <c r="K750">
        <v>4</v>
      </c>
      <c r="L750" t="s">
        <v>2140</v>
      </c>
      <c r="M750" s="1" t="str">
        <f>TEXT(DATE(tbl_data[[#This Row],[Model_Year]],1,1),"yyyy")</f>
        <v>2005</v>
      </c>
      <c r="N750" s="1" t="str">
        <f>IF(tbl_data[[#This Row],[Kilometers_Driven]]&lt;50000,"&lt;50k",
IF(tbl_data[[#This Row],[Kilometers_Driven]]&lt;100000,"50k-100k",
IF(tbl_data[[#This Row],[Kilometers_Driven]]&lt;150000,"100k-150k","150k+")))</f>
        <v>150k+</v>
      </c>
      <c r="O750" s="1" t="str">
        <f>IF(tbl_data[[#This Row],[Price_USD]]&gt;=87089,"High",
IF(tbl_data[[#This Row],[Price_USD]]&gt;=56807,"Mid","Low"))</f>
        <v>High</v>
      </c>
      <c r="P750" s="1" t="str">
        <f>IF(tbl_data[[#This Row],[Transmission]]="Automatic","Auto","Manual")</f>
        <v>Auto</v>
      </c>
      <c r="Q750" s="1" t="str">
        <f>IFERROR(IF(VALUE(tbl_data[[#This Row],[Engine_CC]])=0,"",VALUE(tbl_data[[#This Row],[Price_USD]])/VALUE(tbl_data[[#This Row],[Engine_CC]])),"")</f>
        <v/>
      </c>
      <c r="R750" s="1" t="str">
        <f>TRIM(tbl_data[[#This Row],[Brand]])</f>
        <v>Ford</v>
      </c>
      <c r="S750" s="1">
        <f>_xlfn.NUMBERVALUE(tbl_data[[#This Row],[Price_USD]],".",",")</f>
        <v>16744.68</v>
      </c>
    </row>
    <row r="751" spans="1:19" x14ac:dyDescent="0.3">
      <c r="A751">
        <v>750</v>
      </c>
      <c r="B751" t="s">
        <v>30</v>
      </c>
      <c r="C751">
        <v>2024</v>
      </c>
      <c r="D751">
        <v>108850</v>
      </c>
      <c r="E751" t="s">
        <v>13</v>
      </c>
      <c r="F751" t="s">
        <v>21</v>
      </c>
      <c r="G751" t="s">
        <v>32</v>
      </c>
      <c r="H751">
        <v>3950</v>
      </c>
      <c r="I751" t="s">
        <v>2141</v>
      </c>
      <c r="J751" t="s">
        <v>999</v>
      </c>
      <c r="K751">
        <v>2</v>
      </c>
      <c r="L751" t="s">
        <v>2142</v>
      </c>
      <c r="M751" s="1" t="str">
        <f>TEXT(DATE(tbl_data[[#This Row],[Model_Year]],1,1),"yyyy")</f>
        <v>2024</v>
      </c>
      <c r="N751" s="1" t="str">
        <f>IF(tbl_data[[#This Row],[Kilometers_Driven]]&lt;50000,"&lt;50k",
IF(tbl_data[[#This Row],[Kilometers_Driven]]&lt;100000,"50k-100k",
IF(tbl_data[[#This Row],[Kilometers_Driven]]&lt;150000,"100k-150k","150k+")))</f>
        <v>100k-150k</v>
      </c>
      <c r="O751" s="1" t="str">
        <f>IF(tbl_data[[#This Row],[Price_USD]]&gt;=87089,"High",
IF(tbl_data[[#This Row],[Price_USD]]&gt;=56807,"Mid","Low"))</f>
        <v>High</v>
      </c>
      <c r="P751" s="1" t="str">
        <f>IF(tbl_data[[#This Row],[Transmission]]="Automatic","Auto","Manual")</f>
        <v>Auto</v>
      </c>
      <c r="Q751" s="1" t="str">
        <f>IFERROR(IF(VALUE(tbl_data[[#This Row],[Engine_CC]])=0,"",VALUE(tbl_data[[#This Row],[Price_USD]])/VALUE(tbl_data[[#This Row],[Engine_CC]])),"")</f>
        <v/>
      </c>
      <c r="R751" s="1" t="str">
        <f>TRIM(tbl_data[[#This Row],[Brand]])</f>
        <v>Mercedes</v>
      </c>
      <c r="S751" s="1">
        <f>_xlfn.NUMBERVALUE(tbl_data[[#This Row],[Price_USD]],".",",")</f>
        <v>94922.99</v>
      </c>
    </row>
    <row r="752" spans="1:19" x14ac:dyDescent="0.3">
      <c r="A752">
        <v>751</v>
      </c>
      <c r="B752" t="s">
        <v>30</v>
      </c>
      <c r="C752">
        <v>2015</v>
      </c>
      <c r="D752">
        <v>168730</v>
      </c>
      <c r="E752" t="s">
        <v>31</v>
      </c>
      <c r="F752" t="s">
        <v>14</v>
      </c>
      <c r="G752" t="s">
        <v>15</v>
      </c>
      <c r="H752">
        <v>2405</v>
      </c>
      <c r="I752" t="s">
        <v>2143</v>
      </c>
      <c r="J752" t="s">
        <v>2144</v>
      </c>
      <c r="K752">
        <v>6</v>
      </c>
      <c r="L752" t="s">
        <v>2145</v>
      </c>
      <c r="M752" s="1" t="str">
        <f>TEXT(DATE(tbl_data[[#This Row],[Model_Year]],1,1),"yyyy")</f>
        <v>2015</v>
      </c>
      <c r="N752" s="1" t="str">
        <f>IF(tbl_data[[#This Row],[Kilometers_Driven]]&lt;50000,"&lt;50k",
IF(tbl_data[[#This Row],[Kilometers_Driven]]&lt;100000,"50k-100k",
IF(tbl_data[[#This Row],[Kilometers_Driven]]&lt;150000,"100k-150k","150k+")))</f>
        <v>150k+</v>
      </c>
      <c r="O752" s="1" t="str">
        <f>IF(tbl_data[[#This Row],[Price_USD]]&gt;=87089,"High",
IF(tbl_data[[#This Row],[Price_USD]]&gt;=56807,"Mid","Low"))</f>
        <v>High</v>
      </c>
      <c r="P752" s="1" t="str">
        <f>IF(tbl_data[[#This Row],[Transmission]]="Automatic","Auto","Manual")</f>
        <v>Manual</v>
      </c>
      <c r="Q752" s="1" t="str">
        <f>IFERROR(IF(VALUE(tbl_data[[#This Row],[Engine_CC]])=0,"",VALUE(tbl_data[[#This Row],[Price_USD]])/VALUE(tbl_data[[#This Row],[Engine_CC]])),"")</f>
        <v/>
      </c>
      <c r="R752" s="1" t="str">
        <f>TRIM(tbl_data[[#This Row],[Brand]])</f>
        <v>Mercedes</v>
      </c>
      <c r="S752" s="1">
        <f>_xlfn.NUMBERVALUE(tbl_data[[#This Row],[Price_USD]],".",",")</f>
        <v>81801.460000000006</v>
      </c>
    </row>
    <row r="753" spans="1:19" x14ac:dyDescent="0.3">
      <c r="A753">
        <v>752</v>
      </c>
      <c r="B753" t="s">
        <v>76</v>
      </c>
      <c r="C753">
        <v>2009</v>
      </c>
      <c r="D753">
        <v>142924</v>
      </c>
      <c r="E753" t="s">
        <v>31</v>
      </c>
      <c r="F753" t="s">
        <v>21</v>
      </c>
      <c r="G753" t="s">
        <v>15</v>
      </c>
      <c r="H753">
        <v>3094</v>
      </c>
      <c r="I753" t="s">
        <v>2146</v>
      </c>
      <c r="J753" t="s">
        <v>2147</v>
      </c>
      <c r="K753">
        <v>4</v>
      </c>
      <c r="L753" t="s">
        <v>2148</v>
      </c>
      <c r="M753" s="1" t="str">
        <f>TEXT(DATE(tbl_data[[#This Row],[Model_Year]],1,1),"yyyy")</f>
        <v>2009</v>
      </c>
      <c r="N753" s="1" t="str">
        <f>IF(tbl_data[[#This Row],[Kilometers_Driven]]&lt;50000,"&lt;50k",
IF(tbl_data[[#This Row],[Kilometers_Driven]]&lt;100000,"50k-100k",
IF(tbl_data[[#This Row],[Kilometers_Driven]]&lt;150000,"100k-150k","150k+")))</f>
        <v>100k-150k</v>
      </c>
      <c r="O753" s="1" t="str">
        <f>IF(tbl_data[[#This Row],[Price_USD]]&gt;=87089,"High",
IF(tbl_data[[#This Row],[Price_USD]]&gt;=56807,"Mid","Low"))</f>
        <v>High</v>
      </c>
      <c r="P753" s="1" t="str">
        <f>IF(tbl_data[[#This Row],[Transmission]]="Automatic","Auto","Manual")</f>
        <v>Auto</v>
      </c>
      <c r="Q753" s="1" t="str">
        <f>IFERROR(IF(VALUE(tbl_data[[#This Row],[Engine_CC]])=0,"",VALUE(tbl_data[[#This Row],[Price_USD]])/VALUE(tbl_data[[#This Row],[Engine_CC]])),"")</f>
        <v/>
      </c>
      <c r="R753" s="1" t="str">
        <f>TRIM(tbl_data[[#This Row],[Brand]])</f>
        <v>Honda</v>
      </c>
      <c r="S753" s="1">
        <f>_xlfn.NUMBERVALUE(tbl_data[[#This Row],[Price_USD]],".",",")</f>
        <v>16456.28</v>
      </c>
    </row>
    <row r="754" spans="1:19" x14ac:dyDescent="0.3">
      <c r="A754">
        <v>753</v>
      </c>
      <c r="B754" t="s">
        <v>39</v>
      </c>
      <c r="C754">
        <v>2019</v>
      </c>
      <c r="D754">
        <v>138623</v>
      </c>
      <c r="E754" t="s">
        <v>20</v>
      </c>
      <c r="F754" t="s">
        <v>21</v>
      </c>
      <c r="G754" t="s">
        <v>15</v>
      </c>
      <c r="H754">
        <v>4462</v>
      </c>
      <c r="I754" t="s">
        <v>640</v>
      </c>
      <c r="J754" t="s">
        <v>2149</v>
      </c>
      <c r="K754">
        <v>2</v>
      </c>
      <c r="L754" t="s">
        <v>2150</v>
      </c>
      <c r="M754" s="1" t="str">
        <f>TEXT(DATE(tbl_data[[#This Row],[Model_Year]],1,1),"yyyy")</f>
        <v>2019</v>
      </c>
      <c r="N754" s="1" t="str">
        <f>IF(tbl_data[[#This Row],[Kilometers_Driven]]&lt;50000,"&lt;50k",
IF(tbl_data[[#This Row],[Kilometers_Driven]]&lt;100000,"50k-100k",
IF(tbl_data[[#This Row],[Kilometers_Driven]]&lt;150000,"100k-150k","150k+")))</f>
        <v>100k-150k</v>
      </c>
      <c r="O754" s="1" t="str">
        <f>IF(tbl_data[[#This Row],[Price_USD]]&gt;=87089,"High",
IF(tbl_data[[#This Row],[Price_USD]]&gt;=56807,"Mid","Low"))</f>
        <v>High</v>
      </c>
      <c r="P754" s="1" t="str">
        <f>IF(tbl_data[[#This Row],[Transmission]]="Automatic","Auto","Manual")</f>
        <v>Auto</v>
      </c>
      <c r="Q754" s="1" t="str">
        <f>IFERROR(IF(VALUE(tbl_data[[#This Row],[Engine_CC]])=0,"",VALUE(tbl_data[[#This Row],[Price_USD]])/VALUE(tbl_data[[#This Row],[Engine_CC]])),"")</f>
        <v/>
      </c>
      <c r="R754" s="1" t="str">
        <f>TRIM(tbl_data[[#This Row],[Brand]])</f>
        <v>Volkswagen</v>
      </c>
      <c r="S754" s="1">
        <f>_xlfn.NUMBERVALUE(tbl_data[[#This Row],[Price_USD]],".",",")</f>
        <v>84294.03</v>
      </c>
    </row>
    <row r="755" spans="1:19" x14ac:dyDescent="0.3">
      <c r="A755">
        <v>754</v>
      </c>
      <c r="B755" t="s">
        <v>69</v>
      </c>
      <c r="C755">
        <v>2009</v>
      </c>
      <c r="D755">
        <v>76947</v>
      </c>
      <c r="E755" t="s">
        <v>44</v>
      </c>
      <c r="F755" t="s">
        <v>21</v>
      </c>
      <c r="G755" t="s">
        <v>32</v>
      </c>
      <c r="H755">
        <v>1783</v>
      </c>
      <c r="I755" t="s">
        <v>2151</v>
      </c>
      <c r="J755" t="s">
        <v>2152</v>
      </c>
      <c r="K755">
        <v>2</v>
      </c>
      <c r="L755" t="s">
        <v>2153</v>
      </c>
      <c r="M755" s="1" t="str">
        <f>TEXT(DATE(tbl_data[[#This Row],[Model_Year]],1,1),"yyyy")</f>
        <v>2009</v>
      </c>
      <c r="N755" s="1" t="str">
        <f>IF(tbl_data[[#This Row],[Kilometers_Driven]]&lt;50000,"&lt;50k",
IF(tbl_data[[#This Row],[Kilometers_Driven]]&lt;100000,"50k-100k",
IF(tbl_data[[#This Row],[Kilometers_Driven]]&lt;150000,"100k-150k","150k+")))</f>
        <v>50k-100k</v>
      </c>
      <c r="O755" s="1" t="str">
        <f>IF(tbl_data[[#This Row],[Price_USD]]&gt;=87089,"High",
IF(tbl_data[[#This Row],[Price_USD]]&gt;=56807,"Mid","Low"))</f>
        <v>High</v>
      </c>
      <c r="P755" s="1" t="str">
        <f>IF(tbl_data[[#This Row],[Transmission]]="Automatic","Auto","Manual")</f>
        <v>Auto</v>
      </c>
      <c r="Q755" s="1" t="str">
        <f>IFERROR(IF(VALUE(tbl_data[[#This Row],[Engine_CC]])=0,"",VALUE(tbl_data[[#This Row],[Price_USD]])/VALUE(tbl_data[[#This Row],[Engine_CC]])),"")</f>
        <v/>
      </c>
      <c r="R755" s="1" t="str">
        <f>TRIM(tbl_data[[#This Row],[Brand]])</f>
        <v>Hyundai</v>
      </c>
      <c r="S755" s="1">
        <f>_xlfn.NUMBERVALUE(tbl_data[[#This Row],[Price_USD]],".",",")</f>
        <v>54661.03</v>
      </c>
    </row>
    <row r="756" spans="1:19" x14ac:dyDescent="0.3">
      <c r="A756">
        <v>755</v>
      </c>
      <c r="B756" t="s">
        <v>30</v>
      </c>
      <c r="C756">
        <v>2016</v>
      </c>
      <c r="D756">
        <v>66001</v>
      </c>
      <c r="E756" t="s">
        <v>31</v>
      </c>
      <c r="F756" t="s">
        <v>14</v>
      </c>
      <c r="G756" t="s">
        <v>15</v>
      </c>
      <c r="H756">
        <v>1151</v>
      </c>
      <c r="I756" t="s">
        <v>2154</v>
      </c>
      <c r="J756" t="s">
        <v>2155</v>
      </c>
      <c r="K756">
        <v>6</v>
      </c>
      <c r="L756" t="s">
        <v>2156</v>
      </c>
      <c r="M756" s="1" t="str">
        <f>TEXT(DATE(tbl_data[[#This Row],[Model_Year]],1,1),"yyyy")</f>
        <v>2016</v>
      </c>
      <c r="N756" s="1" t="str">
        <f>IF(tbl_data[[#This Row],[Kilometers_Driven]]&lt;50000,"&lt;50k",
IF(tbl_data[[#This Row],[Kilometers_Driven]]&lt;100000,"50k-100k",
IF(tbl_data[[#This Row],[Kilometers_Driven]]&lt;150000,"100k-150k","150k+")))</f>
        <v>50k-100k</v>
      </c>
      <c r="O756" s="1" t="str">
        <f>IF(tbl_data[[#This Row],[Price_USD]]&gt;=87089,"High",
IF(tbl_data[[#This Row],[Price_USD]]&gt;=56807,"Mid","Low"))</f>
        <v>High</v>
      </c>
      <c r="P756" s="1" t="str">
        <f>IF(tbl_data[[#This Row],[Transmission]]="Automatic","Auto","Manual")</f>
        <v>Manual</v>
      </c>
      <c r="Q756" s="1" t="str">
        <f>IFERROR(IF(VALUE(tbl_data[[#This Row],[Engine_CC]])=0,"",VALUE(tbl_data[[#This Row],[Price_USD]])/VALUE(tbl_data[[#This Row],[Engine_CC]])),"")</f>
        <v/>
      </c>
      <c r="R756" s="1" t="str">
        <f>TRIM(tbl_data[[#This Row],[Brand]])</f>
        <v>Mercedes</v>
      </c>
      <c r="S756" s="1">
        <f>_xlfn.NUMBERVALUE(tbl_data[[#This Row],[Price_USD]],".",",")</f>
        <v>113563.22</v>
      </c>
    </row>
    <row r="757" spans="1:19" x14ac:dyDescent="0.3">
      <c r="A757">
        <v>756</v>
      </c>
      <c r="B757" t="s">
        <v>69</v>
      </c>
      <c r="C757">
        <v>2009</v>
      </c>
      <c r="D757">
        <v>185231</v>
      </c>
      <c r="E757" t="s">
        <v>20</v>
      </c>
      <c r="F757" t="s">
        <v>14</v>
      </c>
      <c r="G757" t="s">
        <v>32</v>
      </c>
      <c r="H757">
        <v>2524</v>
      </c>
      <c r="I757" t="s">
        <v>2157</v>
      </c>
      <c r="J757" t="s">
        <v>1716</v>
      </c>
      <c r="K757">
        <v>7</v>
      </c>
      <c r="L757" t="s">
        <v>2158</v>
      </c>
      <c r="M757" s="1" t="str">
        <f>TEXT(DATE(tbl_data[[#This Row],[Model_Year]],1,1),"yyyy")</f>
        <v>2009</v>
      </c>
      <c r="N757" s="1" t="str">
        <f>IF(tbl_data[[#This Row],[Kilometers_Driven]]&lt;50000,"&lt;50k",
IF(tbl_data[[#This Row],[Kilometers_Driven]]&lt;100000,"50k-100k",
IF(tbl_data[[#This Row],[Kilometers_Driven]]&lt;150000,"100k-150k","150k+")))</f>
        <v>150k+</v>
      </c>
      <c r="O757" s="1" t="str">
        <f>IF(tbl_data[[#This Row],[Price_USD]]&gt;=87089,"High",
IF(tbl_data[[#This Row],[Price_USD]]&gt;=56807,"Mid","Low"))</f>
        <v>High</v>
      </c>
      <c r="P757" s="1" t="str">
        <f>IF(tbl_data[[#This Row],[Transmission]]="Automatic","Auto","Manual")</f>
        <v>Manual</v>
      </c>
      <c r="Q757" s="1" t="str">
        <f>IFERROR(IF(VALUE(tbl_data[[#This Row],[Engine_CC]])=0,"",VALUE(tbl_data[[#This Row],[Price_USD]])/VALUE(tbl_data[[#This Row],[Engine_CC]])),"")</f>
        <v/>
      </c>
      <c r="R757" s="1" t="str">
        <f>TRIM(tbl_data[[#This Row],[Brand]])</f>
        <v>Hyundai</v>
      </c>
      <c r="S757" s="1">
        <f>_xlfn.NUMBERVALUE(tbl_data[[#This Row],[Price_USD]],".",",")</f>
        <v>19568.53</v>
      </c>
    </row>
    <row r="758" spans="1:19" x14ac:dyDescent="0.3">
      <c r="A758">
        <v>757</v>
      </c>
      <c r="B758" t="s">
        <v>92</v>
      </c>
      <c r="C758">
        <v>2021</v>
      </c>
      <c r="D758">
        <v>127775</v>
      </c>
      <c r="E758" t="s">
        <v>44</v>
      </c>
      <c r="F758" t="s">
        <v>21</v>
      </c>
      <c r="G758" t="s">
        <v>15</v>
      </c>
      <c r="H758">
        <v>2751</v>
      </c>
      <c r="I758" t="s">
        <v>2159</v>
      </c>
      <c r="J758" t="s">
        <v>2160</v>
      </c>
      <c r="K758">
        <v>7</v>
      </c>
      <c r="L758" t="s">
        <v>2161</v>
      </c>
      <c r="M758" s="1" t="str">
        <f>TEXT(DATE(tbl_data[[#This Row],[Model_Year]],1,1),"yyyy")</f>
        <v>2021</v>
      </c>
      <c r="N758" s="1" t="str">
        <f>IF(tbl_data[[#This Row],[Kilometers_Driven]]&lt;50000,"&lt;50k",
IF(tbl_data[[#This Row],[Kilometers_Driven]]&lt;100000,"50k-100k",
IF(tbl_data[[#This Row],[Kilometers_Driven]]&lt;150000,"100k-150k","150k+")))</f>
        <v>100k-150k</v>
      </c>
      <c r="O758" s="1" t="str">
        <f>IF(tbl_data[[#This Row],[Price_USD]]&gt;=87089,"High",
IF(tbl_data[[#This Row],[Price_USD]]&gt;=56807,"Mid","Low"))</f>
        <v>High</v>
      </c>
      <c r="P758" s="1" t="str">
        <f>IF(tbl_data[[#This Row],[Transmission]]="Automatic","Auto","Manual")</f>
        <v>Auto</v>
      </c>
      <c r="Q758" s="1" t="str">
        <f>IFERROR(IF(VALUE(tbl_data[[#This Row],[Engine_CC]])=0,"",VALUE(tbl_data[[#This Row],[Price_USD]])/VALUE(tbl_data[[#This Row],[Engine_CC]])),"")</f>
        <v/>
      </c>
      <c r="R758" s="1" t="str">
        <f>TRIM(tbl_data[[#This Row],[Brand]])</f>
        <v>Toyota</v>
      </c>
      <c r="S758" s="1">
        <f>_xlfn.NUMBERVALUE(tbl_data[[#This Row],[Price_USD]],".",",")</f>
        <v>78211.509999999995</v>
      </c>
    </row>
    <row r="759" spans="1:19" x14ac:dyDescent="0.3">
      <c r="A759">
        <v>758</v>
      </c>
      <c r="B759" t="s">
        <v>30</v>
      </c>
      <c r="C759">
        <v>2021</v>
      </c>
      <c r="D759">
        <v>187779</v>
      </c>
      <c r="E759" t="s">
        <v>13</v>
      </c>
      <c r="F759" t="s">
        <v>14</v>
      </c>
      <c r="G759" t="s">
        <v>26</v>
      </c>
      <c r="H759">
        <v>2079</v>
      </c>
      <c r="I759" t="s">
        <v>2162</v>
      </c>
      <c r="J759" t="s">
        <v>2163</v>
      </c>
      <c r="K759">
        <v>4</v>
      </c>
      <c r="L759" t="s">
        <v>2164</v>
      </c>
      <c r="M759" s="1" t="str">
        <f>TEXT(DATE(tbl_data[[#This Row],[Model_Year]],1,1),"yyyy")</f>
        <v>2021</v>
      </c>
      <c r="N759" s="1" t="str">
        <f>IF(tbl_data[[#This Row],[Kilometers_Driven]]&lt;50000,"&lt;50k",
IF(tbl_data[[#This Row],[Kilometers_Driven]]&lt;100000,"50k-100k",
IF(tbl_data[[#This Row],[Kilometers_Driven]]&lt;150000,"100k-150k","150k+")))</f>
        <v>150k+</v>
      </c>
      <c r="O759" s="1" t="str">
        <f>IF(tbl_data[[#This Row],[Price_USD]]&gt;=87089,"High",
IF(tbl_data[[#This Row],[Price_USD]]&gt;=56807,"Mid","Low"))</f>
        <v>High</v>
      </c>
      <c r="P759" s="1" t="str">
        <f>IF(tbl_data[[#This Row],[Transmission]]="Automatic","Auto","Manual")</f>
        <v>Manual</v>
      </c>
      <c r="Q759" s="1" t="str">
        <f>IFERROR(IF(VALUE(tbl_data[[#This Row],[Engine_CC]])=0,"",VALUE(tbl_data[[#This Row],[Price_USD]])/VALUE(tbl_data[[#This Row],[Engine_CC]])),"")</f>
        <v/>
      </c>
      <c r="R759" s="1" t="str">
        <f>TRIM(tbl_data[[#This Row],[Brand]])</f>
        <v>Mercedes</v>
      </c>
      <c r="S759" s="1">
        <f>_xlfn.NUMBERVALUE(tbl_data[[#This Row],[Price_USD]],".",",")</f>
        <v>47691.67</v>
      </c>
    </row>
    <row r="760" spans="1:19" x14ac:dyDescent="0.3">
      <c r="A760">
        <v>759</v>
      </c>
      <c r="B760" t="s">
        <v>102</v>
      </c>
      <c r="C760">
        <v>2016</v>
      </c>
      <c r="D760">
        <v>38243</v>
      </c>
      <c r="E760" t="s">
        <v>44</v>
      </c>
      <c r="F760" t="s">
        <v>14</v>
      </c>
      <c r="G760" t="s">
        <v>26</v>
      </c>
      <c r="H760">
        <v>2707</v>
      </c>
      <c r="I760" t="s">
        <v>2165</v>
      </c>
      <c r="J760" t="s">
        <v>2166</v>
      </c>
      <c r="K760">
        <v>4</v>
      </c>
      <c r="L760" t="s">
        <v>2167</v>
      </c>
      <c r="M760" s="1" t="str">
        <f>TEXT(DATE(tbl_data[[#This Row],[Model_Year]],1,1),"yyyy")</f>
        <v>2016</v>
      </c>
      <c r="N760" s="1" t="str">
        <f>IF(tbl_data[[#This Row],[Kilometers_Driven]]&lt;50000,"&lt;50k",
IF(tbl_data[[#This Row],[Kilometers_Driven]]&lt;100000,"50k-100k",
IF(tbl_data[[#This Row],[Kilometers_Driven]]&lt;150000,"100k-150k","150k+")))</f>
        <v>&lt;50k</v>
      </c>
      <c r="O760" s="1" t="str">
        <f>IF(tbl_data[[#This Row],[Price_USD]]&gt;=87089,"High",
IF(tbl_data[[#This Row],[Price_USD]]&gt;=56807,"Mid","Low"))</f>
        <v>High</v>
      </c>
      <c r="P760" s="1" t="str">
        <f>IF(tbl_data[[#This Row],[Transmission]]="Automatic","Auto","Manual")</f>
        <v>Manual</v>
      </c>
      <c r="Q760" s="1" t="str">
        <f>IFERROR(IF(VALUE(tbl_data[[#This Row],[Engine_CC]])=0,"",VALUE(tbl_data[[#This Row],[Price_USD]])/VALUE(tbl_data[[#This Row],[Engine_CC]])),"")</f>
        <v/>
      </c>
      <c r="R760" s="1" t="str">
        <f>TRIM(tbl_data[[#This Row],[Brand]])</f>
        <v>Nissan</v>
      </c>
      <c r="S760" s="1">
        <f>_xlfn.NUMBERVALUE(tbl_data[[#This Row],[Price_USD]],".",",")</f>
        <v>114947.32</v>
      </c>
    </row>
    <row r="761" spans="1:19" x14ac:dyDescent="0.3">
      <c r="A761">
        <v>760</v>
      </c>
      <c r="B761" t="s">
        <v>39</v>
      </c>
      <c r="C761">
        <v>2019</v>
      </c>
      <c r="D761">
        <v>157872</v>
      </c>
      <c r="E761" t="s">
        <v>44</v>
      </c>
      <c r="F761" t="s">
        <v>14</v>
      </c>
      <c r="G761" t="s">
        <v>26</v>
      </c>
      <c r="H761">
        <v>1824</v>
      </c>
      <c r="I761" t="s">
        <v>2168</v>
      </c>
      <c r="J761" t="s">
        <v>2102</v>
      </c>
      <c r="K761">
        <v>6</v>
      </c>
      <c r="L761" t="s">
        <v>2169</v>
      </c>
      <c r="M761" s="1" t="str">
        <f>TEXT(DATE(tbl_data[[#This Row],[Model_Year]],1,1),"yyyy")</f>
        <v>2019</v>
      </c>
      <c r="N761" s="1" t="str">
        <f>IF(tbl_data[[#This Row],[Kilometers_Driven]]&lt;50000,"&lt;50k",
IF(tbl_data[[#This Row],[Kilometers_Driven]]&lt;100000,"50k-100k",
IF(tbl_data[[#This Row],[Kilometers_Driven]]&lt;150000,"100k-150k","150k+")))</f>
        <v>150k+</v>
      </c>
      <c r="O761" s="1" t="str">
        <f>IF(tbl_data[[#This Row],[Price_USD]]&gt;=87089,"High",
IF(tbl_data[[#This Row],[Price_USD]]&gt;=56807,"Mid","Low"))</f>
        <v>High</v>
      </c>
      <c r="P761" s="1" t="str">
        <f>IF(tbl_data[[#This Row],[Transmission]]="Automatic","Auto","Manual")</f>
        <v>Manual</v>
      </c>
      <c r="Q761" s="1" t="str">
        <f>IFERROR(IF(VALUE(tbl_data[[#This Row],[Engine_CC]])=0,"",VALUE(tbl_data[[#This Row],[Price_USD]])/VALUE(tbl_data[[#This Row],[Engine_CC]])),"")</f>
        <v/>
      </c>
      <c r="R761" s="1" t="str">
        <f>TRIM(tbl_data[[#This Row],[Brand]])</f>
        <v>Volkswagen</v>
      </c>
      <c r="S761" s="1">
        <f>_xlfn.NUMBERVALUE(tbl_data[[#This Row],[Price_USD]],".",",")</f>
        <v>41607.06</v>
      </c>
    </row>
    <row r="762" spans="1:19" x14ac:dyDescent="0.3">
      <c r="A762">
        <v>761</v>
      </c>
      <c r="B762" t="s">
        <v>76</v>
      </c>
      <c r="C762">
        <v>2019</v>
      </c>
      <c r="D762">
        <v>80939</v>
      </c>
      <c r="E762" t="s">
        <v>31</v>
      </c>
      <c r="F762" t="s">
        <v>21</v>
      </c>
      <c r="G762" t="s">
        <v>26</v>
      </c>
      <c r="H762">
        <v>1345</v>
      </c>
      <c r="I762" t="s">
        <v>1208</v>
      </c>
      <c r="J762" t="s">
        <v>2170</v>
      </c>
      <c r="K762">
        <v>4</v>
      </c>
      <c r="L762" t="s">
        <v>2171</v>
      </c>
      <c r="M762" s="1" t="str">
        <f>TEXT(DATE(tbl_data[[#This Row],[Model_Year]],1,1),"yyyy")</f>
        <v>2019</v>
      </c>
      <c r="N762" s="1" t="str">
        <f>IF(tbl_data[[#This Row],[Kilometers_Driven]]&lt;50000,"&lt;50k",
IF(tbl_data[[#This Row],[Kilometers_Driven]]&lt;100000,"50k-100k",
IF(tbl_data[[#This Row],[Kilometers_Driven]]&lt;150000,"100k-150k","150k+")))</f>
        <v>50k-100k</v>
      </c>
      <c r="O762" s="1" t="str">
        <f>IF(tbl_data[[#This Row],[Price_USD]]&gt;=87089,"High",
IF(tbl_data[[#This Row],[Price_USD]]&gt;=56807,"Mid","Low"))</f>
        <v>High</v>
      </c>
      <c r="P762" s="1" t="str">
        <f>IF(tbl_data[[#This Row],[Transmission]]="Automatic","Auto","Manual")</f>
        <v>Auto</v>
      </c>
      <c r="Q762" s="1" t="str">
        <f>IFERROR(IF(VALUE(tbl_data[[#This Row],[Engine_CC]])=0,"",VALUE(tbl_data[[#This Row],[Price_USD]])/VALUE(tbl_data[[#This Row],[Engine_CC]])),"")</f>
        <v/>
      </c>
      <c r="R762" s="1" t="str">
        <f>TRIM(tbl_data[[#This Row],[Brand]])</f>
        <v>Honda</v>
      </c>
      <c r="S762" s="1">
        <f>_xlfn.NUMBERVALUE(tbl_data[[#This Row],[Price_USD]],".",",")</f>
        <v>115575.75</v>
      </c>
    </row>
    <row r="763" spans="1:19" x14ac:dyDescent="0.3">
      <c r="A763">
        <v>762</v>
      </c>
      <c r="B763" t="s">
        <v>92</v>
      </c>
      <c r="C763">
        <v>2010</v>
      </c>
      <c r="D763">
        <v>62828</v>
      </c>
      <c r="E763" t="s">
        <v>31</v>
      </c>
      <c r="F763" t="s">
        <v>21</v>
      </c>
      <c r="G763" t="s">
        <v>32</v>
      </c>
      <c r="H763">
        <v>4974</v>
      </c>
      <c r="I763" t="s">
        <v>2172</v>
      </c>
      <c r="J763" t="s">
        <v>309</v>
      </c>
      <c r="K763">
        <v>6</v>
      </c>
      <c r="L763" t="s">
        <v>2173</v>
      </c>
      <c r="M763" s="1" t="str">
        <f>TEXT(DATE(tbl_data[[#This Row],[Model_Year]],1,1),"yyyy")</f>
        <v>2010</v>
      </c>
      <c r="N763" s="1" t="str">
        <f>IF(tbl_data[[#This Row],[Kilometers_Driven]]&lt;50000,"&lt;50k",
IF(tbl_data[[#This Row],[Kilometers_Driven]]&lt;100000,"50k-100k",
IF(tbl_data[[#This Row],[Kilometers_Driven]]&lt;150000,"100k-150k","150k+")))</f>
        <v>50k-100k</v>
      </c>
      <c r="O763" s="1" t="str">
        <f>IF(tbl_data[[#This Row],[Price_USD]]&gt;=87089,"High",
IF(tbl_data[[#This Row],[Price_USD]]&gt;=56807,"Mid","Low"))</f>
        <v>High</v>
      </c>
      <c r="P763" s="1" t="str">
        <f>IF(tbl_data[[#This Row],[Transmission]]="Automatic","Auto","Manual")</f>
        <v>Auto</v>
      </c>
      <c r="Q763" s="1" t="str">
        <f>IFERROR(IF(VALUE(tbl_data[[#This Row],[Engine_CC]])=0,"",VALUE(tbl_data[[#This Row],[Price_USD]])/VALUE(tbl_data[[#This Row],[Engine_CC]])),"")</f>
        <v/>
      </c>
      <c r="R763" s="1" t="str">
        <f>TRIM(tbl_data[[#This Row],[Brand]])</f>
        <v>Toyota</v>
      </c>
      <c r="S763" s="1">
        <f>_xlfn.NUMBERVALUE(tbl_data[[#This Row],[Price_USD]],".",",")</f>
        <v>108473.84</v>
      </c>
    </row>
    <row r="764" spans="1:19" x14ac:dyDescent="0.3">
      <c r="A764">
        <v>763</v>
      </c>
      <c r="B764" t="s">
        <v>39</v>
      </c>
      <c r="C764">
        <v>2016</v>
      </c>
      <c r="D764">
        <v>143311</v>
      </c>
      <c r="E764" t="s">
        <v>44</v>
      </c>
      <c r="F764" t="s">
        <v>14</v>
      </c>
      <c r="G764" t="s">
        <v>15</v>
      </c>
      <c r="H764">
        <v>3181</v>
      </c>
      <c r="I764" t="s">
        <v>2174</v>
      </c>
      <c r="J764" t="s">
        <v>2175</v>
      </c>
      <c r="K764">
        <v>2</v>
      </c>
      <c r="L764" t="s">
        <v>2176</v>
      </c>
      <c r="M764" s="1" t="str">
        <f>TEXT(DATE(tbl_data[[#This Row],[Model_Year]],1,1),"yyyy")</f>
        <v>2016</v>
      </c>
      <c r="N764" s="1" t="str">
        <f>IF(tbl_data[[#This Row],[Kilometers_Driven]]&lt;50000,"&lt;50k",
IF(tbl_data[[#This Row],[Kilometers_Driven]]&lt;100000,"50k-100k",
IF(tbl_data[[#This Row],[Kilometers_Driven]]&lt;150000,"100k-150k","150k+")))</f>
        <v>100k-150k</v>
      </c>
      <c r="O764" s="1" t="str">
        <f>IF(tbl_data[[#This Row],[Price_USD]]&gt;=87089,"High",
IF(tbl_data[[#This Row],[Price_USD]]&gt;=56807,"Mid","Low"))</f>
        <v>High</v>
      </c>
      <c r="P764" s="1" t="str">
        <f>IF(tbl_data[[#This Row],[Transmission]]="Automatic","Auto","Manual")</f>
        <v>Manual</v>
      </c>
      <c r="Q764" s="1" t="str">
        <f>IFERROR(IF(VALUE(tbl_data[[#This Row],[Engine_CC]])=0,"",VALUE(tbl_data[[#This Row],[Price_USD]])/VALUE(tbl_data[[#This Row],[Engine_CC]])),"")</f>
        <v/>
      </c>
      <c r="R764" s="1" t="str">
        <f>TRIM(tbl_data[[#This Row],[Brand]])</f>
        <v>Volkswagen</v>
      </c>
      <c r="S764" s="1">
        <f>_xlfn.NUMBERVALUE(tbl_data[[#This Row],[Price_USD]],".",",")</f>
        <v>34634.839999999997</v>
      </c>
    </row>
    <row r="765" spans="1:19" x14ac:dyDescent="0.3">
      <c r="A765">
        <v>764</v>
      </c>
      <c r="B765" t="s">
        <v>102</v>
      </c>
      <c r="C765">
        <v>2024</v>
      </c>
      <c r="D765">
        <v>11710</v>
      </c>
      <c r="E765" t="s">
        <v>31</v>
      </c>
      <c r="F765" t="s">
        <v>21</v>
      </c>
      <c r="G765" t="s">
        <v>26</v>
      </c>
      <c r="H765">
        <v>1688</v>
      </c>
      <c r="I765" t="s">
        <v>2177</v>
      </c>
      <c r="J765" t="s">
        <v>2178</v>
      </c>
      <c r="K765">
        <v>4</v>
      </c>
      <c r="L765" t="s">
        <v>2179</v>
      </c>
      <c r="M765" s="1" t="str">
        <f>TEXT(DATE(tbl_data[[#This Row],[Model_Year]],1,1),"yyyy")</f>
        <v>2024</v>
      </c>
      <c r="N765" s="1" t="str">
        <f>IF(tbl_data[[#This Row],[Kilometers_Driven]]&lt;50000,"&lt;50k",
IF(tbl_data[[#This Row],[Kilometers_Driven]]&lt;100000,"50k-100k",
IF(tbl_data[[#This Row],[Kilometers_Driven]]&lt;150000,"100k-150k","150k+")))</f>
        <v>&lt;50k</v>
      </c>
      <c r="O765" s="1" t="str">
        <f>IF(tbl_data[[#This Row],[Price_USD]]&gt;=87089,"High",
IF(tbl_data[[#This Row],[Price_USD]]&gt;=56807,"Mid","Low"))</f>
        <v>High</v>
      </c>
      <c r="P765" s="1" t="str">
        <f>IF(tbl_data[[#This Row],[Transmission]]="Automatic","Auto","Manual")</f>
        <v>Auto</v>
      </c>
      <c r="Q765" s="1" t="str">
        <f>IFERROR(IF(VALUE(tbl_data[[#This Row],[Engine_CC]])=0,"",VALUE(tbl_data[[#This Row],[Price_USD]])/VALUE(tbl_data[[#This Row],[Engine_CC]])),"")</f>
        <v/>
      </c>
      <c r="R765" s="1" t="str">
        <f>TRIM(tbl_data[[#This Row],[Brand]])</f>
        <v>Nissan</v>
      </c>
      <c r="S765" s="1">
        <f>_xlfn.NUMBERVALUE(tbl_data[[#This Row],[Price_USD]],".",",")</f>
        <v>97014.39</v>
      </c>
    </row>
    <row r="766" spans="1:19" x14ac:dyDescent="0.3">
      <c r="A766">
        <v>765</v>
      </c>
      <c r="B766" t="s">
        <v>39</v>
      </c>
      <c r="C766">
        <v>2022</v>
      </c>
      <c r="D766">
        <v>157456</v>
      </c>
      <c r="E766" t="s">
        <v>31</v>
      </c>
      <c r="F766" t="s">
        <v>21</v>
      </c>
      <c r="G766" t="s">
        <v>32</v>
      </c>
      <c r="H766">
        <v>1905</v>
      </c>
      <c r="I766" t="s">
        <v>2180</v>
      </c>
      <c r="J766" t="s">
        <v>2181</v>
      </c>
      <c r="K766">
        <v>2</v>
      </c>
      <c r="L766" t="s">
        <v>2182</v>
      </c>
      <c r="M766" s="1" t="str">
        <f>TEXT(DATE(tbl_data[[#This Row],[Model_Year]],1,1),"yyyy")</f>
        <v>2022</v>
      </c>
      <c r="N766" s="1" t="str">
        <f>IF(tbl_data[[#This Row],[Kilometers_Driven]]&lt;50000,"&lt;50k",
IF(tbl_data[[#This Row],[Kilometers_Driven]]&lt;100000,"50k-100k",
IF(tbl_data[[#This Row],[Kilometers_Driven]]&lt;150000,"100k-150k","150k+")))</f>
        <v>150k+</v>
      </c>
      <c r="O766" s="1" t="str">
        <f>IF(tbl_data[[#This Row],[Price_USD]]&gt;=87089,"High",
IF(tbl_data[[#This Row],[Price_USD]]&gt;=56807,"Mid","Low"))</f>
        <v>High</v>
      </c>
      <c r="P766" s="1" t="str">
        <f>IF(tbl_data[[#This Row],[Transmission]]="Automatic","Auto","Manual")</f>
        <v>Auto</v>
      </c>
      <c r="Q766" s="1" t="str">
        <f>IFERROR(IF(VALUE(tbl_data[[#This Row],[Engine_CC]])=0,"",VALUE(tbl_data[[#This Row],[Price_USD]])/VALUE(tbl_data[[#This Row],[Engine_CC]])),"")</f>
        <v/>
      </c>
      <c r="R766" s="1" t="str">
        <f>TRIM(tbl_data[[#This Row],[Brand]])</f>
        <v>Volkswagen</v>
      </c>
      <c r="S766" s="1">
        <f>_xlfn.NUMBERVALUE(tbl_data[[#This Row],[Price_USD]],".",",")</f>
        <v>119485.69</v>
      </c>
    </row>
    <row r="767" spans="1:19" x14ac:dyDescent="0.3">
      <c r="A767">
        <v>766</v>
      </c>
      <c r="B767" t="s">
        <v>102</v>
      </c>
      <c r="C767">
        <v>2018</v>
      </c>
      <c r="D767">
        <v>157110</v>
      </c>
      <c r="E767" t="s">
        <v>31</v>
      </c>
      <c r="F767" t="s">
        <v>14</v>
      </c>
      <c r="G767" t="s">
        <v>26</v>
      </c>
      <c r="H767">
        <v>3349</v>
      </c>
      <c r="I767" t="s">
        <v>2183</v>
      </c>
      <c r="J767" t="s">
        <v>2184</v>
      </c>
      <c r="K767">
        <v>5</v>
      </c>
      <c r="L767" t="s">
        <v>2185</v>
      </c>
      <c r="M767" s="1" t="str">
        <f>TEXT(DATE(tbl_data[[#This Row],[Model_Year]],1,1),"yyyy")</f>
        <v>2018</v>
      </c>
      <c r="N767" s="1" t="str">
        <f>IF(tbl_data[[#This Row],[Kilometers_Driven]]&lt;50000,"&lt;50k",
IF(tbl_data[[#This Row],[Kilometers_Driven]]&lt;100000,"50k-100k",
IF(tbl_data[[#This Row],[Kilometers_Driven]]&lt;150000,"100k-150k","150k+")))</f>
        <v>150k+</v>
      </c>
      <c r="O767" s="1" t="str">
        <f>IF(tbl_data[[#This Row],[Price_USD]]&gt;=87089,"High",
IF(tbl_data[[#This Row],[Price_USD]]&gt;=56807,"Mid","Low"))</f>
        <v>High</v>
      </c>
      <c r="P767" s="1" t="str">
        <f>IF(tbl_data[[#This Row],[Transmission]]="Automatic","Auto","Manual")</f>
        <v>Manual</v>
      </c>
      <c r="Q767" s="1" t="str">
        <f>IFERROR(IF(VALUE(tbl_data[[#This Row],[Engine_CC]])=0,"",VALUE(tbl_data[[#This Row],[Price_USD]])/VALUE(tbl_data[[#This Row],[Engine_CC]])),"")</f>
        <v/>
      </c>
      <c r="R767" s="1" t="str">
        <f>TRIM(tbl_data[[#This Row],[Brand]])</f>
        <v>Nissan</v>
      </c>
      <c r="S767" s="1">
        <f>_xlfn.NUMBERVALUE(tbl_data[[#This Row],[Price_USD]],".",",")</f>
        <v>32561.57</v>
      </c>
    </row>
    <row r="768" spans="1:19" x14ac:dyDescent="0.3">
      <c r="A768">
        <v>767</v>
      </c>
      <c r="B768" t="s">
        <v>102</v>
      </c>
      <c r="C768">
        <v>2006</v>
      </c>
      <c r="D768">
        <v>176918</v>
      </c>
      <c r="E768" t="s">
        <v>20</v>
      </c>
      <c r="F768" t="s">
        <v>14</v>
      </c>
      <c r="G768" t="s">
        <v>26</v>
      </c>
      <c r="H768">
        <v>2790</v>
      </c>
      <c r="I768" t="s">
        <v>2186</v>
      </c>
      <c r="J768" t="s">
        <v>2187</v>
      </c>
      <c r="K768">
        <v>6</v>
      </c>
      <c r="L768" t="s">
        <v>2188</v>
      </c>
      <c r="M768" s="1" t="str">
        <f>TEXT(DATE(tbl_data[[#This Row],[Model_Year]],1,1),"yyyy")</f>
        <v>2006</v>
      </c>
      <c r="N768" s="1" t="str">
        <f>IF(tbl_data[[#This Row],[Kilometers_Driven]]&lt;50000,"&lt;50k",
IF(tbl_data[[#This Row],[Kilometers_Driven]]&lt;100000,"50k-100k",
IF(tbl_data[[#This Row],[Kilometers_Driven]]&lt;150000,"100k-150k","150k+")))</f>
        <v>150k+</v>
      </c>
      <c r="O768" s="1" t="str">
        <f>IF(tbl_data[[#This Row],[Price_USD]]&gt;=87089,"High",
IF(tbl_data[[#This Row],[Price_USD]]&gt;=56807,"Mid","Low"))</f>
        <v>High</v>
      </c>
      <c r="P768" s="1" t="str">
        <f>IF(tbl_data[[#This Row],[Transmission]]="Automatic","Auto","Manual")</f>
        <v>Manual</v>
      </c>
      <c r="Q768" s="1" t="str">
        <f>IFERROR(IF(VALUE(tbl_data[[#This Row],[Engine_CC]])=0,"",VALUE(tbl_data[[#This Row],[Price_USD]])/VALUE(tbl_data[[#This Row],[Engine_CC]])),"")</f>
        <v/>
      </c>
      <c r="R768" s="1" t="str">
        <f>TRIM(tbl_data[[#This Row],[Brand]])</f>
        <v>Nissan</v>
      </c>
      <c r="S768" s="1">
        <f>_xlfn.NUMBERVALUE(tbl_data[[#This Row],[Price_USD]],".",",")</f>
        <v>54102.93</v>
      </c>
    </row>
    <row r="769" spans="1:19" x14ac:dyDescent="0.3">
      <c r="A769">
        <v>768</v>
      </c>
      <c r="B769" t="s">
        <v>69</v>
      </c>
      <c r="C769">
        <v>2013</v>
      </c>
      <c r="D769">
        <v>42991</v>
      </c>
      <c r="E769" t="s">
        <v>20</v>
      </c>
      <c r="F769" t="s">
        <v>21</v>
      </c>
      <c r="G769" t="s">
        <v>32</v>
      </c>
      <c r="H769">
        <v>4798</v>
      </c>
      <c r="I769" t="s">
        <v>326</v>
      </c>
      <c r="J769" t="s">
        <v>2189</v>
      </c>
      <c r="K769">
        <v>5</v>
      </c>
      <c r="L769" t="s">
        <v>2190</v>
      </c>
      <c r="M769" s="1" t="str">
        <f>TEXT(DATE(tbl_data[[#This Row],[Model_Year]],1,1),"yyyy")</f>
        <v>2013</v>
      </c>
      <c r="N769" s="1" t="str">
        <f>IF(tbl_data[[#This Row],[Kilometers_Driven]]&lt;50000,"&lt;50k",
IF(tbl_data[[#This Row],[Kilometers_Driven]]&lt;100000,"50k-100k",
IF(tbl_data[[#This Row],[Kilometers_Driven]]&lt;150000,"100k-150k","150k+")))</f>
        <v>&lt;50k</v>
      </c>
      <c r="O769" s="1" t="str">
        <f>IF(tbl_data[[#This Row],[Price_USD]]&gt;=87089,"High",
IF(tbl_data[[#This Row],[Price_USD]]&gt;=56807,"Mid","Low"))</f>
        <v>High</v>
      </c>
      <c r="P769" s="1" t="str">
        <f>IF(tbl_data[[#This Row],[Transmission]]="Automatic","Auto","Manual")</f>
        <v>Auto</v>
      </c>
      <c r="Q769" s="1" t="str">
        <f>IFERROR(IF(VALUE(tbl_data[[#This Row],[Engine_CC]])=0,"",VALUE(tbl_data[[#This Row],[Price_USD]])/VALUE(tbl_data[[#This Row],[Engine_CC]])),"")</f>
        <v/>
      </c>
      <c r="R769" s="1" t="str">
        <f>TRIM(tbl_data[[#This Row],[Brand]])</f>
        <v>Hyundai</v>
      </c>
      <c r="S769" s="1">
        <f>_xlfn.NUMBERVALUE(tbl_data[[#This Row],[Price_USD]],".",",")</f>
        <v>63861.15</v>
      </c>
    </row>
    <row r="770" spans="1:19" x14ac:dyDescent="0.3">
      <c r="A770">
        <v>769</v>
      </c>
      <c r="B770" t="s">
        <v>25</v>
      </c>
      <c r="C770">
        <v>2009</v>
      </c>
      <c r="D770">
        <v>143043</v>
      </c>
      <c r="E770" t="s">
        <v>44</v>
      </c>
      <c r="F770" t="s">
        <v>14</v>
      </c>
      <c r="G770" t="s">
        <v>32</v>
      </c>
      <c r="H770">
        <v>4575</v>
      </c>
      <c r="I770" t="s">
        <v>2191</v>
      </c>
      <c r="J770" t="s">
        <v>2192</v>
      </c>
      <c r="K770">
        <v>4</v>
      </c>
      <c r="L770" t="s">
        <v>2193</v>
      </c>
      <c r="M770" s="1" t="str">
        <f>TEXT(DATE(tbl_data[[#This Row],[Model_Year]],1,1),"yyyy")</f>
        <v>2009</v>
      </c>
      <c r="N770" s="1" t="str">
        <f>IF(tbl_data[[#This Row],[Kilometers_Driven]]&lt;50000,"&lt;50k",
IF(tbl_data[[#This Row],[Kilometers_Driven]]&lt;100000,"50k-100k",
IF(tbl_data[[#This Row],[Kilometers_Driven]]&lt;150000,"100k-150k","150k+")))</f>
        <v>100k-150k</v>
      </c>
      <c r="O770" s="1" t="str">
        <f>IF(tbl_data[[#This Row],[Price_USD]]&gt;=87089,"High",
IF(tbl_data[[#This Row],[Price_USD]]&gt;=56807,"Mid","Low"))</f>
        <v>High</v>
      </c>
      <c r="P770" s="1" t="str">
        <f>IF(tbl_data[[#This Row],[Transmission]]="Automatic","Auto","Manual")</f>
        <v>Manual</v>
      </c>
      <c r="Q770" s="1" t="str">
        <f>IFERROR(IF(VALUE(tbl_data[[#This Row],[Engine_CC]])=0,"",VALUE(tbl_data[[#This Row],[Price_USD]])/VALUE(tbl_data[[#This Row],[Engine_CC]])),"")</f>
        <v/>
      </c>
      <c r="R770" s="1" t="str">
        <f>TRIM(tbl_data[[#This Row],[Brand]])</f>
        <v>Kia</v>
      </c>
      <c r="S770" s="1">
        <f>_xlfn.NUMBERVALUE(tbl_data[[#This Row],[Price_USD]],".",",")</f>
        <v>37506.94</v>
      </c>
    </row>
    <row r="771" spans="1:19" x14ac:dyDescent="0.3">
      <c r="A771">
        <v>770</v>
      </c>
      <c r="B771" t="s">
        <v>92</v>
      </c>
      <c r="C771">
        <v>2024</v>
      </c>
      <c r="D771">
        <v>165211</v>
      </c>
      <c r="E771" t="s">
        <v>31</v>
      </c>
      <c r="F771" t="s">
        <v>21</v>
      </c>
      <c r="G771" t="s">
        <v>15</v>
      </c>
      <c r="H771">
        <v>3612</v>
      </c>
      <c r="I771" t="s">
        <v>2194</v>
      </c>
      <c r="J771" t="s">
        <v>2195</v>
      </c>
      <c r="K771">
        <v>2</v>
      </c>
      <c r="L771" t="s">
        <v>2196</v>
      </c>
      <c r="M771" s="1" t="str">
        <f>TEXT(DATE(tbl_data[[#This Row],[Model_Year]],1,1),"yyyy")</f>
        <v>2024</v>
      </c>
      <c r="N771" s="1" t="str">
        <f>IF(tbl_data[[#This Row],[Kilometers_Driven]]&lt;50000,"&lt;50k",
IF(tbl_data[[#This Row],[Kilometers_Driven]]&lt;100000,"50k-100k",
IF(tbl_data[[#This Row],[Kilometers_Driven]]&lt;150000,"100k-150k","150k+")))</f>
        <v>150k+</v>
      </c>
      <c r="O771" s="1" t="str">
        <f>IF(tbl_data[[#This Row],[Price_USD]]&gt;=87089,"High",
IF(tbl_data[[#This Row],[Price_USD]]&gt;=56807,"Mid","Low"))</f>
        <v>High</v>
      </c>
      <c r="P771" s="1" t="str">
        <f>IF(tbl_data[[#This Row],[Transmission]]="Automatic","Auto","Manual")</f>
        <v>Auto</v>
      </c>
      <c r="Q771" s="1" t="str">
        <f>IFERROR(IF(VALUE(tbl_data[[#This Row],[Engine_CC]])=0,"",VALUE(tbl_data[[#This Row],[Price_USD]])/VALUE(tbl_data[[#This Row],[Engine_CC]])),"")</f>
        <v/>
      </c>
      <c r="R771" s="1" t="str">
        <f>TRIM(tbl_data[[#This Row],[Brand]])</f>
        <v>Toyota</v>
      </c>
      <c r="S771" s="1">
        <f>_xlfn.NUMBERVALUE(tbl_data[[#This Row],[Price_USD]],".",",")</f>
        <v>4785.99</v>
      </c>
    </row>
    <row r="772" spans="1:19" x14ac:dyDescent="0.3">
      <c r="A772">
        <v>771</v>
      </c>
      <c r="B772" t="s">
        <v>39</v>
      </c>
      <c r="C772">
        <v>2005</v>
      </c>
      <c r="D772">
        <v>90445</v>
      </c>
      <c r="E772" t="s">
        <v>20</v>
      </c>
      <c r="F772" t="s">
        <v>21</v>
      </c>
      <c r="G772" t="s">
        <v>15</v>
      </c>
      <c r="H772">
        <v>1720</v>
      </c>
      <c r="I772" t="s">
        <v>2197</v>
      </c>
      <c r="J772" t="s">
        <v>2198</v>
      </c>
      <c r="K772">
        <v>4</v>
      </c>
      <c r="L772" t="s">
        <v>2199</v>
      </c>
      <c r="M772" s="1" t="str">
        <f>TEXT(DATE(tbl_data[[#This Row],[Model_Year]],1,1),"yyyy")</f>
        <v>2005</v>
      </c>
      <c r="N772" s="1" t="str">
        <f>IF(tbl_data[[#This Row],[Kilometers_Driven]]&lt;50000,"&lt;50k",
IF(tbl_data[[#This Row],[Kilometers_Driven]]&lt;100000,"50k-100k",
IF(tbl_data[[#This Row],[Kilometers_Driven]]&lt;150000,"100k-150k","150k+")))</f>
        <v>50k-100k</v>
      </c>
      <c r="O772" s="1" t="str">
        <f>IF(tbl_data[[#This Row],[Price_USD]]&gt;=87089,"High",
IF(tbl_data[[#This Row],[Price_USD]]&gt;=56807,"Mid","Low"))</f>
        <v>High</v>
      </c>
      <c r="P772" s="1" t="str">
        <f>IF(tbl_data[[#This Row],[Transmission]]="Automatic","Auto","Manual")</f>
        <v>Auto</v>
      </c>
      <c r="Q772" s="1" t="str">
        <f>IFERROR(IF(VALUE(tbl_data[[#This Row],[Engine_CC]])=0,"",VALUE(tbl_data[[#This Row],[Price_USD]])/VALUE(tbl_data[[#This Row],[Engine_CC]])),"")</f>
        <v/>
      </c>
      <c r="R772" s="1" t="str">
        <f>TRIM(tbl_data[[#This Row],[Brand]])</f>
        <v>Volkswagen</v>
      </c>
      <c r="S772" s="1">
        <f>_xlfn.NUMBERVALUE(tbl_data[[#This Row],[Price_USD]],".",",")</f>
        <v>28755.119999999999</v>
      </c>
    </row>
    <row r="773" spans="1:19" x14ac:dyDescent="0.3">
      <c r="A773">
        <v>772</v>
      </c>
      <c r="B773" t="s">
        <v>19</v>
      </c>
      <c r="C773">
        <v>2007</v>
      </c>
      <c r="D773">
        <v>85257</v>
      </c>
      <c r="E773" t="s">
        <v>44</v>
      </c>
      <c r="F773" t="s">
        <v>14</v>
      </c>
      <c r="G773" t="s">
        <v>26</v>
      </c>
      <c r="H773">
        <v>2861</v>
      </c>
      <c r="I773" t="s">
        <v>1916</v>
      </c>
      <c r="J773" t="s">
        <v>2200</v>
      </c>
      <c r="K773">
        <v>5</v>
      </c>
      <c r="L773" t="s">
        <v>2201</v>
      </c>
      <c r="M773" s="1" t="str">
        <f>TEXT(DATE(tbl_data[[#This Row],[Model_Year]],1,1),"yyyy")</f>
        <v>2007</v>
      </c>
      <c r="N773" s="1" t="str">
        <f>IF(tbl_data[[#This Row],[Kilometers_Driven]]&lt;50000,"&lt;50k",
IF(tbl_data[[#This Row],[Kilometers_Driven]]&lt;100000,"50k-100k",
IF(tbl_data[[#This Row],[Kilometers_Driven]]&lt;150000,"100k-150k","150k+")))</f>
        <v>50k-100k</v>
      </c>
      <c r="O773" s="1" t="str">
        <f>IF(tbl_data[[#This Row],[Price_USD]]&gt;=87089,"High",
IF(tbl_data[[#This Row],[Price_USD]]&gt;=56807,"Mid","Low"))</f>
        <v>High</v>
      </c>
      <c r="P773" s="1" t="str">
        <f>IF(tbl_data[[#This Row],[Transmission]]="Automatic","Auto","Manual")</f>
        <v>Manual</v>
      </c>
      <c r="Q773" s="1" t="str">
        <f>IFERROR(IF(VALUE(tbl_data[[#This Row],[Engine_CC]])=0,"",VALUE(tbl_data[[#This Row],[Price_USD]])/VALUE(tbl_data[[#This Row],[Engine_CC]])),"")</f>
        <v/>
      </c>
      <c r="R773" s="1" t="str">
        <f>TRIM(tbl_data[[#This Row],[Brand]])</f>
        <v>BMW</v>
      </c>
      <c r="S773" s="1">
        <f>_xlfn.NUMBERVALUE(tbl_data[[#This Row],[Price_USD]],".",",")</f>
        <v>35986.620000000003</v>
      </c>
    </row>
    <row r="774" spans="1:19" x14ac:dyDescent="0.3">
      <c r="A774">
        <v>773</v>
      </c>
      <c r="B774" t="s">
        <v>92</v>
      </c>
      <c r="C774">
        <v>2010</v>
      </c>
      <c r="D774">
        <v>42711</v>
      </c>
      <c r="E774" t="s">
        <v>31</v>
      </c>
      <c r="F774" t="s">
        <v>21</v>
      </c>
      <c r="G774" t="s">
        <v>26</v>
      </c>
      <c r="H774">
        <v>4439</v>
      </c>
      <c r="I774" t="s">
        <v>2202</v>
      </c>
      <c r="J774" t="s">
        <v>2203</v>
      </c>
      <c r="K774">
        <v>4</v>
      </c>
      <c r="L774" t="s">
        <v>2204</v>
      </c>
      <c r="M774" s="1" t="str">
        <f>TEXT(DATE(tbl_data[[#This Row],[Model_Year]],1,1),"yyyy")</f>
        <v>2010</v>
      </c>
      <c r="N774" s="1" t="str">
        <f>IF(tbl_data[[#This Row],[Kilometers_Driven]]&lt;50000,"&lt;50k",
IF(tbl_data[[#This Row],[Kilometers_Driven]]&lt;100000,"50k-100k",
IF(tbl_data[[#This Row],[Kilometers_Driven]]&lt;150000,"100k-150k","150k+")))</f>
        <v>&lt;50k</v>
      </c>
      <c r="O774" s="1" t="str">
        <f>IF(tbl_data[[#This Row],[Price_USD]]&gt;=87089,"High",
IF(tbl_data[[#This Row],[Price_USD]]&gt;=56807,"Mid","Low"))</f>
        <v>High</v>
      </c>
      <c r="P774" s="1" t="str">
        <f>IF(tbl_data[[#This Row],[Transmission]]="Automatic","Auto","Manual")</f>
        <v>Auto</v>
      </c>
      <c r="Q774" s="1" t="str">
        <f>IFERROR(IF(VALUE(tbl_data[[#This Row],[Engine_CC]])=0,"",VALUE(tbl_data[[#This Row],[Price_USD]])/VALUE(tbl_data[[#This Row],[Engine_CC]])),"")</f>
        <v/>
      </c>
      <c r="R774" s="1" t="str">
        <f>TRIM(tbl_data[[#This Row],[Brand]])</f>
        <v>Toyota</v>
      </c>
      <c r="S774" s="1">
        <f>_xlfn.NUMBERVALUE(tbl_data[[#This Row],[Price_USD]],".",",")</f>
        <v>54901.17</v>
      </c>
    </row>
    <row r="775" spans="1:19" x14ac:dyDescent="0.3">
      <c r="A775">
        <v>774</v>
      </c>
      <c r="B775" t="s">
        <v>25</v>
      </c>
      <c r="C775">
        <v>2009</v>
      </c>
      <c r="D775">
        <v>11530</v>
      </c>
      <c r="E775" t="s">
        <v>13</v>
      </c>
      <c r="F775" t="s">
        <v>21</v>
      </c>
      <c r="G775" t="s">
        <v>15</v>
      </c>
      <c r="H775">
        <v>3965</v>
      </c>
      <c r="I775" t="s">
        <v>2205</v>
      </c>
      <c r="J775" t="s">
        <v>303</v>
      </c>
      <c r="K775">
        <v>7</v>
      </c>
      <c r="L775" t="s">
        <v>2206</v>
      </c>
      <c r="M775" s="1" t="str">
        <f>TEXT(DATE(tbl_data[[#This Row],[Model_Year]],1,1),"yyyy")</f>
        <v>2009</v>
      </c>
      <c r="N775" s="1" t="str">
        <f>IF(tbl_data[[#This Row],[Kilometers_Driven]]&lt;50000,"&lt;50k",
IF(tbl_data[[#This Row],[Kilometers_Driven]]&lt;100000,"50k-100k",
IF(tbl_data[[#This Row],[Kilometers_Driven]]&lt;150000,"100k-150k","150k+")))</f>
        <v>&lt;50k</v>
      </c>
      <c r="O775" s="1" t="str">
        <f>IF(tbl_data[[#This Row],[Price_USD]]&gt;=87089,"High",
IF(tbl_data[[#This Row],[Price_USD]]&gt;=56807,"Mid","Low"))</f>
        <v>High</v>
      </c>
      <c r="P775" s="1" t="str">
        <f>IF(tbl_data[[#This Row],[Transmission]]="Automatic","Auto","Manual")</f>
        <v>Auto</v>
      </c>
      <c r="Q775" s="1" t="str">
        <f>IFERROR(IF(VALUE(tbl_data[[#This Row],[Engine_CC]])=0,"",VALUE(tbl_data[[#This Row],[Price_USD]])/VALUE(tbl_data[[#This Row],[Engine_CC]])),"")</f>
        <v/>
      </c>
      <c r="R775" s="1" t="str">
        <f>TRIM(tbl_data[[#This Row],[Brand]])</f>
        <v>Kia</v>
      </c>
      <c r="S775" s="1">
        <f>_xlfn.NUMBERVALUE(tbl_data[[#This Row],[Price_USD]],".",",")</f>
        <v>23018.99</v>
      </c>
    </row>
    <row r="776" spans="1:19" x14ac:dyDescent="0.3">
      <c r="A776">
        <v>775</v>
      </c>
      <c r="B776" t="s">
        <v>92</v>
      </c>
      <c r="C776">
        <v>2009</v>
      </c>
      <c r="D776">
        <v>16116</v>
      </c>
      <c r="E776" t="s">
        <v>31</v>
      </c>
      <c r="F776" t="s">
        <v>14</v>
      </c>
      <c r="G776" t="s">
        <v>15</v>
      </c>
      <c r="H776">
        <v>3444</v>
      </c>
      <c r="I776" t="s">
        <v>1708</v>
      </c>
      <c r="J776" t="s">
        <v>140</v>
      </c>
      <c r="K776">
        <v>5</v>
      </c>
      <c r="L776" t="s">
        <v>2207</v>
      </c>
      <c r="M776" s="1" t="str">
        <f>TEXT(DATE(tbl_data[[#This Row],[Model_Year]],1,1),"yyyy")</f>
        <v>2009</v>
      </c>
      <c r="N776" s="1" t="str">
        <f>IF(tbl_data[[#This Row],[Kilometers_Driven]]&lt;50000,"&lt;50k",
IF(tbl_data[[#This Row],[Kilometers_Driven]]&lt;100000,"50k-100k",
IF(tbl_data[[#This Row],[Kilometers_Driven]]&lt;150000,"100k-150k","150k+")))</f>
        <v>&lt;50k</v>
      </c>
      <c r="O776" s="1" t="str">
        <f>IF(tbl_data[[#This Row],[Price_USD]]&gt;=87089,"High",
IF(tbl_data[[#This Row],[Price_USD]]&gt;=56807,"Mid","Low"))</f>
        <v>High</v>
      </c>
      <c r="P776" s="1" t="str">
        <f>IF(tbl_data[[#This Row],[Transmission]]="Automatic","Auto","Manual")</f>
        <v>Manual</v>
      </c>
      <c r="Q776" s="1" t="str">
        <f>IFERROR(IF(VALUE(tbl_data[[#This Row],[Engine_CC]])=0,"",VALUE(tbl_data[[#This Row],[Price_USD]])/VALUE(tbl_data[[#This Row],[Engine_CC]])),"")</f>
        <v/>
      </c>
      <c r="R776" s="1" t="str">
        <f>TRIM(tbl_data[[#This Row],[Brand]])</f>
        <v>Toyota</v>
      </c>
      <c r="S776" s="1">
        <f>_xlfn.NUMBERVALUE(tbl_data[[#This Row],[Price_USD]],".",",")</f>
        <v>105170.76</v>
      </c>
    </row>
    <row r="777" spans="1:19" x14ac:dyDescent="0.3">
      <c r="A777">
        <v>776</v>
      </c>
      <c r="B777" t="s">
        <v>43</v>
      </c>
      <c r="C777">
        <v>2005</v>
      </c>
      <c r="D777">
        <v>70794</v>
      </c>
      <c r="E777" t="s">
        <v>31</v>
      </c>
      <c r="F777" t="s">
        <v>14</v>
      </c>
      <c r="G777" t="s">
        <v>32</v>
      </c>
      <c r="H777">
        <v>1845</v>
      </c>
      <c r="I777" t="s">
        <v>2208</v>
      </c>
      <c r="J777" t="s">
        <v>1685</v>
      </c>
      <c r="K777">
        <v>4</v>
      </c>
      <c r="L777" t="s">
        <v>2209</v>
      </c>
      <c r="M777" s="1" t="str">
        <f>TEXT(DATE(tbl_data[[#This Row],[Model_Year]],1,1),"yyyy")</f>
        <v>2005</v>
      </c>
      <c r="N777" s="1" t="str">
        <f>IF(tbl_data[[#This Row],[Kilometers_Driven]]&lt;50000,"&lt;50k",
IF(tbl_data[[#This Row],[Kilometers_Driven]]&lt;100000,"50k-100k",
IF(tbl_data[[#This Row],[Kilometers_Driven]]&lt;150000,"100k-150k","150k+")))</f>
        <v>50k-100k</v>
      </c>
      <c r="O777" s="1" t="str">
        <f>IF(tbl_data[[#This Row],[Price_USD]]&gt;=87089,"High",
IF(tbl_data[[#This Row],[Price_USD]]&gt;=56807,"Mid","Low"))</f>
        <v>High</v>
      </c>
      <c r="P777" s="1" t="str">
        <f>IF(tbl_data[[#This Row],[Transmission]]="Automatic","Auto","Manual")</f>
        <v>Manual</v>
      </c>
      <c r="Q777" s="1" t="str">
        <f>IFERROR(IF(VALUE(tbl_data[[#This Row],[Engine_CC]])=0,"",VALUE(tbl_data[[#This Row],[Price_USD]])/VALUE(tbl_data[[#This Row],[Engine_CC]])),"")</f>
        <v/>
      </c>
      <c r="R777" s="1" t="str">
        <f>TRIM(tbl_data[[#This Row],[Brand]])</f>
        <v>Ford</v>
      </c>
      <c r="S777" s="1">
        <f>_xlfn.NUMBERVALUE(tbl_data[[#This Row],[Price_USD]],".",",")</f>
        <v>85474.6</v>
      </c>
    </row>
    <row r="778" spans="1:19" x14ac:dyDescent="0.3">
      <c r="A778">
        <v>777</v>
      </c>
      <c r="B778" t="s">
        <v>19</v>
      </c>
      <c r="C778">
        <v>2021</v>
      </c>
      <c r="D778">
        <v>136354</v>
      </c>
      <c r="E778" t="s">
        <v>20</v>
      </c>
      <c r="F778" t="s">
        <v>14</v>
      </c>
      <c r="G778" t="s">
        <v>15</v>
      </c>
      <c r="H778">
        <v>4356</v>
      </c>
      <c r="I778" t="s">
        <v>2210</v>
      </c>
      <c r="J778" t="s">
        <v>2211</v>
      </c>
      <c r="K778">
        <v>2</v>
      </c>
      <c r="L778" t="s">
        <v>2212</v>
      </c>
      <c r="M778" s="1" t="str">
        <f>TEXT(DATE(tbl_data[[#This Row],[Model_Year]],1,1),"yyyy")</f>
        <v>2021</v>
      </c>
      <c r="N778" s="1" t="str">
        <f>IF(tbl_data[[#This Row],[Kilometers_Driven]]&lt;50000,"&lt;50k",
IF(tbl_data[[#This Row],[Kilometers_Driven]]&lt;100000,"50k-100k",
IF(tbl_data[[#This Row],[Kilometers_Driven]]&lt;150000,"100k-150k","150k+")))</f>
        <v>100k-150k</v>
      </c>
      <c r="O778" s="1" t="str">
        <f>IF(tbl_data[[#This Row],[Price_USD]]&gt;=87089,"High",
IF(tbl_data[[#This Row],[Price_USD]]&gt;=56807,"Mid","Low"))</f>
        <v>High</v>
      </c>
      <c r="P778" s="1" t="str">
        <f>IF(tbl_data[[#This Row],[Transmission]]="Automatic","Auto","Manual")</f>
        <v>Manual</v>
      </c>
      <c r="Q778" s="1" t="str">
        <f>IFERROR(IF(VALUE(tbl_data[[#This Row],[Engine_CC]])=0,"",VALUE(tbl_data[[#This Row],[Price_USD]])/VALUE(tbl_data[[#This Row],[Engine_CC]])),"")</f>
        <v/>
      </c>
      <c r="R778" s="1" t="str">
        <f>TRIM(tbl_data[[#This Row],[Brand]])</f>
        <v>BMW</v>
      </c>
      <c r="S778" s="1">
        <f>_xlfn.NUMBERVALUE(tbl_data[[#This Row],[Price_USD]],".",",")</f>
        <v>12968.46</v>
      </c>
    </row>
    <row r="779" spans="1:19" x14ac:dyDescent="0.3">
      <c r="A779">
        <v>778</v>
      </c>
      <c r="B779" t="s">
        <v>25</v>
      </c>
      <c r="C779">
        <v>2023</v>
      </c>
      <c r="D779">
        <v>137970</v>
      </c>
      <c r="E779" t="s">
        <v>44</v>
      </c>
      <c r="F779" t="s">
        <v>21</v>
      </c>
      <c r="G779" t="s">
        <v>15</v>
      </c>
      <c r="H779">
        <v>3481</v>
      </c>
      <c r="I779" t="s">
        <v>2213</v>
      </c>
      <c r="J779" t="s">
        <v>913</v>
      </c>
      <c r="K779">
        <v>4</v>
      </c>
      <c r="L779" t="s">
        <v>2214</v>
      </c>
      <c r="M779" s="1" t="str">
        <f>TEXT(DATE(tbl_data[[#This Row],[Model_Year]],1,1),"yyyy")</f>
        <v>2023</v>
      </c>
      <c r="N779" s="1" t="str">
        <f>IF(tbl_data[[#This Row],[Kilometers_Driven]]&lt;50000,"&lt;50k",
IF(tbl_data[[#This Row],[Kilometers_Driven]]&lt;100000,"50k-100k",
IF(tbl_data[[#This Row],[Kilometers_Driven]]&lt;150000,"100k-150k","150k+")))</f>
        <v>100k-150k</v>
      </c>
      <c r="O779" s="1" t="str">
        <f>IF(tbl_data[[#This Row],[Price_USD]]&gt;=87089,"High",
IF(tbl_data[[#This Row],[Price_USD]]&gt;=56807,"Mid","Low"))</f>
        <v>High</v>
      </c>
      <c r="P779" s="1" t="str">
        <f>IF(tbl_data[[#This Row],[Transmission]]="Automatic","Auto","Manual")</f>
        <v>Auto</v>
      </c>
      <c r="Q779" s="1" t="str">
        <f>IFERROR(IF(VALUE(tbl_data[[#This Row],[Engine_CC]])=0,"",VALUE(tbl_data[[#This Row],[Price_USD]])/VALUE(tbl_data[[#This Row],[Engine_CC]])),"")</f>
        <v/>
      </c>
      <c r="R779" s="1" t="str">
        <f>TRIM(tbl_data[[#This Row],[Brand]])</f>
        <v>Kia</v>
      </c>
      <c r="S779" s="1">
        <f>_xlfn.NUMBERVALUE(tbl_data[[#This Row],[Price_USD]],".",",")</f>
        <v>79060.820000000007</v>
      </c>
    </row>
    <row r="780" spans="1:19" x14ac:dyDescent="0.3">
      <c r="A780">
        <v>779</v>
      </c>
      <c r="B780" t="s">
        <v>69</v>
      </c>
      <c r="C780">
        <v>2018</v>
      </c>
      <c r="D780">
        <v>9135</v>
      </c>
      <c r="E780" t="s">
        <v>44</v>
      </c>
      <c r="F780" t="s">
        <v>14</v>
      </c>
      <c r="G780" t="s">
        <v>26</v>
      </c>
      <c r="H780">
        <v>3999</v>
      </c>
      <c r="I780" t="s">
        <v>2215</v>
      </c>
      <c r="J780" t="s">
        <v>1529</v>
      </c>
      <c r="K780">
        <v>2</v>
      </c>
      <c r="L780" t="s">
        <v>2216</v>
      </c>
      <c r="M780" s="1" t="str">
        <f>TEXT(DATE(tbl_data[[#This Row],[Model_Year]],1,1),"yyyy")</f>
        <v>2018</v>
      </c>
      <c r="N780" s="1" t="str">
        <f>IF(tbl_data[[#This Row],[Kilometers_Driven]]&lt;50000,"&lt;50k",
IF(tbl_data[[#This Row],[Kilometers_Driven]]&lt;100000,"50k-100k",
IF(tbl_data[[#This Row],[Kilometers_Driven]]&lt;150000,"100k-150k","150k+")))</f>
        <v>&lt;50k</v>
      </c>
      <c r="O780" s="1" t="str">
        <f>IF(tbl_data[[#This Row],[Price_USD]]&gt;=87089,"High",
IF(tbl_data[[#This Row],[Price_USD]]&gt;=56807,"Mid","Low"))</f>
        <v>High</v>
      </c>
      <c r="P780" s="1" t="str">
        <f>IF(tbl_data[[#This Row],[Transmission]]="Automatic","Auto","Manual")</f>
        <v>Manual</v>
      </c>
      <c r="Q780" s="1" t="str">
        <f>IFERROR(IF(VALUE(tbl_data[[#This Row],[Engine_CC]])=0,"",VALUE(tbl_data[[#This Row],[Price_USD]])/VALUE(tbl_data[[#This Row],[Engine_CC]])),"")</f>
        <v/>
      </c>
      <c r="R780" s="1" t="str">
        <f>TRIM(tbl_data[[#This Row],[Brand]])</f>
        <v>Hyundai</v>
      </c>
      <c r="S780" s="1">
        <f>_xlfn.NUMBERVALUE(tbl_data[[#This Row],[Price_USD]],".",",")</f>
        <v>79477.81</v>
      </c>
    </row>
    <row r="781" spans="1:19" x14ac:dyDescent="0.3">
      <c r="A781">
        <v>780</v>
      </c>
      <c r="B781" t="s">
        <v>39</v>
      </c>
      <c r="C781">
        <v>2016</v>
      </c>
      <c r="D781">
        <v>142701</v>
      </c>
      <c r="E781" t="s">
        <v>20</v>
      </c>
      <c r="F781" t="s">
        <v>14</v>
      </c>
      <c r="G781" t="s">
        <v>15</v>
      </c>
      <c r="H781">
        <v>1738</v>
      </c>
      <c r="I781" t="s">
        <v>1489</v>
      </c>
      <c r="J781" t="s">
        <v>2217</v>
      </c>
      <c r="K781">
        <v>7</v>
      </c>
      <c r="L781" t="s">
        <v>2218</v>
      </c>
      <c r="M781" s="1" t="str">
        <f>TEXT(DATE(tbl_data[[#This Row],[Model_Year]],1,1),"yyyy")</f>
        <v>2016</v>
      </c>
      <c r="N781" s="1" t="str">
        <f>IF(tbl_data[[#This Row],[Kilometers_Driven]]&lt;50000,"&lt;50k",
IF(tbl_data[[#This Row],[Kilometers_Driven]]&lt;100000,"50k-100k",
IF(tbl_data[[#This Row],[Kilometers_Driven]]&lt;150000,"100k-150k","150k+")))</f>
        <v>100k-150k</v>
      </c>
      <c r="O781" s="1" t="str">
        <f>IF(tbl_data[[#This Row],[Price_USD]]&gt;=87089,"High",
IF(tbl_data[[#This Row],[Price_USD]]&gt;=56807,"Mid","Low"))</f>
        <v>High</v>
      </c>
      <c r="P781" s="1" t="str">
        <f>IF(tbl_data[[#This Row],[Transmission]]="Automatic","Auto","Manual")</f>
        <v>Manual</v>
      </c>
      <c r="Q781" s="1" t="str">
        <f>IFERROR(IF(VALUE(tbl_data[[#This Row],[Engine_CC]])=0,"",VALUE(tbl_data[[#This Row],[Price_USD]])/VALUE(tbl_data[[#This Row],[Engine_CC]])),"")</f>
        <v/>
      </c>
      <c r="R781" s="1" t="str">
        <f>TRIM(tbl_data[[#This Row],[Brand]])</f>
        <v>Volkswagen</v>
      </c>
      <c r="S781" s="1">
        <f>_xlfn.NUMBERVALUE(tbl_data[[#This Row],[Price_USD]],".",",")</f>
        <v>114877.88</v>
      </c>
    </row>
    <row r="782" spans="1:19" x14ac:dyDescent="0.3">
      <c r="A782">
        <v>781</v>
      </c>
      <c r="B782" t="s">
        <v>12</v>
      </c>
      <c r="C782">
        <v>2014</v>
      </c>
      <c r="D782">
        <v>114472</v>
      </c>
      <c r="E782" t="s">
        <v>31</v>
      </c>
      <c r="F782" t="s">
        <v>14</v>
      </c>
      <c r="G782" t="s">
        <v>26</v>
      </c>
      <c r="H782">
        <v>1241</v>
      </c>
      <c r="I782" t="s">
        <v>2219</v>
      </c>
      <c r="J782" t="s">
        <v>2220</v>
      </c>
      <c r="K782">
        <v>4</v>
      </c>
      <c r="L782" t="s">
        <v>2221</v>
      </c>
      <c r="M782" s="1" t="str">
        <f>TEXT(DATE(tbl_data[[#This Row],[Model_Year]],1,1),"yyyy")</f>
        <v>2014</v>
      </c>
      <c r="N782" s="1" t="str">
        <f>IF(tbl_data[[#This Row],[Kilometers_Driven]]&lt;50000,"&lt;50k",
IF(tbl_data[[#This Row],[Kilometers_Driven]]&lt;100000,"50k-100k",
IF(tbl_data[[#This Row],[Kilometers_Driven]]&lt;150000,"100k-150k","150k+")))</f>
        <v>100k-150k</v>
      </c>
      <c r="O782" s="1" t="str">
        <f>IF(tbl_data[[#This Row],[Price_USD]]&gt;=87089,"High",
IF(tbl_data[[#This Row],[Price_USD]]&gt;=56807,"Mid","Low"))</f>
        <v>High</v>
      </c>
      <c r="P782" s="1" t="str">
        <f>IF(tbl_data[[#This Row],[Transmission]]="Automatic","Auto","Manual")</f>
        <v>Manual</v>
      </c>
      <c r="Q782" s="1" t="str">
        <f>IFERROR(IF(VALUE(tbl_data[[#This Row],[Engine_CC]])=0,"",VALUE(tbl_data[[#This Row],[Price_USD]])/VALUE(tbl_data[[#This Row],[Engine_CC]])),"")</f>
        <v/>
      </c>
      <c r="R782" s="1" t="str">
        <f>TRIM(tbl_data[[#This Row],[Brand]])</f>
        <v>Audi</v>
      </c>
      <c r="S782" s="1">
        <f>_xlfn.NUMBERVALUE(tbl_data[[#This Row],[Price_USD]],".",",")</f>
        <v>3353.44</v>
      </c>
    </row>
    <row r="783" spans="1:19" x14ac:dyDescent="0.3">
      <c r="A783">
        <v>782</v>
      </c>
      <c r="B783" t="s">
        <v>25</v>
      </c>
      <c r="C783">
        <v>2024</v>
      </c>
      <c r="D783">
        <v>130147</v>
      </c>
      <c r="E783" t="s">
        <v>13</v>
      </c>
      <c r="F783" t="s">
        <v>14</v>
      </c>
      <c r="G783" t="s">
        <v>15</v>
      </c>
      <c r="H783">
        <v>3350</v>
      </c>
      <c r="I783" t="s">
        <v>2222</v>
      </c>
      <c r="J783" t="s">
        <v>2223</v>
      </c>
      <c r="K783">
        <v>7</v>
      </c>
      <c r="L783" t="s">
        <v>2224</v>
      </c>
      <c r="M783" s="1" t="str">
        <f>TEXT(DATE(tbl_data[[#This Row],[Model_Year]],1,1),"yyyy")</f>
        <v>2024</v>
      </c>
      <c r="N783" s="1" t="str">
        <f>IF(tbl_data[[#This Row],[Kilometers_Driven]]&lt;50000,"&lt;50k",
IF(tbl_data[[#This Row],[Kilometers_Driven]]&lt;100000,"50k-100k",
IF(tbl_data[[#This Row],[Kilometers_Driven]]&lt;150000,"100k-150k","150k+")))</f>
        <v>100k-150k</v>
      </c>
      <c r="O783" s="1" t="str">
        <f>IF(tbl_data[[#This Row],[Price_USD]]&gt;=87089,"High",
IF(tbl_data[[#This Row],[Price_USD]]&gt;=56807,"Mid","Low"))</f>
        <v>High</v>
      </c>
      <c r="P783" s="1" t="str">
        <f>IF(tbl_data[[#This Row],[Transmission]]="Automatic","Auto","Manual")</f>
        <v>Manual</v>
      </c>
      <c r="Q783" s="1" t="str">
        <f>IFERROR(IF(VALUE(tbl_data[[#This Row],[Engine_CC]])=0,"",VALUE(tbl_data[[#This Row],[Price_USD]])/VALUE(tbl_data[[#This Row],[Engine_CC]])),"")</f>
        <v/>
      </c>
      <c r="R783" s="1" t="str">
        <f>TRIM(tbl_data[[#This Row],[Brand]])</f>
        <v>Kia</v>
      </c>
      <c r="S783" s="1">
        <f>_xlfn.NUMBERVALUE(tbl_data[[#This Row],[Price_USD]],".",",")</f>
        <v>32008.1</v>
      </c>
    </row>
    <row r="784" spans="1:19" x14ac:dyDescent="0.3">
      <c r="A784">
        <v>783</v>
      </c>
      <c r="B784" t="s">
        <v>76</v>
      </c>
      <c r="C784">
        <v>2022</v>
      </c>
      <c r="D784">
        <v>94087</v>
      </c>
      <c r="E784" t="s">
        <v>31</v>
      </c>
      <c r="F784" t="s">
        <v>21</v>
      </c>
      <c r="G784" t="s">
        <v>32</v>
      </c>
      <c r="H784">
        <v>1396</v>
      </c>
      <c r="I784" t="s">
        <v>2225</v>
      </c>
      <c r="J784" t="s">
        <v>1181</v>
      </c>
      <c r="K784">
        <v>5</v>
      </c>
      <c r="L784" t="s">
        <v>2226</v>
      </c>
      <c r="M784" s="1" t="str">
        <f>TEXT(DATE(tbl_data[[#This Row],[Model_Year]],1,1),"yyyy")</f>
        <v>2022</v>
      </c>
      <c r="N784" s="1" t="str">
        <f>IF(tbl_data[[#This Row],[Kilometers_Driven]]&lt;50000,"&lt;50k",
IF(tbl_data[[#This Row],[Kilometers_Driven]]&lt;100000,"50k-100k",
IF(tbl_data[[#This Row],[Kilometers_Driven]]&lt;150000,"100k-150k","150k+")))</f>
        <v>50k-100k</v>
      </c>
      <c r="O784" s="1" t="str">
        <f>IF(tbl_data[[#This Row],[Price_USD]]&gt;=87089,"High",
IF(tbl_data[[#This Row],[Price_USD]]&gt;=56807,"Mid","Low"))</f>
        <v>High</v>
      </c>
      <c r="P784" s="1" t="str">
        <f>IF(tbl_data[[#This Row],[Transmission]]="Automatic","Auto","Manual")</f>
        <v>Auto</v>
      </c>
      <c r="Q784" s="1" t="str">
        <f>IFERROR(IF(VALUE(tbl_data[[#This Row],[Engine_CC]])=0,"",VALUE(tbl_data[[#This Row],[Price_USD]])/VALUE(tbl_data[[#This Row],[Engine_CC]])),"")</f>
        <v/>
      </c>
      <c r="R784" s="1" t="str">
        <f>TRIM(tbl_data[[#This Row],[Brand]])</f>
        <v>Honda</v>
      </c>
      <c r="S784" s="1">
        <f>_xlfn.NUMBERVALUE(tbl_data[[#This Row],[Price_USD]],".",",")</f>
        <v>111551.6</v>
      </c>
    </row>
    <row r="785" spans="1:19" x14ac:dyDescent="0.3">
      <c r="A785">
        <v>784</v>
      </c>
      <c r="B785" t="s">
        <v>39</v>
      </c>
      <c r="C785">
        <v>2015</v>
      </c>
      <c r="D785">
        <v>38380</v>
      </c>
      <c r="E785" t="s">
        <v>31</v>
      </c>
      <c r="F785" t="s">
        <v>21</v>
      </c>
      <c r="G785" t="s">
        <v>15</v>
      </c>
      <c r="H785">
        <v>2305</v>
      </c>
      <c r="I785" t="s">
        <v>2227</v>
      </c>
      <c r="J785" t="s">
        <v>2228</v>
      </c>
      <c r="K785">
        <v>2</v>
      </c>
      <c r="L785" t="s">
        <v>2229</v>
      </c>
      <c r="M785" s="1" t="str">
        <f>TEXT(DATE(tbl_data[[#This Row],[Model_Year]],1,1),"yyyy")</f>
        <v>2015</v>
      </c>
      <c r="N785" s="1" t="str">
        <f>IF(tbl_data[[#This Row],[Kilometers_Driven]]&lt;50000,"&lt;50k",
IF(tbl_data[[#This Row],[Kilometers_Driven]]&lt;100000,"50k-100k",
IF(tbl_data[[#This Row],[Kilometers_Driven]]&lt;150000,"100k-150k","150k+")))</f>
        <v>&lt;50k</v>
      </c>
      <c r="O785" s="1" t="str">
        <f>IF(tbl_data[[#This Row],[Price_USD]]&gt;=87089,"High",
IF(tbl_data[[#This Row],[Price_USD]]&gt;=56807,"Mid","Low"))</f>
        <v>High</v>
      </c>
      <c r="P785" s="1" t="str">
        <f>IF(tbl_data[[#This Row],[Transmission]]="Automatic","Auto","Manual")</f>
        <v>Auto</v>
      </c>
      <c r="Q785" s="1" t="str">
        <f>IFERROR(IF(VALUE(tbl_data[[#This Row],[Engine_CC]])=0,"",VALUE(tbl_data[[#This Row],[Price_USD]])/VALUE(tbl_data[[#This Row],[Engine_CC]])),"")</f>
        <v/>
      </c>
      <c r="R785" s="1" t="str">
        <f>TRIM(tbl_data[[#This Row],[Brand]])</f>
        <v>Volkswagen</v>
      </c>
      <c r="S785" s="1">
        <f>_xlfn.NUMBERVALUE(tbl_data[[#This Row],[Price_USD]],".",",")</f>
        <v>112059.67</v>
      </c>
    </row>
    <row r="786" spans="1:19" x14ac:dyDescent="0.3">
      <c r="A786">
        <v>785</v>
      </c>
      <c r="B786" t="s">
        <v>25</v>
      </c>
      <c r="C786">
        <v>2006</v>
      </c>
      <c r="D786">
        <v>134951</v>
      </c>
      <c r="E786" t="s">
        <v>13</v>
      </c>
      <c r="F786" t="s">
        <v>14</v>
      </c>
      <c r="G786" t="s">
        <v>15</v>
      </c>
      <c r="H786">
        <v>1661</v>
      </c>
      <c r="I786" t="s">
        <v>2230</v>
      </c>
      <c r="J786" t="s">
        <v>2231</v>
      </c>
      <c r="K786">
        <v>5</v>
      </c>
      <c r="L786" t="s">
        <v>2232</v>
      </c>
      <c r="M786" s="1" t="str">
        <f>TEXT(DATE(tbl_data[[#This Row],[Model_Year]],1,1),"yyyy")</f>
        <v>2006</v>
      </c>
      <c r="N786" s="1" t="str">
        <f>IF(tbl_data[[#This Row],[Kilometers_Driven]]&lt;50000,"&lt;50k",
IF(tbl_data[[#This Row],[Kilometers_Driven]]&lt;100000,"50k-100k",
IF(tbl_data[[#This Row],[Kilometers_Driven]]&lt;150000,"100k-150k","150k+")))</f>
        <v>100k-150k</v>
      </c>
      <c r="O786" s="1" t="str">
        <f>IF(tbl_data[[#This Row],[Price_USD]]&gt;=87089,"High",
IF(tbl_data[[#This Row],[Price_USD]]&gt;=56807,"Mid","Low"))</f>
        <v>High</v>
      </c>
      <c r="P786" s="1" t="str">
        <f>IF(tbl_data[[#This Row],[Transmission]]="Automatic","Auto","Manual")</f>
        <v>Manual</v>
      </c>
      <c r="Q786" s="1" t="str">
        <f>IFERROR(IF(VALUE(tbl_data[[#This Row],[Engine_CC]])=0,"",VALUE(tbl_data[[#This Row],[Price_USD]])/VALUE(tbl_data[[#This Row],[Engine_CC]])),"")</f>
        <v/>
      </c>
      <c r="R786" s="1" t="str">
        <f>TRIM(tbl_data[[#This Row],[Brand]])</f>
        <v>Kia</v>
      </c>
      <c r="S786" s="1">
        <f>_xlfn.NUMBERVALUE(tbl_data[[#This Row],[Price_USD]],".",",")</f>
        <v>87308.61</v>
      </c>
    </row>
    <row r="787" spans="1:19" x14ac:dyDescent="0.3">
      <c r="A787">
        <v>786</v>
      </c>
      <c r="B787" t="s">
        <v>43</v>
      </c>
      <c r="C787">
        <v>2022</v>
      </c>
      <c r="D787">
        <v>22071</v>
      </c>
      <c r="E787" t="s">
        <v>20</v>
      </c>
      <c r="F787" t="s">
        <v>21</v>
      </c>
      <c r="G787" t="s">
        <v>15</v>
      </c>
      <c r="H787">
        <v>3440</v>
      </c>
      <c r="I787" t="s">
        <v>2233</v>
      </c>
      <c r="J787" t="s">
        <v>2234</v>
      </c>
      <c r="K787">
        <v>2</v>
      </c>
      <c r="L787" t="s">
        <v>2235</v>
      </c>
      <c r="M787" s="1" t="str">
        <f>TEXT(DATE(tbl_data[[#This Row],[Model_Year]],1,1),"yyyy")</f>
        <v>2022</v>
      </c>
      <c r="N787" s="1" t="str">
        <f>IF(tbl_data[[#This Row],[Kilometers_Driven]]&lt;50000,"&lt;50k",
IF(tbl_data[[#This Row],[Kilometers_Driven]]&lt;100000,"50k-100k",
IF(tbl_data[[#This Row],[Kilometers_Driven]]&lt;150000,"100k-150k","150k+")))</f>
        <v>&lt;50k</v>
      </c>
      <c r="O787" s="1" t="str">
        <f>IF(tbl_data[[#This Row],[Price_USD]]&gt;=87089,"High",
IF(tbl_data[[#This Row],[Price_USD]]&gt;=56807,"Mid","Low"))</f>
        <v>High</v>
      </c>
      <c r="P787" s="1" t="str">
        <f>IF(tbl_data[[#This Row],[Transmission]]="Automatic","Auto","Manual")</f>
        <v>Auto</v>
      </c>
      <c r="Q787" s="1" t="str">
        <f>IFERROR(IF(VALUE(tbl_data[[#This Row],[Engine_CC]])=0,"",VALUE(tbl_data[[#This Row],[Price_USD]])/VALUE(tbl_data[[#This Row],[Engine_CC]])),"")</f>
        <v/>
      </c>
      <c r="R787" s="1" t="str">
        <f>TRIM(tbl_data[[#This Row],[Brand]])</f>
        <v>Ford</v>
      </c>
      <c r="S787" s="1">
        <f>_xlfn.NUMBERVALUE(tbl_data[[#This Row],[Price_USD]],".",",")</f>
        <v>92594.31</v>
      </c>
    </row>
    <row r="788" spans="1:19" x14ac:dyDescent="0.3">
      <c r="A788">
        <v>787</v>
      </c>
      <c r="B788" t="s">
        <v>12</v>
      </c>
      <c r="C788">
        <v>2011</v>
      </c>
      <c r="D788">
        <v>25074</v>
      </c>
      <c r="E788" t="s">
        <v>44</v>
      </c>
      <c r="F788" t="s">
        <v>14</v>
      </c>
      <c r="G788" t="s">
        <v>26</v>
      </c>
      <c r="H788">
        <v>4531</v>
      </c>
      <c r="I788" t="s">
        <v>2236</v>
      </c>
      <c r="J788" t="s">
        <v>970</v>
      </c>
      <c r="K788">
        <v>7</v>
      </c>
      <c r="L788" t="s">
        <v>2237</v>
      </c>
      <c r="M788" s="1" t="str">
        <f>TEXT(DATE(tbl_data[[#This Row],[Model_Year]],1,1),"yyyy")</f>
        <v>2011</v>
      </c>
      <c r="N788" s="1" t="str">
        <f>IF(tbl_data[[#This Row],[Kilometers_Driven]]&lt;50000,"&lt;50k",
IF(tbl_data[[#This Row],[Kilometers_Driven]]&lt;100000,"50k-100k",
IF(tbl_data[[#This Row],[Kilometers_Driven]]&lt;150000,"100k-150k","150k+")))</f>
        <v>&lt;50k</v>
      </c>
      <c r="O788" s="1" t="str">
        <f>IF(tbl_data[[#This Row],[Price_USD]]&gt;=87089,"High",
IF(tbl_data[[#This Row],[Price_USD]]&gt;=56807,"Mid","Low"))</f>
        <v>High</v>
      </c>
      <c r="P788" s="1" t="str">
        <f>IF(tbl_data[[#This Row],[Transmission]]="Automatic","Auto","Manual")</f>
        <v>Manual</v>
      </c>
      <c r="Q788" s="1" t="str">
        <f>IFERROR(IF(VALUE(tbl_data[[#This Row],[Engine_CC]])=0,"",VALUE(tbl_data[[#This Row],[Price_USD]])/VALUE(tbl_data[[#This Row],[Engine_CC]])),"")</f>
        <v/>
      </c>
      <c r="R788" s="1" t="str">
        <f>TRIM(tbl_data[[#This Row],[Brand]])</f>
        <v>Audi</v>
      </c>
      <c r="S788" s="1">
        <f>_xlfn.NUMBERVALUE(tbl_data[[#This Row],[Price_USD]],".",",")</f>
        <v>13703.51</v>
      </c>
    </row>
    <row r="789" spans="1:19" x14ac:dyDescent="0.3">
      <c r="A789">
        <v>788</v>
      </c>
      <c r="B789" t="s">
        <v>43</v>
      </c>
      <c r="C789">
        <v>2019</v>
      </c>
      <c r="D789">
        <v>72843</v>
      </c>
      <c r="E789" t="s">
        <v>20</v>
      </c>
      <c r="F789" t="s">
        <v>14</v>
      </c>
      <c r="G789" t="s">
        <v>32</v>
      </c>
      <c r="H789">
        <v>2351</v>
      </c>
      <c r="I789" t="s">
        <v>2238</v>
      </c>
      <c r="J789" t="s">
        <v>2239</v>
      </c>
      <c r="K789">
        <v>6</v>
      </c>
      <c r="L789" t="s">
        <v>2240</v>
      </c>
      <c r="M789" s="1" t="str">
        <f>TEXT(DATE(tbl_data[[#This Row],[Model_Year]],1,1),"yyyy")</f>
        <v>2019</v>
      </c>
      <c r="N789" s="1" t="str">
        <f>IF(tbl_data[[#This Row],[Kilometers_Driven]]&lt;50000,"&lt;50k",
IF(tbl_data[[#This Row],[Kilometers_Driven]]&lt;100000,"50k-100k",
IF(tbl_data[[#This Row],[Kilometers_Driven]]&lt;150000,"100k-150k","150k+")))</f>
        <v>50k-100k</v>
      </c>
      <c r="O789" s="1" t="str">
        <f>IF(tbl_data[[#This Row],[Price_USD]]&gt;=87089,"High",
IF(tbl_data[[#This Row],[Price_USD]]&gt;=56807,"Mid","Low"))</f>
        <v>High</v>
      </c>
      <c r="P789" s="1" t="str">
        <f>IF(tbl_data[[#This Row],[Transmission]]="Automatic","Auto","Manual")</f>
        <v>Manual</v>
      </c>
      <c r="Q789" s="1" t="str">
        <f>IFERROR(IF(VALUE(tbl_data[[#This Row],[Engine_CC]])=0,"",VALUE(tbl_data[[#This Row],[Price_USD]])/VALUE(tbl_data[[#This Row],[Engine_CC]])),"")</f>
        <v/>
      </c>
      <c r="R789" s="1" t="str">
        <f>TRIM(tbl_data[[#This Row],[Brand]])</f>
        <v>Ford</v>
      </c>
      <c r="S789" s="1">
        <f>_xlfn.NUMBERVALUE(tbl_data[[#This Row],[Price_USD]],".",",")</f>
        <v>63123.47</v>
      </c>
    </row>
    <row r="790" spans="1:19" x14ac:dyDescent="0.3">
      <c r="A790">
        <v>789</v>
      </c>
      <c r="B790" t="s">
        <v>12</v>
      </c>
      <c r="C790">
        <v>2015</v>
      </c>
      <c r="D790">
        <v>44901</v>
      </c>
      <c r="E790" t="s">
        <v>20</v>
      </c>
      <c r="F790" t="s">
        <v>21</v>
      </c>
      <c r="G790" t="s">
        <v>15</v>
      </c>
      <c r="H790">
        <v>4036</v>
      </c>
      <c r="I790" t="s">
        <v>2241</v>
      </c>
      <c r="J790" t="s">
        <v>2242</v>
      </c>
      <c r="K790">
        <v>4</v>
      </c>
      <c r="L790" t="s">
        <v>2243</v>
      </c>
      <c r="M790" s="1" t="str">
        <f>TEXT(DATE(tbl_data[[#This Row],[Model_Year]],1,1),"yyyy")</f>
        <v>2015</v>
      </c>
      <c r="N790" s="1" t="str">
        <f>IF(tbl_data[[#This Row],[Kilometers_Driven]]&lt;50000,"&lt;50k",
IF(tbl_data[[#This Row],[Kilometers_Driven]]&lt;100000,"50k-100k",
IF(tbl_data[[#This Row],[Kilometers_Driven]]&lt;150000,"100k-150k","150k+")))</f>
        <v>&lt;50k</v>
      </c>
      <c r="O790" s="1" t="str">
        <f>IF(tbl_data[[#This Row],[Price_USD]]&gt;=87089,"High",
IF(tbl_data[[#This Row],[Price_USD]]&gt;=56807,"Mid","Low"))</f>
        <v>High</v>
      </c>
      <c r="P790" s="1" t="str">
        <f>IF(tbl_data[[#This Row],[Transmission]]="Automatic","Auto","Manual")</f>
        <v>Auto</v>
      </c>
      <c r="Q790" s="1" t="str">
        <f>IFERROR(IF(VALUE(tbl_data[[#This Row],[Engine_CC]])=0,"",VALUE(tbl_data[[#This Row],[Price_USD]])/VALUE(tbl_data[[#This Row],[Engine_CC]])),"")</f>
        <v/>
      </c>
      <c r="R790" s="1" t="str">
        <f>TRIM(tbl_data[[#This Row],[Brand]])</f>
        <v>Audi</v>
      </c>
      <c r="S790" s="1">
        <f>_xlfn.NUMBERVALUE(tbl_data[[#This Row],[Price_USD]],".",",")</f>
        <v>30095.21</v>
      </c>
    </row>
    <row r="791" spans="1:19" x14ac:dyDescent="0.3">
      <c r="A791">
        <v>790</v>
      </c>
      <c r="B791" t="s">
        <v>76</v>
      </c>
      <c r="C791">
        <v>2022</v>
      </c>
      <c r="D791">
        <v>16205</v>
      </c>
      <c r="E791" t="s">
        <v>31</v>
      </c>
      <c r="F791" t="s">
        <v>21</v>
      </c>
      <c r="G791" t="s">
        <v>26</v>
      </c>
      <c r="H791">
        <v>2536</v>
      </c>
      <c r="I791" t="s">
        <v>2244</v>
      </c>
      <c r="J791" t="s">
        <v>315</v>
      </c>
      <c r="K791">
        <v>7</v>
      </c>
      <c r="L791" t="s">
        <v>2245</v>
      </c>
      <c r="M791" s="1" t="str">
        <f>TEXT(DATE(tbl_data[[#This Row],[Model_Year]],1,1),"yyyy")</f>
        <v>2022</v>
      </c>
      <c r="N791" s="1" t="str">
        <f>IF(tbl_data[[#This Row],[Kilometers_Driven]]&lt;50000,"&lt;50k",
IF(tbl_data[[#This Row],[Kilometers_Driven]]&lt;100000,"50k-100k",
IF(tbl_data[[#This Row],[Kilometers_Driven]]&lt;150000,"100k-150k","150k+")))</f>
        <v>&lt;50k</v>
      </c>
      <c r="O791" s="1" t="str">
        <f>IF(tbl_data[[#This Row],[Price_USD]]&gt;=87089,"High",
IF(tbl_data[[#This Row],[Price_USD]]&gt;=56807,"Mid","Low"))</f>
        <v>High</v>
      </c>
      <c r="P791" s="1" t="str">
        <f>IF(tbl_data[[#This Row],[Transmission]]="Automatic","Auto","Manual")</f>
        <v>Auto</v>
      </c>
      <c r="Q791" s="1" t="str">
        <f>IFERROR(IF(VALUE(tbl_data[[#This Row],[Engine_CC]])=0,"",VALUE(tbl_data[[#This Row],[Price_USD]])/VALUE(tbl_data[[#This Row],[Engine_CC]])),"")</f>
        <v/>
      </c>
      <c r="R791" s="1" t="str">
        <f>TRIM(tbl_data[[#This Row],[Brand]])</f>
        <v>Honda</v>
      </c>
      <c r="S791" s="1">
        <f>_xlfn.NUMBERVALUE(tbl_data[[#This Row],[Price_USD]],".",",")</f>
        <v>24202.51</v>
      </c>
    </row>
    <row r="792" spans="1:19" x14ac:dyDescent="0.3">
      <c r="A792">
        <v>791</v>
      </c>
      <c r="B792" t="s">
        <v>39</v>
      </c>
      <c r="C792">
        <v>2016</v>
      </c>
      <c r="D792">
        <v>191733</v>
      </c>
      <c r="E792" t="s">
        <v>44</v>
      </c>
      <c r="F792" t="s">
        <v>14</v>
      </c>
      <c r="G792" t="s">
        <v>32</v>
      </c>
      <c r="H792">
        <v>2249</v>
      </c>
      <c r="I792" t="s">
        <v>2246</v>
      </c>
      <c r="J792" t="s">
        <v>2247</v>
      </c>
      <c r="K792">
        <v>2</v>
      </c>
      <c r="L792" t="s">
        <v>2248</v>
      </c>
      <c r="M792" s="1" t="str">
        <f>TEXT(DATE(tbl_data[[#This Row],[Model_Year]],1,1),"yyyy")</f>
        <v>2016</v>
      </c>
      <c r="N792" s="1" t="str">
        <f>IF(tbl_data[[#This Row],[Kilometers_Driven]]&lt;50000,"&lt;50k",
IF(tbl_data[[#This Row],[Kilometers_Driven]]&lt;100000,"50k-100k",
IF(tbl_data[[#This Row],[Kilometers_Driven]]&lt;150000,"100k-150k","150k+")))</f>
        <v>150k+</v>
      </c>
      <c r="O792" s="1" t="str">
        <f>IF(tbl_data[[#This Row],[Price_USD]]&gt;=87089,"High",
IF(tbl_data[[#This Row],[Price_USD]]&gt;=56807,"Mid","Low"))</f>
        <v>High</v>
      </c>
      <c r="P792" s="1" t="str">
        <f>IF(tbl_data[[#This Row],[Transmission]]="Automatic","Auto","Manual")</f>
        <v>Manual</v>
      </c>
      <c r="Q792" s="1" t="str">
        <f>IFERROR(IF(VALUE(tbl_data[[#This Row],[Engine_CC]])=0,"",VALUE(tbl_data[[#This Row],[Price_USD]])/VALUE(tbl_data[[#This Row],[Engine_CC]])),"")</f>
        <v/>
      </c>
      <c r="R792" s="1" t="str">
        <f>TRIM(tbl_data[[#This Row],[Brand]])</f>
        <v>Volkswagen</v>
      </c>
      <c r="S792" s="1">
        <f>_xlfn.NUMBERVALUE(tbl_data[[#This Row],[Price_USD]],".",",")</f>
        <v>97805.49</v>
      </c>
    </row>
    <row r="793" spans="1:19" x14ac:dyDescent="0.3">
      <c r="A793">
        <v>792</v>
      </c>
      <c r="B793" t="s">
        <v>69</v>
      </c>
      <c r="C793">
        <v>2010</v>
      </c>
      <c r="D793">
        <v>129661</v>
      </c>
      <c r="E793" t="s">
        <v>44</v>
      </c>
      <c r="F793" t="s">
        <v>14</v>
      </c>
      <c r="G793" t="s">
        <v>26</v>
      </c>
      <c r="H793">
        <v>1064</v>
      </c>
      <c r="I793" t="s">
        <v>2249</v>
      </c>
      <c r="J793" t="s">
        <v>2250</v>
      </c>
      <c r="K793">
        <v>2</v>
      </c>
      <c r="L793" t="s">
        <v>2251</v>
      </c>
      <c r="M793" s="1" t="str">
        <f>TEXT(DATE(tbl_data[[#This Row],[Model_Year]],1,1),"yyyy")</f>
        <v>2010</v>
      </c>
      <c r="N793" s="1" t="str">
        <f>IF(tbl_data[[#This Row],[Kilometers_Driven]]&lt;50000,"&lt;50k",
IF(tbl_data[[#This Row],[Kilometers_Driven]]&lt;100000,"50k-100k",
IF(tbl_data[[#This Row],[Kilometers_Driven]]&lt;150000,"100k-150k","150k+")))</f>
        <v>100k-150k</v>
      </c>
      <c r="O793" s="1" t="str">
        <f>IF(tbl_data[[#This Row],[Price_USD]]&gt;=87089,"High",
IF(tbl_data[[#This Row],[Price_USD]]&gt;=56807,"Mid","Low"))</f>
        <v>High</v>
      </c>
      <c r="P793" s="1" t="str">
        <f>IF(tbl_data[[#This Row],[Transmission]]="Automatic","Auto","Manual")</f>
        <v>Manual</v>
      </c>
      <c r="Q793" s="1" t="str">
        <f>IFERROR(IF(VALUE(tbl_data[[#This Row],[Engine_CC]])=0,"",VALUE(tbl_data[[#This Row],[Price_USD]])/VALUE(tbl_data[[#This Row],[Engine_CC]])),"")</f>
        <v/>
      </c>
      <c r="R793" s="1" t="str">
        <f>TRIM(tbl_data[[#This Row],[Brand]])</f>
        <v>Hyundai</v>
      </c>
      <c r="S793" s="1">
        <f>_xlfn.NUMBERVALUE(tbl_data[[#This Row],[Price_USD]],".",",")</f>
        <v>18799.46</v>
      </c>
    </row>
    <row r="794" spans="1:19" x14ac:dyDescent="0.3">
      <c r="A794">
        <v>793</v>
      </c>
      <c r="B794" t="s">
        <v>43</v>
      </c>
      <c r="C794">
        <v>2024</v>
      </c>
      <c r="D794">
        <v>10906</v>
      </c>
      <c r="E794" t="s">
        <v>20</v>
      </c>
      <c r="F794" t="s">
        <v>21</v>
      </c>
      <c r="G794" t="s">
        <v>26</v>
      </c>
      <c r="H794">
        <v>3459</v>
      </c>
      <c r="I794" t="s">
        <v>2252</v>
      </c>
      <c r="J794" t="s">
        <v>2253</v>
      </c>
      <c r="K794">
        <v>2</v>
      </c>
      <c r="L794" t="s">
        <v>2254</v>
      </c>
      <c r="M794" s="1" t="str">
        <f>TEXT(DATE(tbl_data[[#This Row],[Model_Year]],1,1),"yyyy")</f>
        <v>2024</v>
      </c>
      <c r="N794" s="1" t="str">
        <f>IF(tbl_data[[#This Row],[Kilometers_Driven]]&lt;50000,"&lt;50k",
IF(tbl_data[[#This Row],[Kilometers_Driven]]&lt;100000,"50k-100k",
IF(tbl_data[[#This Row],[Kilometers_Driven]]&lt;150000,"100k-150k","150k+")))</f>
        <v>&lt;50k</v>
      </c>
      <c r="O794" s="1" t="str">
        <f>IF(tbl_data[[#This Row],[Price_USD]]&gt;=87089,"High",
IF(tbl_data[[#This Row],[Price_USD]]&gt;=56807,"Mid","Low"))</f>
        <v>High</v>
      </c>
      <c r="P794" s="1" t="str">
        <f>IF(tbl_data[[#This Row],[Transmission]]="Automatic","Auto","Manual")</f>
        <v>Auto</v>
      </c>
      <c r="Q794" s="1" t="str">
        <f>IFERROR(IF(VALUE(tbl_data[[#This Row],[Engine_CC]])=0,"",VALUE(tbl_data[[#This Row],[Price_USD]])/VALUE(tbl_data[[#This Row],[Engine_CC]])),"")</f>
        <v/>
      </c>
      <c r="R794" s="1" t="str">
        <f>TRIM(tbl_data[[#This Row],[Brand]])</f>
        <v>Ford</v>
      </c>
      <c r="S794" s="1">
        <f>_xlfn.NUMBERVALUE(tbl_data[[#This Row],[Price_USD]],".",",")</f>
        <v>57832.24</v>
      </c>
    </row>
    <row r="795" spans="1:19" x14ac:dyDescent="0.3">
      <c r="A795">
        <v>794</v>
      </c>
      <c r="B795" t="s">
        <v>43</v>
      </c>
      <c r="C795">
        <v>2017</v>
      </c>
      <c r="D795">
        <v>138663</v>
      </c>
      <c r="E795" t="s">
        <v>13</v>
      </c>
      <c r="F795" t="s">
        <v>14</v>
      </c>
      <c r="G795" t="s">
        <v>32</v>
      </c>
      <c r="H795">
        <v>3521</v>
      </c>
      <c r="I795" t="s">
        <v>2255</v>
      </c>
      <c r="J795" t="s">
        <v>2256</v>
      </c>
      <c r="K795">
        <v>2</v>
      </c>
      <c r="L795" t="s">
        <v>2257</v>
      </c>
      <c r="M795" s="1" t="str">
        <f>TEXT(DATE(tbl_data[[#This Row],[Model_Year]],1,1),"yyyy")</f>
        <v>2017</v>
      </c>
      <c r="N795" s="1" t="str">
        <f>IF(tbl_data[[#This Row],[Kilometers_Driven]]&lt;50000,"&lt;50k",
IF(tbl_data[[#This Row],[Kilometers_Driven]]&lt;100000,"50k-100k",
IF(tbl_data[[#This Row],[Kilometers_Driven]]&lt;150000,"100k-150k","150k+")))</f>
        <v>100k-150k</v>
      </c>
      <c r="O795" s="1" t="str">
        <f>IF(tbl_data[[#This Row],[Price_USD]]&gt;=87089,"High",
IF(tbl_data[[#This Row],[Price_USD]]&gt;=56807,"Mid","Low"))</f>
        <v>High</v>
      </c>
      <c r="P795" s="1" t="str">
        <f>IF(tbl_data[[#This Row],[Transmission]]="Automatic","Auto","Manual")</f>
        <v>Manual</v>
      </c>
      <c r="Q795" s="1" t="str">
        <f>IFERROR(IF(VALUE(tbl_data[[#This Row],[Engine_CC]])=0,"",VALUE(tbl_data[[#This Row],[Price_USD]])/VALUE(tbl_data[[#This Row],[Engine_CC]])),"")</f>
        <v/>
      </c>
      <c r="R795" s="1" t="str">
        <f>TRIM(tbl_data[[#This Row],[Brand]])</f>
        <v>Ford</v>
      </c>
      <c r="S795" s="1">
        <f>_xlfn.NUMBERVALUE(tbl_data[[#This Row],[Price_USD]],".",",")</f>
        <v>112813.65</v>
      </c>
    </row>
    <row r="796" spans="1:19" x14ac:dyDescent="0.3">
      <c r="A796">
        <v>795</v>
      </c>
      <c r="B796" t="s">
        <v>102</v>
      </c>
      <c r="C796">
        <v>2024</v>
      </c>
      <c r="D796">
        <v>130576</v>
      </c>
      <c r="E796" t="s">
        <v>20</v>
      </c>
      <c r="F796" t="s">
        <v>21</v>
      </c>
      <c r="G796" t="s">
        <v>15</v>
      </c>
      <c r="H796">
        <v>2262</v>
      </c>
      <c r="I796" t="s">
        <v>2258</v>
      </c>
      <c r="J796" t="s">
        <v>2259</v>
      </c>
      <c r="K796">
        <v>4</v>
      </c>
      <c r="L796" t="s">
        <v>2260</v>
      </c>
      <c r="M796" s="1" t="str">
        <f>TEXT(DATE(tbl_data[[#This Row],[Model_Year]],1,1),"yyyy")</f>
        <v>2024</v>
      </c>
      <c r="N796" s="1" t="str">
        <f>IF(tbl_data[[#This Row],[Kilometers_Driven]]&lt;50000,"&lt;50k",
IF(tbl_data[[#This Row],[Kilometers_Driven]]&lt;100000,"50k-100k",
IF(tbl_data[[#This Row],[Kilometers_Driven]]&lt;150000,"100k-150k","150k+")))</f>
        <v>100k-150k</v>
      </c>
      <c r="O796" s="1" t="str">
        <f>IF(tbl_data[[#This Row],[Price_USD]]&gt;=87089,"High",
IF(tbl_data[[#This Row],[Price_USD]]&gt;=56807,"Mid","Low"))</f>
        <v>High</v>
      </c>
      <c r="P796" s="1" t="str">
        <f>IF(tbl_data[[#This Row],[Transmission]]="Automatic","Auto","Manual")</f>
        <v>Auto</v>
      </c>
      <c r="Q796" s="1" t="str">
        <f>IFERROR(IF(VALUE(tbl_data[[#This Row],[Engine_CC]])=0,"",VALUE(tbl_data[[#This Row],[Price_USD]])/VALUE(tbl_data[[#This Row],[Engine_CC]])),"")</f>
        <v/>
      </c>
      <c r="R796" s="1" t="str">
        <f>TRIM(tbl_data[[#This Row],[Brand]])</f>
        <v>Nissan</v>
      </c>
      <c r="S796" s="1">
        <f>_xlfn.NUMBERVALUE(tbl_data[[#This Row],[Price_USD]],".",",")</f>
        <v>24742.35</v>
      </c>
    </row>
    <row r="797" spans="1:19" x14ac:dyDescent="0.3">
      <c r="A797">
        <v>796</v>
      </c>
      <c r="B797" t="s">
        <v>12</v>
      </c>
      <c r="C797">
        <v>2020</v>
      </c>
      <c r="D797">
        <v>67987</v>
      </c>
      <c r="E797" t="s">
        <v>13</v>
      </c>
      <c r="F797" t="s">
        <v>14</v>
      </c>
      <c r="G797" t="s">
        <v>26</v>
      </c>
      <c r="H797">
        <v>2245</v>
      </c>
      <c r="I797" t="s">
        <v>2261</v>
      </c>
      <c r="J797" t="s">
        <v>2262</v>
      </c>
      <c r="K797">
        <v>5</v>
      </c>
      <c r="L797" t="s">
        <v>2263</v>
      </c>
      <c r="M797" s="1" t="str">
        <f>TEXT(DATE(tbl_data[[#This Row],[Model_Year]],1,1),"yyyy")</f>
        <v>2020</v>
      </c>
      <c r="N797" s="1" t="str">
        <f>IF(tbl_data[[#This Row],[Kilometers_Driven]]&lt;50000,"&lt;50k",
IF(tbl_data[[#This Row],[Kilometers_Driven]]&lt;100000,"50k-100k",
IF(tbl_data[[#This Row],[Kilometers_Driven]]&lt;150000,"100k-150k","150k+")))</f>
        <v>50k-100k</v>
      </c>
      <c r="O797" s="1" t="str">
        <f>IF(tbl_data[[#This Row],[Price_USD]]&gt;=87089,"High",
IF(tbl_data[[#This Row],[Price_USD]]&gt;=56807,"Mid","Low"))</f>
        <v>High</v>
      </c>
      <c r="P797" s="1" t="str">
        <f>IF(tbl_data[[#This Row],[Transmission]]="Automatic","Auto","Manual")</f>
        <v>Manual</v>
      </c>
      <c r="Q797" s="1" t="str">
        <f>IFERROR(IF(VALUE(tbl_data[[#This Row],[Engine_CC]])=0,"",VALUE(tbl_data[[#This Row],[Price_USD]])/VALUE(tbl_data[[#This Row],[Engine_CC]])),"")</f>
        <v/>
      </c>
      <c r="R797" s="1" t="str">
        <f>TRIM(tbl_data[[#This Row],[Brand]])</f>
        <v>Audi</v>
      </c>
      <c r="S797" s="1">
        <f>_xlfn.NUMBERVALUE(tbl_data[[#This Row],[Price_USD]],".",",")</f>
        <v>117425.23</v>
      </c>
    </row>
    <row r="798" spans="1:19" x14ac:dyDescent="0.3">
      <c r="A798">
        <v>797</v>
      </c>
      <c r="B798" t="s">
        <v>30</v>
      </c>
      <c r="C798">
        <v>2022</v>
      </c>
      <c r="D798">
        <v>199442</v>
      </c>
      <c r="E798" t="s">
        <v>44</v>
      </c>
      <c r="F798" t="s">
        <v>14</v>
      </c>
      <c r="G798" t="s">
        <v>26</v>
      </c>
      <c r="H798">
        <v>3098</v>
      </c>
      <c r="I798" t="s">
        <v>1196</v>
      </c>
      <c r="J798" t="s">
        <v>2264</v>
      </c>
      <c r="K798">
        <v>6</v>
      </c>
      <c r="L798" t="s">
        <v>2265</v>
      </c>
      <c r="M798" s="1" t="str">
        <f>TEXT(DATE(tbl_data[[#This Row],[Model_Year]],1,1),"yyyy")</f>
        <v>2022</v>
      </c>
      <c r="N798" s="1" t="str">
        <f>IF(tbl_data[[#This Row],[Kilometers_Driven]]&lt;50000,"&lt;50k",
IF(tbl_data[[#This Row],[Kilometers_Driven]]&lt;100000,"50k-100k",
IF(tbl_data[[#This Row],[Kilometers_Driven]]&lt;150000,"100k-150k","150k+")))</f>
        <v>150k+</v>
      </c>
      <c r="O798" s="1" t="str">
        <f>IF(tbl_data[[#This Row],[Price_USD]]&gt;=87089,"High",
IF(tbl_data[[#This Row],[Price_USD]]&gt;=56807,"Mid","Low"))</f>
        <v>High</v>
      </c>
      <c r="P798" s="1" t="str">
        <f>IF(tbl_data[[#This Row],[Transmission]]="Automatic","Auto","Manual")</f>
        <v>Manual</v>
      </c>
      <c r="Q798" s="1" t="str">
        <f>IFERROR(IF(VALUE(tbl_data[[#This Row],[Engine_CC]])=0,"",VALUE(tbl_data[[#This Row],[Price_USD]])/VALUE(tbl_data[[#This Row],[Engine_CC]])),"")</f>
        <v/>
      </c>
      <c r="R798" s="1" t="str">
        <f>TRIM(tbl_data[[#This Row],[Brand]])</f>
        <v>Mercedes</v>
      </c>
      <c r="S798" s="1">
        <f>_xlfn.NUMBERVALUE(tbl_data[[#This Row],[Price_USD]],".",",")</f>
        <v>119331.69</v>
      </c>
    </row>
    <row r="799" spans="1:19" x14ac:dyDescent="0.3">
      <c r="A799">
        <v>798</v>
      </c>
      <c r="B799" t="s">
        <v>39</v>
      </c>
      <c r="C799">
        <v>2014</v>
      </c>
      <c r="D799">
        <v>85685</v>
      </c>
      <c r="E799" t="s">
        <v>20</v>
      </c>
      <c r="F799" t="s">
        <v>21</v>
      </c>
      <c r="G799" t="s">
        <v>15</v>
      </c>
      <c r="H799">
        <v>3725</v>
      </c>
      <c r="I799" t="s">
        <v>2266</v>
      </c>
      <c r="J799" t="s">
        <v>2267</v>
      </c>
      <c r="K799">
        <v>4</v>
      </c>
      <c r="L799" t="s">
        <v>2268</v>
      </c>
      <c r="M799" s="1" t="str">
        <f>TEXT(DATE(tbl_data[[#This Row],[Model_Year]],1,1),"yyyy")</f>
        <v>2014</v>
      </c>
      <c r="N799" s="1" t="str">
        <f>IF(tbl_data[[#This Row],[Kilometers_Driven]]&lt;50000,"&lt;50k",
IF(tbl_data[[#This Row],[Kilometers_Driven]]&lt;100000,"50k-100k",
IF(tbl_data[[#This Row],[Kilometers_Driven]]&lt;150000,"100k-150k","150k+")))</f>
        <v>50k-100k</v>
      </c>
      <c r="O799" s="1" t="str">
        <f>IF(tbl_data[[#This Row],[Price_USD]]&gt;=87089,"High",
IF(tbl_data[[#This Row],[Price_USD]]&gt;=56807,"Mid","Low"))</f>
        <v>High</v>
      </c>
      <c r="P799" s="1" t="str">
        <f>IF(tbl_data[[#This Row],[Transmission]]="Automatic","Auto","Manual")</f>
        <v>Auto</v>
      </c>
      <c r="Q799" s="1" t="str">
        <f>IFERROR(IF(VALUE(tbl_data[[#This Row],[Engine_CC]])=0,"",VALUE(tbl_data[[#This Row],[Price_USD]])/VALUE(tbl_data[[#This Row],[Engine_CC]])),"")</f>
        <v/>
      </c>
      <c r="R799" s="1" t="str">
        <f>TRIM(tbl_data[[#This Row],[Brand]])</f>
        <v>Volkswagen</v>
      </c>
      <c r="S799" s="1">
        <f>_xlfn.NUMBERVALUE(tbl_data[[#This Row],[Price_USD]],".",",")</f>
        <v>68007.210000000006</v>
      </c>
    </row>
    <row r="800" spans="1:19" x14ac:dyDescent="0.3">
      <c r="A800">
        <v>799</v>
      </c>
      <c r="B800" t="s">
        <v>12</v>
      </c>
      <c r="C800">
        <v>2012</v>
      </c>
      <c r="D800">
        <v>115454</v>
      </c>
      <c r="E800" t="s">
        <v>31</v>
      </c>
      <c r="F800" t="s">
        <v>21</v>
      </c>
      <c r="G800" t="s">
        <v>15</v>
      </c>
      <c r="H800">
        <v>2432</v>
      </c>
      <c r="I800" t="s">
        <v>1519</v>
      </c>
      <c r="J800" t="s">
        <v>2269</v>
      </c>
      <c r="K800">
        <v>2</v>
      </c>
      <c r="L800" t="s">
        <v>2270</v>
      </c>
      <c r="M800" s="1" t="str">
        <f>TEXT(DATE(tbl_data[[#This Row],[Model_Year]],1,1),"yyyy")</f>
        <v>2012</v>
      </c>
      <c r="N800" s="1" t="str">
        <f>IF(tbl_data[[#This Row],[Kilometers_Driven]]&lt;50000,"&lt;50k",
IF(tbl_data[[#This Row],[Kilometers_Driven]]&lt;100000,"50k-100k",
IF(tbl_data[[#This Row],[Kilometers_Driven]]&lt;150000,"100k-150k","150k+")))</f>
        <v>100k-150k</v>
      </c>
      <c r="O800" s="1" t="str">
        <f>IF(tbl_data[[#This Row],[Price_USD]]&gt;=87089,"High",
IF(tbl_data[[#This Row],[Price_USD]]&gt;=56807,"Mid","Low"))</f>
        <v>High</v>
      </c>
      <c r="P800" s="1" t="str">
        <f>IF(tbl_data[[#This Row],[Transmission]]="Automatic","Auto","Manual")</f>
        <v>Auto</v>
      </c>
      <c r="Q800" s="1" t="str">
        <f>IFERROR(IF(VALUE(tbl_data[[#This Row],[Engine_CC]])=0,"",VALUE(tbl_data[[#This Row],[Price_USD]])/VALUE(tbl_data[[#This Row],[Engine_CC]])),"")</f>
        <v/>
      </c>
      <c r="R800" s="1" t="str">
        <f>TRIM(tbl_data[[#This Row],[Brand]])</f>
        <v>Audi</v>
      </c>
      <c r="S800" s="1">
        <f>_xlfn.NUMBERVALUE(tbl_data[[#This Row],[Price_USD]],".",",")</f>
        <v>22906.7</v>
      </c>
    </row>
    <row r="801" spans="1:19" x14ac:dyDescent="0.3">
      <c r="A801">
        <v>800</v>
      </c>
      <c r="B801" t="s">
        <v>102</v>
      </c>
      <c r="C801">
        <v>2022</v>
      </c>
      <c r="D801">
        <v>110487</v>
      </c>
      <c r="E801" t="s">
        <v>20</v>
      </c>
      <c r="F801" t="s">
        <v>21</v>
      </c>
      <c r="G801" t="s">
        <v>32</v>
      </c>
      <c r="H801">
        <v>3174</v>
      </c>
      <c r="I801" t="s">
        <v>2271</v>
      </c>
      <c r="J801" t="s">
        <v>2272</v>
      </c>
      <c r="K801">
        <v>4</v>
      </c>
      <c r="L801" t="s">
        <v>2273</v>
      </c>
      <c r="M801" s="1" t="str">
        <f>TEXT(DATE(tbl_data[[#This Row],[Model_Year]],1,1),"yyyy")</f>
        <v>2022</v>
      </c>
      <c r="N801" s="1" t="str">
        <f>IF(tbl_data[[#This Row],[Kilometers_Driven]]&lt;50000,"&lt;50k",
IF(tbl_data[[#This Row],[Kilometers_Driven]]&lt;100000,"50k-100k",
IF(tbl_data[[#This Row],[Kilometers_Driven]]&lt;150000,"100k-150k","150k+")))</f>
        <v>100k-150k</v>
      </c>
      <c r="O801" s="1" t="str">
        <f>IF(tbl_data[[#This Row],[Price_USD]]&gt;=87089,"High",
IF(tbl_data[[#This Row],[Price_USD]]&gt;=56807,"Mid","Low"))</f>
        <v>High</v>
      </c>
      <c r="P801" s="1" t="str">
        <f>IF(tbl_data[[#This Row],[Transmission]]="Automatic","Auto","Manual")</f>
        <v>Auto</v>
      </c>
      <c r="Q801" s="1" t="str">
        <f>IFERROR(IF(VALUE(tbl_data[[#This Row],[Engine_CC]])=0,"",VALUE(tbl_data[[#This Row],[Price_USD]])/VALUE(tbl_data[[#This Row],[Engine_CC]])),"")</f>
        <v/>
      </c>
      <c r="R801" s="1" t="str">
        <f>TRIM(tbl_data[[#This Row],[Brand]])</f>
        <v>Nissan</v>
      </c>
      <c r="S801" s="1">
        <f>_xlfn.NUMBERVALUE(tbl_data[[#This Row],[Price_USD]],".",",")</f>
        <v>39984.269999999997</v>
      </c>
    </row>
    <row r="802" spans="1:19" x14ac:dyDescent="0.3">
      <c r="A802">
        <v>801</v>
      </c>
      <c r="B802" t="s">
        <v>92</v>
      </c>
      <c r="C802">
        <v>2005</v>
      </c>
      <c r="D802">
        <v>59400</v>
      </c>
      <c r="E802" t="s">
        <v>44</v>
      </c>
      <c r="F802" t="s">
        <v>21</v>
      </c>
      <c r="G802" t="s">
        <v>32</v>
      </c>
      <c r="H802">
        <v>1312</v>
      </c>
      <c r="I802" t="s">
        <v>2059</v>
      </c>
      <c r="J802" t="s">
        <v>2274</v>
      </c>
      <c r="K802">
        <v>7</v>
      </c>
      <c r="L802" t="s">
        <v>2275</v>
      </c>
      <c r="M802" s="1" t="str">
        <f>TEXT(DATE(tbl_data[[#This Row],[Model_Year]],1,1),"yyyy")</f>
        <v>2005</v>
      </c>
      <c r="N802" s="1" t="str">
        <f>IF(tbl_data[[#This Row],[Kilometers_Driven]]&lt;50000,"&lt;50k",
IF(tbl_data[[#This Row],[Kilometers_Driven]]&lt;100000,"50k-100k",
IF(tbl_data[[#This Row],[Kilometers_Driven]]&lt;150000,"100k-150k","150k+")))</f>
        <v>50k-100k</v>
      </c>
      <c r="O802" s="1" t="str">
        <f>IF(tbl_data[[#This Row],[Price_USD]]&gt;=87089,"High",
IF(tbl_data[[#This Row],[Price_USD]]&gt;=56807,"Mid","Low"))</f>
        <v>High</v>
      </c>
      <c r="P802" s="1" t="str">
        <f>IF(tbl_data[[#This Row],[Transmission]]="Automatic","Auto","Manual")</f>
        <v>Auto</v>
      </c>
      <c r="Q802" s="1" t="str">
        <f>IFERROR(IF(VALUE(tbl_data[[#This Row],[Engine_CC]])=0,"",VALUE(tbl_data[[#This Row],[Price_USD]])/VALUE(tbl_data[[#This Row],[Engine_CC]])),"")</f>
        <v/>
      </c>
      <c r="R802" s="1" t="str">
        <f>TRIM(tbl_data[[#This Row],[Brand]])</f>
        <v>Toyota</v>
      </c>
      <c r="S802" s="1">
        <f>_xlfn.NUMBERVALUE(tbl_data[[#This Row],[Price_USD]],".",",")</f>
        <v>52665.66</v>
      </c>
    </row>
    <row r="803" spans="1:19" x14ac:dyDescent="0.3">
      <c r="A803">
        <v>802</v>
      </c>
      <c r="B803" t="s">
        <v>12</v>
      </c>
      <c r="C803">
        <v>2012</v>
      </c>
      <c r="D803">
        <v>161222</v>
      </c>
      <c r="E803" t="s">
        <v>31</v>
      </c>
      <c r="F803" t="s">
        <v>21</v>
      </c>
      <c r="G803" t="s">
        <v>32</v>
      </c>
      <c r="H803">
        <v>1015</v>
      </c>
      <c r="I803" t="s">
        <v>2276</v>
      </c>
      <c r="J803" t="s">
        <v>2277</v>
      </c>
      <c r="K803">
        <v>2</v>
      </c>
      <c r="L803" t="s">
        <v>2278</v>
      </c>
      <c r="M803" s="1" t="str">
        <f>TEXT(DATE(tbl_data[[#This Row],[Model_Year]],1,1),"yyyy")</f>
        <v>2012</v>
      </c>
      <c r="N803" s="1" t="str">
        <f>IF(tbl_data[[#This Row],[Kilometers_Driven]]&lt;50000,"&lt;50k",
IF(tbl_data[[#This Row],[Kilometers_Driven]]&lt;100000,"50k-100k",
IF(tbl_data[[#This Row],[Kilometers_Driven]]&lt;150000,"100k-150k","150k+")))</f>
        <v>150k+</v>
      </c>
      <c r="O803" s="1" t="str">
        <f>IF(tbl_data[[#This Row],[Price_USD]]&gt;=87089,"High",
IF(tbl_data[[#This Row],[Price_USD]]&gt;=56807,"Mid","Low"))</f>
        <v>High</v>
      </c>
      <c r="P803" s="1" t="str">
        <f>IF(tbl_data[[#This Row],[Transmission]]="Automatic","Auto","Manual")</f>
        <v>Auto</v>
      </c>
      <c r="Q803" s="1" t="str">
        <f>IFERROR(IF(VALUE(tbl_data[[#This Row],[Engine_CC]])=0,"",VALUE(tbl_data[[#This Row],[Price_USD]])/VALUE(tbl_data[[#This Row],[Engine_CC]])),"")</f>
        <v/>
      </c>
      <c r="R803" s="1" t="str">
        <f>TRIM(tbl_data[[#This Row],[Brand]])</f>
        <v>Audi</v>
      </c>
      <c r="S803" s="1">
        <f>_xlfn.NUMBERVALUE(tbl_data[[#This Row],[Price_USD]],".",",")</f>
        <v>39190.93</v>
      </c>
    </row>
    <row r="804" spans="1:19" x14ac:dyDescent="0.3">
      <c r="A804">
        <v>803</v>
      </c>
      <c r="B804" t="s">
        <v>69</v>
      </c>
      <c r="C804">
        <v>2010</v>
      </c>
      <c r="D804">
        <v>36852</v>
      </c>
      <c r="E804" t="s">
        <v>31</v>
      </c>
      <c r="F804" t="s">
        <v>21</v>
      </c>
      <c r="G804" t="s">
        <v>15</v>
      </c>
      <c r="H804">
        <v>4131</v>
      </c>
      <c r="I804" t="s">
        <v>2279</v>
      </c>
      <c r="J804" t="s">
        <v>2280</v>
      </c>
      <c r="K804">
        <v>6</v>
      </c>
      <c r="L804" t="s">
        <v>2281</v>
      </c>
      <c r="M804" s="1" t="str">
        <f>TEXT(DATE(tbl_data[[#This Row],[Model_Year]],1,1),"yyyy")</f>
        <v>2010</v>
      </c>
      <c r="N804" s="1" t="str">
        <f>IF(tbl_data[[#This Row],[Kilometers_Driven]]&lt;50000,"&lt;50k",
IF(tbl_data[[#This Row],[Kilometers_Driven]]&lt;100000,"50k-100k",
IF(tbl_data[[#This Row],[Kilometers_Driven]]&lt;150000,"100k-150k","150k+")))</f>
        <v>&lt;50k</v>
      </c>
      <c r="O804" s="1" t="str">
        <f>IF(tbl_data[[#This Row],[Price_USD]]&gt;=87089,"High",
IF(tbl_data[[#This Row],[Price_USD]]&gt;=56807,"Mid","Low"))</f>
        <v>High</v>
      </c>
      <c r="P804" s="1" t="str">
        <f>IF(tbl_data[[#This Row],[Transmission]]="Automatic","Auto","Manual")</f>
        <v>Auto</v>
      </c>
      <c r="Q804" s="1" t="str">
        <f>IFERROR(IF(VALUE(tbl_data[[#This Row],[Engine_CC]])=0,"",VALUE(tbl_data[[#This Row],[Price_USD]])/VALUE(tbl_data[[#This Row],[Engine_CC]])),"")</f>
        <v/>
      </c>
      <c r="R804" s="1" t="str">
        <f>TRIM(tbl_data[[#This Row],[Brand]])</f>
        <v>Hyundai</v>
      </c>
      <c r="S804" s="1">
        <f>_xlfn.NUMBERVALUE(tbl_data[[#This Row],[Price_USD]],".",",")</f>
        <v>35834.36</v>
      </c>
    </row>
    <row r="805" spans="1:19" x14ac:dyDescent="0.3">
      <c r="A805">
        <v>804</v>
      </c>
      <c r="B805" t="s">
        <v>39</v>
      </c>
      <c r="C805">
        <v>2009</v>
      </c>
      <c r="D805">
        <v>178942</v>
      </c>
      <c r="E805" t="s">
        <v>13</v>
      </c>
      <c r="F805" t="s">
        <v>21</v>
      </c>
      <c r="G805" t="s">
        <v>26</v>
      </c>
      <c r="H805">
        <v>2972</v>
      </c>
      <c r="I805" t="s">
        <v>2282</v>
      </c>
      <c r="J805" t="s">
        <v>2283</v>
      </c>
      <c r="K805">
        <v>2</v>
      </c>
      <c r="L805" t="s">
        <v>2284</v>
      </c>
      <c r="M805" s="1" t="str">
        <f>TEXT(DATE(tbl_data[[#This Row],[Model_Year]],1,1),"yyyy")</f>
        <v>2009</v>
      </c>
      <c r="N805" s="1" t="str">
        <f>IF(tbl_data[[#This Row],[Kilometers_Driven]]&lt;50000,"&lt;50k",
IF(tbl_data[[#This Row],[Kilometers_Driven]]&lt;100000,"50k-100k",
IF(tbl_data[[#This Row],[Kilometers_Driven]]&lt;150000,"100k-150k","150k+")))</f>
        <v>150k+</v>
      </c>
      <c r="O805" s="1" t="str">
        <f>IF(tbl_data[[#This Row],[Price_USD]]&gt;=87089,"High",
IF(tbl_data[[#This Row],[Price_USD]]&gt;=56807,"Mid","Low"))</f>
        <v>High</v>
      </c>
      <c r="P805" s="1" t="str">
        <f>IF(tbl_data[[#This Row],[Transmission]]="Automatic","Auto","Manual")</f>
        <v>Auto</v>
      </c>
      <c r="Q805" s="1" t="str">
        <f>IFERROR(IF(VALUE(tbl_data[[#This Row],[Engine_CC]])=0,"",VALUE(tbl_data[[#This Row],[Price_USD]])/VALUE(tbl_data[[#This Row],[Engine_CC]])),"")</f>
        <v/>
      </c>
      <c r="R805" s="1" t="str">
        <f>TRIM(tbl_data[[#This Row],[Brand]])</f>
        <v>Volkswagen</v>
      </c>
      <c r="S805" s="1">
        <f>_xlfn.NUMBERVALUE(tbl_data[[#This Row],[Price_USD]],".",",")</f>
        <v>116750.88</v>
      </c>
    </row>
    <row r="806" spans="1:19" x14ac:dyDescent="0.3">
      <c r="A806">
        <v>805</v>
      </c>
      <c r="B806" t="s">
        <v>102</v>
      </c>
      <c r="C806">
        <v>2019</v>
      </c>
      <c r="D806">
        <v>57756</v>
      </c>
      <c r="E806" t="s">
        <v>31</v>
      </c>
      <c r="F806" t="s">
        <v>14</v>
      </c>
      <c r="G806" t="s">
        <v>26</v>
      </c>
      <c r="H806">
        <v>3953</v>
      </c>
      <c r="I806" t="s">
        <v>2285</v>
      </c>
      <c r="J806" t="s">
        <v>2286</v>
      </c>
      <c r="K806">
        <v>6</v>
      </c>
      <c r="L806" t="s">
        <v>2287</v>
      </c>
      <c r="M806" s="1" t="str">
        <f>TEXT(DATE(tbl_data[[#This Row],[Model_Year]],1,1),"yyyy")</f>
        <v>2019</v>
      </c>
      <c r="N806" s="1" t="str">
        <f>IF(tbl_data[[#This Row],[Kilometers_Driven]]&lt;50000,"&lt;50k",
IF(tbl_data[[#This Row],[Kilometers_Driven]]&lt;100000,"50k-100k",
IF(tbl_data[[#This Row],[Kilometers_Driven]]&lt;150000,"100k-150k","150k+")))</f>
        <v>50k-100k</v>
      </c>
      <c r="O806" s="1" t="str">
        <f>IF(tbl_data[[#This Row],[Price_USD]]&gt;=87089,"High",
IF(tbl_data[[#This Row],[Price_USD]]&gt;=56807,"Mid","Low"))</f>
        <v>High</v>
      </c>
      <c r="P806" s="1" t="str">
        <f>IF(tbl_data[[#This Row],[Transmission]]="Automatic","Auto","Manual")</f>
        <v>Manual</v>
      </c>
      <c r="Q806" s="1" t="str">
        <f>IFERROR(IF(VALUE(tbl_data[[#This Row],[Engine_CC]])=0,"",VALUE(tbl_data[[#This Row],[Price_USD]])/VALUE(tbl_data[[#This Row],[Engine_CC]])),"")</f>
        <v/>
      </c>
      <c r="R806" s="1" t="str">
        <f>TRIM(tbl_data[[#This Row],[Brand]])</f>
        <v>Nissan</v>
      </c>
      <c r="S806" s="1">
        <f>_xlfn.NUMBERVALUE(tbl_data[[#This Row],[Price_USD]],".",",")</f>
        <v>20943.68</v>
      </c>
    </row>
    <row r="807" spans="1:19" x14ac:dyDescent="0.3">
      <c r="A807">
        <v>806</v>
      </c>
      <c r="B807" t="s">
        <v>92</v>
      </c>
      <c r="C807">
        <v>2019</v>
      </c>
      <c r="D807">
        <v>120357</v>
      </c>
      <c r="E807" t="s">
        <v>31</v>
      </c>
      <c r="F807" t="s">
        <v>14</v>
      </c>
      <c r="G807" t="s">
        <v>32</v>
      </c>
      <c r="H807">
        <v>2506</v>
      </c>
      <c r="I807" t="s">
        <v>2288</v>
      </c>
      <c r="J807" t="s">
        <v>1800</v>
      </c>
      <c r="K807">
        <v>6</v>
      </c>
      <c r="L807" t="s">
        <v>2289</v>
      </c>
      <c r="M807" s="1" t="str">
        <f>TEXT(DATE(tbl_data[[#This Row],[Model_Year]],1,1),"yyyy")</f>
        <v>2019</v>
      </c>
      <c r="N807" s="1" t="str">
        <f>IF(tbl_data[[#This Row],[Kilometers_Driven]]&lt;50000,"&lt;50k",
IF(tbl_data[[#This Row],[Kilometers_Driven]]&lt;100000,"50k-100k",
IF(tbl_data[[#This Row],[Kilometers_Driven]]&lt;150000,"100k-150k","150k+")))</f>
        <v>100k-150k</v>
      </c>
      <c r="O807" s="1" t="str">
        <f>IF(tbl_data[[#This Row],[Price_USD]]&gt;=87089,"High",
IF(tbl_data[[#This Row],[Price_USD]]&gt;=56807,"Mid","Low"))</f>
        <v>High</v>
      </c>
      <c r="P807" s="1" t="str">
        <f>IF(tbl_data[[#This Row],[Transmission]]="Automatic","Auto","Manual")</f>
        <v>Manual</v>
      </c>
      <c r="Q807" s="1" t="str">
        <f>IFERROR(IF(VALUE(tbl_data[[#This Row],[Engine_CC]])=0,"",VALUE(tbl_data[[#This Row],[Price_USD]])/VALUE(tbl_data[[#This Row],[Engine_CC]])),"")</f>
        <v/>
      </c>
      <c r="R807" s="1" t="str">
        <f>TRIM(tbl_data[[#This Row],[Brand]])</f>
        <v>Toyota</v>
      </c>
      <c r="S807" s="1">
        <f>_xlfn.NUMBERVALUE(tbl_data[[#This Row],[Price_USD]],".",",")</f>
        <v>88799.37</v>
      </c>
    </row>
    <row r="808" spans="1:19" x14ac:dyDescent="0.3">
      <c r="A808">
        <v>807</v>
      </c>
      <c r="B808" t="s">
        <v>19</v>
      </c>
      <c r="C808">
        <v>2006</v>
      </c>
      <c r="D808">
        <v>124052</v>
      </c>
      <c r="E808" t="s">
        <v>20</v>
      </c>
      <c r="F808" t="s">
        <v>14</v>
      </c>
      <c r="G808" t="s">
        <v>15</v>
      </c>
      <c r="H808">
        <v>2906</v>
      </c>
      <c r="I808" t="s">
        <v>2290</v>
      </c>
      <c r="J808" t="s">
        <v>1366</v>
      </c>
      <c r="K808">
        <v>5</v>
      </c>
      <c r="L808" t="s">
        <v>2291</v>
      </c>
      <c r="M808" s="1" t="str">
        <f>TEXT(DATE(tbl_data[[#This Row],[Model_Year]],1,1),"yyyy")</f>
        <v>2006</v>
      </c>
      <c r="N808" s="1" t="str">
        <f>IF(tbl_data[[#This Row],[Kilometers_Driven]]&lt;50000,"&lt;50k",
IF(tbl_data[[#This Row],[Kilometers_Driven]]&lt;100000,"50k-100k",
IF(tbl_data[[#This Row],[Kilometers_Driven]]&lt;150000,"100k-150k","150k+")))</f>
        <v>100k-150k</v>
      </c>
      <c r="O808" s="1" t="str">
        <f>IF(tbl_data[[#This Row],[Price_USD]]&gt;=87089,"High",
IF(tbl_data[[#This Row],[Price_USD]]&gt;=56807,"Mid","Low"))</f>
        <v>High</v>
      </c>
      <c r="P808" s="1" t="str">
        <f>IF(tbl_data[[#This Row],[Transmission]]="Automatic","Auto","Manual")</f>
        <v>Manual</v>
      </c>
      <c r="Q808" s="1" t="str">
        <f>IFERROR(IF(VALUE(tbl_data[[#This Row],[Engine_CC]])=0,"",VALUE(tbl_data[[#This Row],[Price_USD]])/VALUE(tbl_data[[#This Row],[Engine_CC]])),"")</f>
        <v/>
      </c>
      <c r="R808" s="1" t="str">
        <f>TRIM(tbl_data[[#This Row],[Brand]])</f>
        <v>BMW</v>
      </c>
      <c r="S808" s="1">
        <f>_xlfn.NUMBERVALUE(tbl_data[[#This Row],[Price_USD]],".",",")</f>
        <v>3048</v>
      </c>
    </row>
    <row r="809" spans="1:19" x14ac:dyDescent="0.3">
      <c r="A809">
        <v>808</v>
      </c>
      <c r="B809" t="s">
        <v>102</v>
      </c>
      <c r="C809">
        <v>2005</v>
      </c>
      <c r="D809">
        <v>61481</v>
      </c>
      <c r="E809" t="s">
        <v>44</v>
      </c>
      <c r="F809" t="s">
        <v>21</v>
      </c>
      <c r="G809" t="s">
        <v>26</v>
      </c>
      <c r="H809">
        <v>2367</v>
      </c>
      <c r="I809" t="s">
        <v>2292</v>
      </c>
      <c r="J809" t="s">
        <v>407</v>
      </c>
      <c r="K809">
        <v>5</v>
      </c>
      <c r="L809" t="s">
        <v>2293</v>
      </c>
      <c r="M809" s="1" t="str">
        <f>TEXT(DATE(tbl_data[[#This Row],[Model_Year]],1,1),"yyyy")</f>
        <v>2005</v>
      </c>
      <c r="N809" s="1" t="str">
        <f>IF(tbl_data[[#This Row],[Kilometers_Driven]]&lt;50000,"&lt;50k",
IF(tbl_data[[#This Row],[Kilometers_Driven]]&lt;100000,"50k-100k",
IF(tbl_data[[#This Row],[Kilometers_Driven]]&lt;150000,"100k-150k","150k+")))</f>
        <v>50k-100k</v>
      </c>
      <c r="O809" s="1" t="str">
        <f>IF(tbl_data[[#This Row],[Price_USD]]&gt;=87089,"High",
IF(tbl_data[[#This Row],[Price_USD]]&gt;=56807,"Mid","Low"))</f>
        <v>High</v>
      </c>
      <c r="P809" s="1" t="str">
        <f>IF(tbl_data[[#This Row],[Transmission]]="Automatic","Auto","Manual")</f>
        <v>Auto</v>
      </c>
      <c r="Q809" s="1" t="str">
        <f>IFERROR(IF(VALUE(tbl_data[[#This Row],[Engine_CC]])=0,"",VALUE(tbl_data[[#This Row],[Price_USD]])/VALUE(tbl_data[[#This Row],[Engine_CC]])),"")</f>
        <v/>
      </c>
      <c r="R809" s="1" t="str">
        <f>TRIM(tbl_data[[#This Row],[Brand]])</f>
        <v>Nissan</v>
      </c>
      <c r="S809" s="1">
        <f>_xlfn.NUMBERVALUE(tbl_data[[#This Row],[Price_USD]],".",",")</f>
        <v>72753.37</v>
      </c>
    </row>
    <row r="810" spans="1:19" x14ac:dyDescent="0.3">
      <c r="A810">
        <v>809</v>
      </c>
      <c r="B810" t="s">
        <v>19</v>
      </c>
      <c r="C810">
        <v>2015</v>
      </c>
      <c r="D810">
        <v>6283</v>
      </c>
      <c r="E810" t="s">
        <v>13</v>
      </c>
      <c r="F810" t="s">
        <v>21</v>
      </c>
      <c r="G810" t="s">
        <v>32</v>
      </c>
      <c r="H810">
        <v>3008</v>
      </c>
      <c r="I810" t="s">
        <v>775</v>
      </c>
      <c r="J810" t="s">
        <v>2294</v>
      </c>
      <c r="K810">
        <v>4</v>
      </c>
      <c r="L810" t="s">
        <v>2295</v>
      </c>
      <c r="M810" s="1" t="str">
        <f>TEXT(DATE(tbl_data[[#This Row],[Model_Year]],1,1),"yyyy")</f>
        <v>2015</v>
      </c>
      <c r="N810" s="1" t="str">
        <f>IF(tbl_data[[#This Row],[Kilometers_Driven]]&lt;50000,"&lt;50k",
IF(tbl_data[[#This Row],[Kilometers_Driven]]&lt;100000,"50k-100k",
IF(tbl_data[[#This Row],[Kilometers_Driven]]&lt;150000,"100k-150k","150k+")))</f>
        <v>&lt;50k</v>
      </c>
      <c r="O810" s="1" t="str">
        <f>IF(tbl_data[[#This Row],[Price_USD]]&gt;=87089,"High",
IF(tbl_data[[#This Row],[Price_USD]]&gt;=56807,"Mid","Low"))</f>
        <v>High</v>
      </c>
      <c r="P810" s="1" t="str">
        <f>IF(tbl_data[[#This Row],[Transmission]]="Automatic","Auto","Manual")</f>
        <v>Auto</v>
      </c>
      <c r="Q810" s="1" t="str">
        <f>IFERROR(IF(VALUE(tbl_data[[#This Row],[Engine_CC]])=0,"",VALUE(tbl_data[[#This Row],[Price_USD]])/VALUE(tbl_data[[#This Row],[Engine_CC]])),"")</f>
        <v/>
      </c>
      <c r="R810" s="1" t="str">
        <f>TRIM(tbl_data[[#This Row],[Brand]])</f>
        <v>BMW</v>
      </c>
      <c r="S810" s="1">
        <f>_xlfn.NUMBERVALUE(tbl_data[[#This Row],[Price_USD]],".",",")</f>
        <v>110165.33</v>
      </c>
    </row>
    <row r="811" spans="1:19" x14ac:dyDescent="0.3">
      <c r="A811">
        <v>810</v>
      </c>
      <c r="B811" t="s">
        <v>39</v>
      </c>
      <c r="C811">
        <v>2014</v>
      </c>
      <c r="D811">
        <v>38691</v>
      </c>
      <c r="E811" t="s">
        <v>20</v>
      </c>
      <c r="F811" t="s">
        <v>21</v>
      </c>
      <c r="G811" t="s">
        <v>26</v>
      </c>
      <c r="H811">
        <v>3131</v>
      </c>
      <c r="I811" t="s">
        <v>2296</v>
      </c>
      <c r="J811" t="s">
        <v>339</v>
      </c>
      <c r="K811">
        <v>4</v>
      </c>
      <c r="L811" t="s">
        <v>2297</v>
      </c>
      <c r="M811" s="1" t="str">
        <f>TEXT(DATE(tbl_data[[#This Row],[Model_Year]],1,1),"yyyy")</f>
        <v>2014</v>
      </c>
      <c r="N811" s="1" t="str">
        <f>IF(tbl_data[[#This Row],[Kilometers_Driven]]&lt;50000,"&lt;50k",
IF(tbl_data[[#This Row],[Kilometers_Driven]]&lt;100000,"50k-100k",
IF(tbl_data[[#This Row],[Kilometers_Driven]]&lt;150000,"100k-150k","150k+")))</f>
        <v>&lt;50k</v>
      </c>
      <c r="O811" s="1" t="str">
        <f>IF(tbl_data[[#This Row],[Price_USD]]&gt;=87089,"High",
IF(tbl_data[[#This Row],[Price_USD]]&gt;=56807,"Mid","Low"))</f>
        <v>High</v>
      </c>
      <c r="P811" s="1" t="str">
        <f>IF(tbl_data[[#This Row],[Transmission]]="Automatic","Auto","Manual")</f>
        <v>Auto</v>
      </c>
      <c r="Q811" s="1" t="str">
        <f>IFERROR(IF(VALUE(tbl_data[[#This Row],[Engine_CC]])=0,"",VALUE(tbl_data[[#This Row],[Price_USD]])/VALUE(tbl_data[[#This Row],[Engine_CC]])),"")</f>
        <v/>
      </c>
      <c r="R811" s="1" t="str">
        <f>TRIM(tbl_data[[#This Row],[Brand]])</f>
        <v>Volkswagen</v>
      </c>
      <c r="S811" s="1">
        <f>_xlfn.NUMBERVALUE(tbl_data[[#This Row],[Price_USD]],".",",")</f>
        <v>36688.29</v>
      </c>
    </row>
    <row r="812" spans="1:19" x14ac:dyDescent="0.3">
      <c r="A812">
        <v>811</v>
      </c>
      <c r="B812" t="s">
        <v>43</v>
      </c>
      <c r="C812">
        <v>2022</v>
      </c>
      <c r="D812">
        <v>137197</v>
      </c>
      <c r="E812" t="s">
        <v>31</v>
      </c>
      <c r="F812" t="s">
        <v>14</v>
      </c>
      <c r="G812" t="s">
        <v>26</v>
      </c>
      <c r="H812">
        <v>2953</v>
      </c>
      <c r="I812" t="s">
        <v>2298</v>
      </c>
      <c r="J812" t="s">
        <v>891</v>
      </c>
      <c r="K812">
        <v>6</v>
      </c>
      <c r="L812" t="s">
        <v>2299</v>
      </c>
      <c r="M812" s="1" t="str">
        <f>TEXT(DATE(tbl_data[[#This Row],[Model_Year]],1,1),"yyyy")</f>
        <v>2022</v>
      </c>
      <c r="N812" s="1" t="str">
        <f>IF(tbl_data[[#This Row],[Kilometers_Driven]]&lt;50000,"&lt;50k",
IF(tbl_data[[#This Row],[Kilometers_Driven]]&lt;100000,"50k-100k",
IF(tbl_data[[#This Row],[Kilometers_Driven]]&lt;150000,"100k-150k","150k+")))</f>
        <v>100k-150k</v>
      </c>
      <c r="O812" s="1" t="str">
        <f>IF(tbl_data[[#This Row],[Price_USD]]&gt;=87089,"High",
IF(tbl_data[[#This Row],[Price_USD]]&gt;=56807,"Mid","Low"))</f>
        <v>High</v>
      </c>
      <c r="P812" s="1" t="str">
        <f>IF(tbl_data[[#This Row],[Transmission]]="Automatic","Auto","Manual")</f>
        <v>Manual</v>
      </c>
      <c r="Q812" s="1" t="str">
        <f>IFERROR(IF(VALUE(tbl_data[[#This Row],[Engine_CC]])=0,"",VALUE(tbl_data[[#This Row],[Price_USD]])/VALUE(tbl_data[[#This Row],[Engine_CC]])),"")</f>
        <v/>
      </c>
      <c r="R812" s="1" t="str">
        <f>TRIM(tbl_data[[#This Row],[Brand]])</f>
        <v>Ford</v>
      </c>
      <c r="S812" s="1">
        <f>_xlfn.NUMBERVALUE(tbl_data[[#This Row],[Price_USD]],".",",")</f>
        <v>24706.54</v>
      </c>
    </row>
    <row r="813" spans="1:19" x14ac:dyDescent="0.3">
      <c r="A813">
        <v>812</v>
      </c>
      <c r="B813" t="s">
        <v>102</v>
      </c>
      <c r="C813">
        <v>2022</v>
      </c>
      <c r="D813">
        <v>31170</v>
      </c>
      <c r="E813" t="s">
        <v>31</v>
      </c>
      <c r="F813" t="s">
        <v>21</v>
      </c>
      <c r="G813" t="s">
        <v>15</v>
      </c>
      <c r="H813">
        <v>1928</v>
      </c>
      <c r="I813" t="s">
        <v>2300</v>
      </c>
      <c r="J813" t="s">
        <v>339</v>
      </c>
      <c r="K813">
        <v>2</v>
      </c>
      <c r="L813" t="s">
        <v>2301</v>
      </c>
      <c r="M813" s="1" t="str">
        <f>TEXT(DATE(tbl_data[[#This Row],[Model_Year]],1,1),"yyyy")</f>
        <v>2022</v>
      </c>
      <c r="N813" s="1" t="str">
        <f>IF(tbl_data[[#This Row],[Kilometers_Driven]]&lt;50000,"&lt;50k",
IF(tbl_data[[#This Row],[Kilometers_Driven]]&lt;100000,"50k-100k",
IF(tbl_data[[#This Row],[Kilometers_Driven]]&lt;150000,"100k-150k","150k+")))</f>
        <v>&lt;50k</v>
      </c>
      <c r="O813" s="1" t="str">
        <f>IF(tbl_data[[#This Row],[Price_USD]]&gt;=87089,"High",
IF(tbl_data[[#This Row],[Price_USD]]&gt;=56807,"Mid","Low"))</f>
        <v>High</v>
      </c>
      <c r="P813" s="1" t="str">
        <f>IF(tbl_data[[#This Row],[Transmission]]="Automatic","Auto","Manual")</f>
        <v>Auto</v>
      </c>
      <c r="Q813" s="1" t="str">
        <f>IFERROR(IF(VALUE(tbl_data[[#This Row],[Engine_CC]])=0,"",VALUE(tbl_data[[#This Row],[Price_USD]])/VALUE(tbl_data[[#This Row],[Engine_CC]])),"")</f>
        <v/>
      </c>
      <c r="R813" s="1" t="str">
        <f>TRIM(tbl_data[[#This Row],[Brand]])</f>
        <v>Nissan</v>
      </c>
      <c r="S813" s="1">
        <f>_xlfn.NUMBERVALUE(tbl_data[[#This Row],[Price_USD]],".",",")</f>
        <v>79246.539999999994</v>
      </c>
    </row>
    <row r="814" spans="1:19" x14ac:dyDescent="0.3">
      <c r="A814">
        <v>813</v>
      </c>
      <c r="B814" t="s">
        <v>76</v>
      </c>
      <c r="C814">
        <v>2021</v>
      </c>
      <c r="D814">
        <v>13438</v>
      </c>
      <c r="E814" t="s">
        <v>13</v>
      </c>
      <c r="F814" t="s">
        <v>21</v>
      </c>
      <c r="G814" t="s">
        <v>15</v>
      </c>
      <c r="H814">
        <v>4310</v>
      </c>
      <c r="I814" t="s">
        <v>2302</v>
      </c>
      <c r="J814" t="s">
        <v>2303</v>
      </c>
      <c r="K814">
        <v>7</v>
      </c>
      <c r="L814" t="s">
        <v>2304</v>
      </c>
      <c r="M814" s="1" t="str">
        <f>TEXT(DATE(tbl_data[[#This Row],[Model_Year]],1,1),"yyyy")</f>
        <v>2021</v>
      </c>
      <c r="N814" s="1" t="str">
        <f>IF(tbl_data[[#This Row],[Kilometers_Driven]]&lt;50000,"&lt;50k",
IF(tbl_data[[#This Row],[Kilometers_Driven]]&lt;100000,"50k-100k",
IF(tbl_data[[#This Row],[Kilometers_Driven]]&lt;150000,"100k-150k","150k+")))</f>
        <v>&lt;50k</v>
      </c>
      <c r="O814" s="1" t="str">
        <f>IF(tbl_data[[#This Row],[Price_USD]]&gt;=87089,"High",
IF(tbl_data[[#This Row],[Price_USD]]&gt;=56807,"Mid","Low"))</f>
        <v>High</v>
      </c>
      <c r="P814" s="1" t="str">
        <f>IF(tbl_data[[#This Row],[Transmission]]="Automatic","Auto","Manual")</f>
        <v>Auto</v>
      </c>
      <c r="Q814" s="1" t="str">
        <f>IFERROR(IF(VALUE(tbl_data[[#This Row],[Engine_CC]])=0,"",VALUE(tbl_data[[#This Row],[Price_USD]])/VALUE(tbl_data[[#This Row],[Engine_CC]])),"")</f>
        <v/>
      </c>
      <c r="R814" s="1" t="str">
        <f>TRIM(tbl_data[[#This Row],[Brand]])</f>
        <v>Honda</v>
      </c>
      <c r="S814" s="1">
        <f>_xlfn.NUMBERVALUE(tbl_data[[#This Row],[Price_USD]],".",",")</f>
        <v>86374.36</v>
      </c>
    </row>
    <row r="815" spans="1:19" x14ac:dyDescent="0.3">
      <c r="A815">
        <v>814</v>
      </c>
      <c r="B815" t="s">
        <v>19</v>
      </c>
      <c r="C815">
        <v>2012</v>
      </c>
      <c r="D815">
        <v>25095</v>
      </c>
      <c r="E815" t="s">
        <v>44</v>
      </c>
      <c r="F815" t="s">
        <v>14</v>
      </c>
      <c r="G815" t="s">
        <v>26</v>
      </c>
      <c r="H815">
        <v>4453</v>
      </c>
      <c r="I815" t="s">
        <v>2305</v>
      </c>
      <c r="J815" t="s">
        <v>1979</v>
      </c>
      <c r="K815">
        <v>7</v>
      </c>
      <c r="L815" t="s">
        <v>2306</v>
      </c>
      <c r="M815" s="1" t="str">
        <f>TEXT(DATE(tbl_data[[#This Row],[Model_Year]],1,1),"yyyy")</f>
        <v>2012</v>
      </c>
      <c r="N815" s="1" t="str">
        <f>IF(tbl_data[[#This Row],[Kilometers_Driven]]&lt;50000,"&lt;50k",
IF(tbl_data[[#This Row],[Kilometers_Driven]]&lt;100000,"50k-100k",
IF(tbl_data[[#This Row],[Kilometers_Driven]]&lt;150000,"100k-150k","150k+")))</f>
        <v>&lt;50k</v>
      </c>
      <c r="O815" s="1" t="str">
        <f>IF(tbl_data[[#This Row],[Price_USD]]&gt;=87089,"High",
IF(tbl_data[[#This Row],[Price_USD]]&gt;=56807,"Mid","Low"))</f>
        <v>High</v>
      </c>
      <c r="P815" s="1" t="str">
        <f>IF(tbl_data[[#This Row],[Transmission]]="Automatic","Auto","Manual")</f>
        <v>Manual</v>
      </c>
      <c r="Q815" s="1" t="str">
        <f>IFERROR(IF(VALUE(tbl_data[[#This Row],[Engine_CC]])=0,"",VALUE(tbl_data[[#This Row],[Price_USD]])/VALUE(tbl_data[[#This Row],[Engine_CC]])),"")</f>
        <v/>
      </c>
      <c r="R815" s="1" t="str">
        <f>TRIM(tbl_data[[#This Row],[Brand]])</f>
        <v>BMW</v>
      </c>
      <c r="S815" s="1">
        <f>_xlfn.NUMBERVALUE(tbl_data[[#This Row],[Price_USD]],".",",")</f>
        <v>83499.570000000007</v>
      </c>
    </row>
    <row r="816" spans="1:19" x14ac:dyDescent="0.3">
      <c r="A816">
        <v>815</v>
      </c>
      <c r="B816" t="s">
        <v>69</v>
      </c>
      <c r="C816">
        <v>2019</v>
      </c>
      <c r="D816">
        <v>152226</v>
      </c>
      <c r="E816" t="s">
        <v>13</v>
      </c>
      <c r="F816" t="s">
        <v>21</v>
      </c>
      <c r="G816" t="s">
        <v>32</v>
      </c>
      <c r="H816">
        <v>3165</v>
      </c>
      <c r="I816" t="s">
        <v>2307</v>
      </c>
      <c r="J816" t="s">
        <v>259</v>
      </c>
      <c r="K816">
        <v>2</v>
      </c>
      <c r="L816" t="s">
        <v>2308</v>
      </c>
      <c r="M816" s="1" t="str">
        <f>TEXT(DATE(tbl_data[[#This Row],[Model_Year]],1,1),"yyyy")</f>
        <v>2019</v>
      </c>
      <c r="N816" s="1" t="str">
        <f>IF(tbl_data[[#This Row],[Kilometers_Driven]]&lt;50000,"&lt;50k",
IF(tbl_data[[#This Row],[Kilometers_Driven]]&lt;100000,"50k-100k",
IF(tbl_data[[#This Row],[Kilometers_Driven]]&lt;150000,"100k-150k","150k+")))</f>
        <v>150k+</v>
      </c>
      <c r="O816" s="1" t="str">
        <f>IF(tbl_data[[#This Row],[Price_USD]]&gt;=87089,"High",
IF(tbl_data[[#This Row],[Price_USD]]&gt;=56807,"Mid","Low"))</f>
        <v>High</v>
      </c>
      <c r="P816" s="1" t="str">
        <f>IF(tbl_data[[#This Row],[Transmission]]="Automatic","Auto","Manual")</f>
        <v>Auto</v>
      </c>
      <c r="Q816" s="1" t="str">
        <f>IFERROR(IF(VALUE(tbl_data[[#This Row],[Engine_CC]])=0,"",VALUE(tbl_data[[#This Row],[Price_USD]])/VALUE(tbl_data[[#This Row],[Engine_CC]])),"")</f>
        <v/>
      </c>
      <c r="R816" s="1" t="str">
        <f>TRIM(tbl_data[[#This Row],[Brand]])</f>
        <v>Hyundai</v>
      </c>
      <c r="S816" s="1">
        <f>_xlfn.NUMBERVALUE(tbl_data[[#This Row],[Price_USD]],".",",")</f>
        <v>40360.07</v>
      </c>
    </row>
    <row r="817" spans="1:19" x14ac:dyDescent="0.3">
      <c r="A817">
        <v>816</v>
      </c>
      <c r="B817" t="s">
        <v>76</v>
      </c>
      <c r="C817">
        <v>2012</v>
      </c>
      <c r="D817">
        <v>144076</v>
      </c>
      <c r="E817" t="s">
        <v>20</v>
      </c>
      <c r="F817" t="s">
        <v>14</v>
      </c>
      <c r="G817" t="s">
        <v>15</v>
      </c>
      <c r="H817">
        <v>3721</v>
      </c>
      <c r="I817" t="s">
        <v>2309</v>
      </c>
      <c r="J817" t="s">
        <v>2310</v>
      </c>
      <c r="K817">
        <v>2</v>
      </c>
      <c r="L817" t="s">
        <v>2311</v>
      </c>
      <c r="M817" s="1" t="str">
        <f>TEXT(DATE(tbl_data[[#This Row],[Model_Year]],1,1),"yyyy")</f>
        <v>2012</v>
      </c>
      <c r="N817" s="1" t="str">
        <f>IF(tbl_data[[#This Row],[Kilometers_Driven]]&lt;50000,"&lt;50k",
IF(tbl_data[[#This Row],[Kilometers_Driven]]&lt;100000,"50k-100k",
IF(tbl_data[[#This Row],[Kilometers_Driven]]&lt;150000,"100k-150k","150k+")))</f>
        <v>100k-150k</v>
      </c>
      <c r="O817" s="1" t="str">
        <f>IF(tbl_data[[#This Row],[Price_USD]]&gt;=87089,"High",
IF(tbl_data[[#This Row],[Price_USD]]&gt;=56807,"Mid","Low"))</f>
        <v>High</v>
      </c>
      <c r="P817" s="1" t="str">
        <f>IF(tbl_data[[#This Row],[Transmission]]="Automatic","Auto","Manual")</f>
        <v>Manual</v>
      </c>
      <c r="Q817" s="1" t="str">
        <f>IFERROR(IF(VALUE(tbl_data[[#This Row],[Engine_CC]])=0,"",VALUE(tbl_data[[#This Row],[Price_USD]])/VALUE(tbl_data[[#This Row],[Engine_CC]])),"")</f>
        <v/>
      </c>
      <c r="R817" s="1" t="str">
        <f>TRIM(tbl_data[[#This Row],[Brand]])</f>
        <v>Honda</v>
      </c>
      <c r="S817" s="1">
        <f>_xlfn.NUMBERVALUE(tbl_data[[#This Row],[Price_USD]],".",",")</f>
        <v>32507.68</v>
      </c>
    </row>
    <row r="818" spans="1:19" x14ac:dyDescent="0.3">
      <c r="A818">
        <v>817</v>
      </c>
      <c r="B818" t="s">
        <v>25</v>
      </c>
      <c r="C818">
        <v>2021</v>
      </c>
      <c r="D818">
        <v>14752</v>
      </c>
      <c r="E818" t="s">
        <v>13</v>
      </c>
      <c r="F818" t="s">
        <v>14</v>
      </c>
      <c r="G818" t="s">
        <v>26</v>
      </c>
      <c r="H818">
        <v>1879</v>
      </c>
      <c r="I818" t="s">
        <v>2312</v>
      </c>
      <c r="J818" t="s">
        <v>1197</v>
      </c>
      <c r="K818">
        <v>5</v>
      </c>
      <c r="L818" t="s">
        <v>2313</v>
      </c>
      <c r="M818" s="1" t="str">
        <f>TEXT(DATE(tbl_data[[#This Row],[Model_Year]],1,1),"yyyy")</f>
        <v>2021</v>
      </c>
      <c r="N818" s="1" t="str">
        <f>IF(tbl_data[[#This Row],[Kilometers_Driven]]&lt;50000,"&lt;50k",
IF(tbl_data[[#This Row],[Kilometers_Driven]]&lt;100000,"50k-100k",
IF(tbl_data[[#This Row],[Kilometers_Driven]]&lt;150000,"100k-150k","150k+")))</f>
        <v>&lt;50k</v>
      </c>
      <c r="O818" s="1" t="str">
        <f>IF(tbl_data[[#This Row],[Price_USD]]&gt;=87089,"High",
IF(tbl_data[[#This Row],[Price_USD]]&gt;=56807,"Mid","Low"))</f>
        <v>High</v>
      </c>
      <c r="P818" s="1" t="str">
        <f>IF(tbl_data[[#This Row],[Transmission]]="Automatic","Auto","Manual")</f>
        <v>Manual</v>
      </c>
      <c r="Q818" s="1" t="str">
        <f>IFERROR(IF(VALUE(tbl_data[[#This Row],[Engine_CC]])=0,"",VALUE(tbl_data[[#This Row],[Price_USD]])/VALUE(tbl_data[[#This Row],[Engine_CC]])),"")</f>
        <v/>
      </c>
      <c r="R818" s="1" t="str">
        <f>TRIM(tbl_data[[#This Row],[Brand]])</f>
        <v>Kia</v>
      </c>
      <c r="S818" s="1">
        <f>_xlfn.NUMBERVALUE(tbl_data[[#This Row],[Price_USD]],".",",")</f>
        <v>114842.5</v>
      </c>
    </row>
    <row r="819" spans="1:19" x14ac:dyDescent="0.3">
      <c r="A819">
        <v>818</v>
      </c>
      <c r="B819" t="s">
        <v>25</v>
      </c>
      <c r="C819">
        <v>2016</v>
      </c>
      <c r="D819">
        <v>60426</v>
      </c>
      <c r="E819" t="s">
        <v>31</v>
      </c>
      <c r="F819" t="s">
        <v>21</v>
      </c>
      <c r="G819" t="s">
        <v>15</v>
      </c>
      <c r="H819">
        <v>4311</v>
      </c>
      <c r="I819" t="s">
        <v>2314</v>
      </c>
      <c r="J819" t="s">
        <v>2315</v>
      </c>
      <c r="K819">
        <v>7</v>
      </c>
      <c r="L819" t="s">
        <v>2316</v>
      </c>
      <c r="M819" s="1" t="str">
        <f>TEXT(DATE(tbl_data[[#This Row],[Model_Year]],1,1),"yyyy")</f>
        <v>2016</v>
      </c>
      <c r="N819" s="1" t="str">
        <f>IF(tbl_data[[#This Row],[Kilometers_Driven]]&lt;50000,"&lt;50k",
IF(tbl_data[[#This Row],[Kilometers_Driven]]&lt;100000,"50k-100k",
IF(tbl_data[[#This Row],[Kilometers_Driven]]&lt;150000,"100k-150k","150k+")))</f>
        <v>50k-100k</v>
      </c>
      <c r="O819" s="1" t="str">
        <f>IF(tbl_data[[#This Row],[Price_USD]]&gt;=87089,"High",
IF(tbl_data[[#This Row],[Price_USD]]&gt;=56807,"Mid","Low"))</f>
        <v>High</v>
      </c>
      <c r="P819" s="1" t="str">
        <f>IF(tbl_data[[#This Row],[Transmission]]="Automatic","Auto","Manual")</f>
        <v>Auto</v>
      </c>
      <c r="Q819" s="1" t="str">
        <f>IFERROR(IF(VALUE(tbl_data[[#This Row],[Engine_CC]])=0,"",VALUE(tbl_data[[#This Row],[Price_USD]])/VALUE(tbl_data[[#This Row],[Engine_CC]])),"")</f>
        <v/>
      </c>
      <c r="R819" s="1" t="str">
        <f>TRIM(tbl_data[[#This Row],[Brand]])</f>
        <v>Kia</v>
      </c>
      <c r="S819" s="1">
        <f>_xlfn.NUMBERVALUE(tbl_data[[#This Row],[Price_USD]],".",",")</f>
        <v>111026.04</v>
      </c>
    </row>
    <row r="820" spans="1:19" x14ac:dyDescent="0.3">
      <c r="A820">
        <v>819</v>
      </c>
      <c r="B820" t="s">
        <v>92</v>
      </c>
      <c r="C820">
        <v>2012</v>
      </c>
      <c r="D820">
        <v>31819</v>
      </c>
      <c r="E820" t="s">
        <v>20</v>
      </c>
      <c r="F820" t="s">
        <v>21</v>
      </c>
      <c r="G820" t="s">
        <v>15</v>
      </c>
      <c r="H820">
        <v>3541</v>
      </c>
      <c r="I820" t="s">
        <v>2317</v>
      </c>
      <c r="J820" t="s">
        <v>410</v>
      </c>
      <c r="K820">
        <v>6</v>
      </c>
      <c r="L820" t="s">
        <v>2318</v>
      </c>
      <c r="M820" s="1" t="str">
        <f>TEXT(DATE(tbl_data[[#This Row],[Model_Year]],1,1),"yyyy")</f>
        <v>2012</v>
      </c>
      <c r="N820" s="1" t="str">
        <f>IF(tbl_data[[#This Row],[Kilometers_Driven]]&lt;50000,"&lt;50k",
IF(tbl_data[[#This Row],[Kilometers_Driven]]&lt;100000,"50k-100k",
IF(tbl_data[[#This Row],[Kilometers_Driven]]&lt;150000,"100k-150k","150k+")))</f>
        <v>&lt;50k</v>
      </c>
      <c r="O820" s="1" t="str">
        <f>IF(tbl_data[[#This Row],[Price_USD]]&gt;=87089,"High",
IF(tbl_data[[#This Row],[Price_USD]]&gt;=56807,"Mid","Low"))</f>
        <v>High</v>
      </c>
      <c r="P820" s="1" t="str">
        <f>IF(tbl_data[[#This Row],[Transmission]]="Automatic","Auto","Manual")</f>
        <v>Auto</v>
      </c>
      <c r="Q820" s="1" t="str">
        <f>IFERROR(IF(VALUE(tbl_data[[#This Row],[Engine_CC]])=0,"",VALUE(tbl_data[[#This Row],[Price_USD]])/VALUE(tbl_data[[#This Row],[Engine_CC]])),"")</f>
        <v/>
      </c>
      <c r="R820" s="1" t="str">
        <f>TRIM(tbl_data[[#This Row],[Brand]])</f>
        <v>Toyota</v>
      </c>
      <c r="S820" s="1">
        <f>_xlfn.NUMBERVALUE(tbl_data[[#This Row],[Price_USD]],".",",")</f>
        <v>56506.04</v>
      </c>
    </row>
    <row r="821" spans="1:19" x14ac:dyDescent="0.3">
      <c r="A821">
        <v>820</v>
      </c>
      <c r="B821" t="s">
        <v>43</v>
      </c>
      <c r="C821">
        <v>2018</v>
      </c>
      <c r="D821">
        <v>97051</v>
      </c>
      <c r="E821" t="s">
        <v>31</v>
      </c>
      <c r="F821" t="s">
        <v>21</v>
      </c>
      <c r="G821" t="s">
        <v>15</v>
      </c>
      <c r="H821">
        <v>3820</v>
      </c>
      <c r="I821" t="s">
        <v>2319</v>
      </c>
      <c r="J821" t="s">
        <v>2320</v>
      </c>
      <c r="K821">
        <v>4</v>
      </c>
      <c r="L821" t="s">
        <v>2321</v>
      </c>
      <c r="M821" s="1" t="str">
        <f>TEXT(DATE(tbl_data[[#This Row],[Model_Year]],1,1),"yyyy")</f>
        <v>2018</v>
      </c>
      <c r="N821" s="1" t="str">
        <f>IF(tbl_data[[#This Row],[Kilometers_Driven]]&lt;50000,"&lt;50k",
IF(tbl_data[[#This Row],[Kilometers_Driven]]&lt;100000,"50k-100k",
IF(tbl_data[[#This Row],[Kilometers_Driven]]&lt;150000,"100k-150k","150k+")))</f>
        <v>50k-100k</v>
      </c>
      <c r="O821" s="1" t="str">
        <f>IF(tbl_data[[#This Row],[Price_USD]]&gt;=87089,"High",
IF(tbl_data[[#This Row],[Price_USD]]&gt;=56807,"Mid","Low"))</f>
        <v>High</v>
      </c>
      <c r="P821" s="1" t="str">
        <f>IF(tbl_data[[#This Row],[Transmission]]="Automatic","Auto","Manual")</f>
        <v>Auto</v>
      </c>
      <c r="Q821" s="1" t="str">
        <f>IFERROR(IF(VALUE(tbl_data[[#This Row],[Engine_CC]])=0,"",VALUE(tbl_data[[#This Row],[Price_USD]])/VALUE(tbl_data[[#This Row],[Engine_CC]])),"")</f>
        <v/>
      </c>
      <c r="R821" s="1" t="str">
        <f>TRIM(tbl_data[[#This Row],[Brand]])</f>
        <v>Ford</v>
      </c>
      <c r="S821" s="1">
        <f>_xlfn.NUMBERVALUE(tbl_data[[#This Row],[Price_USD]],".",",")</f>
        <v>102004.68</v>
      </c>
    </row>
    <row r="822" spans="1:19" x14ac:dyDescent="0.3">
      <c r="A822">
        <v>821</v>
      </c>
      <c r="B822" t="s">
        <v>39</v>
      </c>
      <c r="C822">
        <v>2008</v>
      </c>
      <c r="D822">
        <v>160289</v>
      </c>
      <c r="E822" t="s">
        <v>44</v>
      </c>
      <c r="F822" t="s">
        <v>14</v>
      </c>
      <c r="G822" t="s">
        <v>26</v>
      </c>
      <c r="H822">
        <v>1028</v>
      </c>
      <c r="I822" t="s">
        <v>2322</v>
      </c>
      <c r="J822" t="s">
        <v>602</v>
      </c>
      <c r="K822">
        <v>5</v>
      </c>
      <c r="L822" t="s">
        <v>2323</v>
      </c>
      <c r="M822" s="1" t="str">
        <f>TEXT(DATE(tbl_data[[#This Row],[Model_Year]],1,1),"yyyy")</f>
        <v>2008</v>
      </c>
      <c r="N822" s="1" t="str">
        <f>IF(tbl_data[[#This Row],[Kilometers_Driven]]&lt;50000,"&lt;50k",
IF(tbl_data[[#This Row],[Kilometers_Driven]]&lt;100000,"50k-100k",
IF(tbl_data[[#This Row],[Kilometers_Driven]]&lt;150000,"100k-150k","150k+")))</f>
        <v>150k+</v>
      </c>
      <c r="O822" s="1" t="str">
        <f>IF(tbl_data[[#This Row],[Price_USD]]&gt;=87089,"High",
IF(tbl_data[[#This Row],[Price_USD]]&gt;=56807,"Mid","Low"))</f>
        <v>High</v>
      </c>
      <c r="P822" s="1" t="str">
        <f>IF(tbl_data[[#This Row],[Transmission]]="Automatic","Auto","Manual")</f>
        <v>Manual</v>
      </c>
      <c r="Q822" s="1" t="str">
        <f>IFERROR(IF(VALUE(tbl_data[[#This Row],[Engine_CC]])=0,"",VALUE(tbl_data[[#This Row],[Price_USD]])/VALUE(tbl_data[[#This Row],[Engine_CC]])),"")</f>
        <v/>
      </c>
      <c r="R822" s="1" t="str">
        <f>TRIM(tbl_data[[#This Row],[Brand]])</f>
        <v>Volkswagen</v>
      </c>
      <c r="S822" s="1">
        <f>_xlfn.NUMBERVALUE(tbl_data[[#This Row],[Price_USD]],".",",")</f>
        <v>55921.85</v>
      </c>
    </row>
    <row r="823" spans="1:19" x14ac:dyDescent="0.3">
      <c r="A823">
        <v>822</v>
      </c>
      <c r="B823" t="s">
        <v>102</v>
      </c>
      <c r="C823">
        <v>2005</v>
      </c>
      <c r="D823">
        <v>37994</v>
      </c>
      <c r="E823" t="s">
        <v>31</v>
      </c>
      <c r="F823" t="s">
        <v>14</v>
      </c>
      <c r="G823" t="s">
        <v>32</v>
      </c>
      <c r="H823">
        <v>970</v>
      </c>
      <c r="I823" t="s">
        <v>2324</v>
      </c>
      <c r="J823" t="s">
        <v>641</v>
      </c>
      <c r="K823">
        <v>7</v>
      </c>
      <c r="L823" t="s">
        <v>2325</v>
      </c>
      <c r="M823" s="1" t="str">
        <f>TEXT(DATE(tbl_data[[#This Row],[Model_Year]],1,1),"yyyy")</f>
        <v>2005</v>
      </c>
      <c r="N823" s="1" t="str">
        <f>IF(tbl_data[[#This Row],[Kilometers_Driven]]&lt;50000,"&lt;50k",
IF(tbl_data[[#This Row],[Kilometers_Driven]]&lt;100000,"50k-100k",
IF(tbl_data[[#This Row],[Kilometers_Driven]]&lt;150000,"100k-150k","150k+")))</f>
        <v>&lt;50k</v>
      </c>
      <c r="O823" s="1" t="str">
        <f>IF(tbl_data[[#This Row],[Price_USD]]&gt;=87089,"High",
IF(tbl_data[[#This Row],[Price_USD]]&gt;=56807,"Mid","Low"))</f>
        <v>High</v>
      </c>
      <c r="P823" s="1" t="str">
        <f>IF(tbl_data[[#This Row],[Transmission]]="Automatic","Auto","Manual")</f>
        <v>Manual</v>
      </c>
      <c r="Q823" s="1" t="str">
        <f>IFERROR(IF(VALUE(tbl_data[[#This Row],[Engine_CC]])=0,"",VALUE(tbl_data[[#This Row],[Price_USD]])/VALUE(tbl_data[[#This Row],[Engine_CC]])),"")</f>
        <v/>
      </c>
      <c r="R823" s="1" t="str">
        <f>TRIM(tbl_data[[#This Row],[Brand]])</f>
        <v>Nissan</v>
      </c>
      <c r="S823" s="1">
        <f>_xlfn.NUMBERVALUE(tbl_data[[#This Row],[Price_USD]],".",",")</f>
        <v>52653.52</v>
      </c>
    </row>
    <row r="824" spans="1:19" x14ac:dyDescent="0.3">
      <c r="A824">
        <v>823</v>
      </c>
      <c r="B824" t="s">
        <v>30</v>
      </c>
      <c r="C824">
        <v>2005</v>
      </c>
      <c r="D824">
        <v>151108</v>
      </c>
      <c r="E824" t="s">
        <v>31</v>
      </c>
      <c r="F824" t="s">
        <v>14</v>
      </c>
      <c r="G824" t="s">
        <v>32</v>
      </c>
      <c r="H824">
        <v>1094</v>
      </c>
      <c r="I824" t="s">
        <v>2326</v>
      </c>
      <c r="J824" t="s">
        <v>2327</v>
      </c>
      <c r="K824">
        <v>2</v>
      </c>
      <c r="L824" t="s">
        <v>2328</v>
      </c>
      <c r="M824" s="1" t="str">
        <f>TEXT(DATE(tbl_data[[#This Row],[Model_Year]],1,1),"yyyy")</f>
        <v>2005</v>
      </c>
      <c r="N824" s="1" t="str">
        <f>IF(tbl_data[[#This Row],[Kilometers_Driven]]&lt;50000,"&lt;50k",
IF(tbl_data[[#This Row],[Kilometers_Driven]]&lt;100000,"50k-100k",
IF(tbl_data[[#This Row],[Kilometers_Driven]]&lt;150000,"100k-150k","150k+")))</f>
        <v>150k+</v>
      </c>
      <c r="O824" s="1" t="str">
        <f>IF(tbl_data[[#This Row],[Price_USD]]&gt;=87089,"High",
IF(tbl_data[[#This Row],[Price_USD]]&gt;=56807,"Mid","Low"))</f>
        <v>High</v>
      </c>
      <c r="P824" s="1" t="str">
        <f>IF(tbl_data[[#This Row],[Transmission]]="Automatic","Auto","Manual")</f>
        <v>Manual</v>
      </c>
      <c r="Q824" s="1" t="str">
        <f>IFERROR(IF(VALUE(tbl_data[[#This Row],[Engine_CC]])=0,"",VALUE(tbl_data[[#This Row],[Price_USD]])/VALUE(tbl_data[[#This Row],[Engine_CC]])),"")</f>
        <v/>
      </c>
      <c r="R824" s="1" t="str">
        <f>TRIM(tbl_data[[#This Row],[Brand]])</f>
        <v>Mercedes</v>
      </c>
      <c r="S824" s="1">
        <f>_xlfn.NUMBERVALUE(tbl_data[[#This Row],[Price_USD]],".",",")</f>
        <v>21341.26</v>
      </c>
    </row>
    <row r="825" spans="1:19" x14ac:dyDescent="0.3">
      <c r="A825">
        <v>824</v>
      </c>
      <c r="B825" t="s">
        <v>69</v>
      </c>
      <c r="C825">
        <v>2023</v>
      </c>
      <c r="D825">
        <v>102756</v>
      </c>
      <c r="E825" t="s">
        <v>13</v>
      </c>
      <c r="F825" t="s">
        <v>21</v>
      </c>
      <c r="G825" t="s">
        <v>32</v>
      </c>
      <c r="H825">
        <v>1225</v>
      </c>
      <c r="I825" t="s">
        <v>2329</v>
      </c>
      <c r="J825" t="s">
        <v>2330</v>
      </c>
      <c r="K825">
        <v>7</v>
      </c>
      <c r="L825" t="s">
        <v>2331</v>
      </c>
      <c r="M825" s="1" t="str">
        <f>TEXT(DATE(tbl_data[[#This Row],[Model_Year]],1,1),"yyyy")</f>
        <v>2023</v>
      </c>
      <c r="N825" s="1" t="str">
        <f>IF(tbl_data[[#This Row],[Kilometers_Driven]]&lt;50000,"&lt;50k",
IF(tbl_data[[#This Row],[Kilometers_Driven]]&lt;100000,"50k-100k",
IF(tbl_data[[#This Row],[Kilometers_Driven]]&lt;150000,"100k-150k","150k+")))</f>
        <v>100k-150k</v>
      </c>
      <c r="O825" s="1" t="str">
        <f>IF(tbl_data[[#This Row],[Price_USD]]&gt;=87089,"High",
IF(tbl_data[[#This Row],[Price_USD]]&gt;=56807,"Mid","Low"))</f>
        <v>High</v>
      </c>
      <c r="P825" s="1" t="str">
        <f>IF(tbl_data[[#This Row],[Transmission]]="Automatic","Auto","Manual")</f>
        <v>Auto</v>
      </c>
      <c r="Q825" s="1" t="str">
        <f>IFERROR(IF(VALUE(tbl_data[[#This Row],[Engine_CC]])=0,"",VALUE(tbl_data[[#This Row],[Price_USD]])/VALUE(tbl_data[[#This Row],[Engine_CC]])),"")</f>
        <v/>
      </c>
      <c r="R825" s="1" t="str">
        <f>TRIM(tbl_data[[#This Row],[Brand]])</f>
        <v>Hyundai</v>
      </c>
      <c r="S825" s="1">
        <f>_xlfn.NUMBERVALUE(tbl_data[[#This Row],[Price_USD]],".",",")</f>
        <v>52889.51</v>
      </c>
    </row>
    <row r="826" spans="1:19" x14ac:dyDescent="0.3">
      <c r="A826">
        <v>825</v>
      </c>
      <c r="B826" t="s">
        <v>19</v>
      </c>
      <c r="C826">
        <v>2020</v>
      </c>
      <c r="D826">
        <v>185488</v>
      </c>
      <c r="E826" t="s">
        <v>31</v>
      </c>
      <c r="F826" t="s">
        <v>21</v>
      </c>
      <c r="G826" t="s">
        <v>15</v>
      </c>
      <c r="H826">
        <v>1718</v>
      </c>
      <c r="I826" t="s">
        <v>1989</v>
      </c>
      <c r="J826" t="s">
        <v>2332</v>
      </c>
      <c r="K826">
        <v>6</v>
      </c>
      <c r="L826" t="s">
        <v>2333</v>
      </c>
      <c r="M826" s="1" t="str">
        <f>TEXT(DATE(tbl_data[[#This Row],[Model_Year]],1,1),"yyyy")</f>
        <v>2020</v>
      </c>
      <c r="N826" s="1" t="str">
        <f>IF(tbl_data[[#This Row],[Kilometers_Driven]]&lt;50000,"&lt;50k",
IF(tbl_data[[#This Row],[Kilometers_Driven]]&lt;100000,"50k-100k",
IF(tbl_data[[#This Row],[Kilometers_Driven]]&lt;150000,"100k-150k","150k+")))</f>
        <v>150k+</v>
      </c>
      <c r="O826" s="1" t="str">
        <f>IF(tbl_data[[#This Row],[Price_USD]]&gt;=87089,"High",
IF(tbl_data[[#This Row],[Price_USD]]&gt;=56807,"Mid","Low"))</f>
        <v>High</v>
      </c>
      <c r="P826" s="1" t="str">
        <f>IF(tbl_data[[#This Row],[Transmission]]="Automatic","Auto","Manual")</f>
        <v>Auto</v>
      </c>
      <c r="Q826" s="1" t="str">
        <f>IFERROR(IF(VALUE(tbl_data[[#This Row],[Engine_CC]])=0,"",VALUE(tbl_data[[#This Row],[Price_USD]])/VALUE(tbl_data[[#This Row],[Engine_CC]])),"")</f>
        <v/>
      </c>
      <c r="R826" s="1" t="str">
        <f>TRIM(tbl_data[[#This Row],[Brand]])</f>
        <v>BMW</v>
      </c>
      <c r="S826" s="1">
        <f>_xlfn.NUMBERVALUE(tbl_data[[#This Row],[Price_USD]],".",",")</f>
        <v>65877.78</v>
      </c>
    </row>
    <row r="827" spans="1:19" x14ac:dyDescent="0.3">
      <c r="A827">
        <v>826</v>
      </c>
      <c r="B827" t="s">
        <v>39</v>
      </c>
      <c r="C827">
        <v>2018</v>
      </c>
      <c r="D827">
        <v>145659</v>
      </c>
      <c r="E827" t="s">
        <v>20</v>
      </c>
      <c r="F827" t="s">
        <v>21</v>
      </c>
      <c r="G827" t="s">
        <v>26</v>
      </c>
      <c r="H827">
        <v>4053</v>
      </c>
      <c r="I827" t="s">
        <v>2334</v>
      </c>
      <c r="J827" t="s">
        <v>2025</v>
      </c>
      <c r="K827">
        <v>5</v>
      </c>
      <c r="L827" t="s">
        <v>2335</v>
      </c>
      <c r="M827" s="1" t="str">
        <f>TEXT(DATE(tbl_data[[#This Row],[Model_Year]],1,1),"yyyy")</f>
        <v>2018</v>
      </c>
      <c r="N827" s="1" t="str">
        <f>IF(tbl_data[[#This Row],[Kilometers_Driven]]&lt;50000,"&lt;50k",
IF(tbl_data[[#This Row],[Kilometers_Driven]]&lt;100000,"50k-100k",
IF(tbl_data[[#This Row],[Kilometers_Driven]]&lt;150000,"100k-150k","150k+")))</f>
        <v>100k-150k</v>
      </c>
      <c r="O827" s="1" t="str">
        <f>IF(tbl_data[[#This Row],[Price_USD]]&gt;=87089,"High",
IF(tbl_data[[#This Row],[Price_USD]]&gt;=56807,"Mid","Low"))</f>
        <v>High</v>
      </c>
      <c r="P827" s="1" t="str">
        <f>IF(tbl_data[[#This Row],[Transmission]]="Automatic","Auto","Manual")</f>
        <v>Auto</v>
      </c>
      <c r="Q827" s="1" t="str">
        <f>IFERROR(IF(VALUE(tbl_data[[#This Row],[Engine_CC]])=0,"",VALUE(tbl_data[[#This Row],[Price_USD]])/VALUE(tbl_data[[#This Row],[Engine_CC]])),"")</f>
        <v/>
      </c>
      <c r="R827" s="1" t="str">
        <f>TRIM(tbl_data[[#This Row],[Brand]])</f>
        <v>Volkswagen</v>
      </c>
      <c r="S827" s="1">
        <f>_xlfn.NUMBERVALUE(tbl_data[[#This Row],[Price_USD]],".",",")</f>
        <v>5633.01</v>
      </c>
    </row>
    <row r="828" spans="1:19" x14ac:dyDescent="0.3">
      <c r="A828">
        <v>827</v>
      </c>
      <c r="B828" t="s">
        <v>76</v>
      </c>
      <c r="C828">
        <v>2020</v>
      </c>
      <c r="D828">
        <v>100665</v>
      </c>
      <c r="E828" t="s">
        <v>20</v>
      </c>
      <c r="F828" t="s">
        <v>21</v>
      </c>
      <c r="G828" t="s">
        <v>15</v>
      </c>
      <c r="H828">
        <v>1298</v>
      </c>
      <c r="I828" t="s">
        <v>2336</v>
      </c>
      <c r="J828" t="s">
        <v>2337</v>
      </c>
      <c r="K828">
        <v>2</v>
      </c>
      <c r="L828" t="s">
        <v>2338</v>
      </c>
      <c r="M828" s="1" t="str">
        <f>TEXT(DATE(tbl_data[[#This Row],[Model_Year]],1,1),"yyyy")</f>
        <v>2020</v>
      </c>
      <c r="N828" s="1" t="str">
        <f>IF(tbl_data[[#This Row],[Kilometers_Driven]]&lt;50000,"&lt;50k",
IF(tbl_data[[#This Row],[Kilometers_Driven]]&lt;100000,"50k-100k",
IF(tbl_data[[#This Row],[Kilometers_Driven]]&lt;150000,"100k-150k","150k+")))</f>
        <v>100k-150k</v>
      </c>
      <c r="O828" s="1" t="str">
        <f>IF(tbl_data[[#This Row],[Price_USD]]&gt;=87089,"High",
IF(tbl_data[[#This Row],[Price_USD]]&gt;=56807,"Mid","Low"))</f>
        <v>High</v>
      </c>
      <c r="P828" s="1" t="str">
        <f>IF(tbl_data[[#This Row],[Transmission]]="Automatic","Auto","Manual")</f>
        <v>Auto</v>
      </c>
      <c r="Q828" s="1" t="str">
        <f>IFERROR(IF(VALUE(tbl_data[[#This Row],[Engine_CC]])=0,"",VALUE(tbl_data[[#This Row],[Price_USD]])/VALUE(tbl_data[[#This Row],[Engine_CC]])),"")</f>
        <v/>
      </c>
      <c r="R828" s="1" t="str">
        <f>TRIM(tbl_data[[#This Row],[Brand]])</f>
        <v>Honda</v>
      </c>
      <c r="S828" s="1">
        <f>_xlfn.NUMBERVALUE(tbl_data[[#This Row],[Price_USD]],".",",")</f>
        <v>54961.22</v>
      </c>
    </row>
    <row r="829" spans="1:19" x14ac:dyDescent="0.3">
      <c r="A829">
        <v>828</v>
      </c>
      <c r="B829" t="s">
        <v>25</v>
      </c>
      <c r="C829">
        <v>2009</v>
      </c>
      <c r="D829">
        <v>136717</v>
      </c>
      <c r="E829" t="s">
        <v>44</v>
      </c>
      <c r="F829" t="s">
        <v>14</v>
      </c>
      <c r="G829" t="s">
        <v>32</v>
      </c>
      <c r="H829">
        <v>3609</v>
      </c>
      <c r="I829" t="s">
        <v>2339</v>
      </c>
      <c r="J829" t="s">
        <v>2340</v>
      </c>
      <c r="K829">
        <v>6</v>
      </c>
      <c r="L829" t="s">
        <v>2341</v>
      </c>
      <c r="M829" s="1" t="str">
        <f>TEXT(DATE(tbl_data[[#This Row],[Model_Year]],1,1),"yyyy")</f>
        <v>2009</v>
      </c>
      <c r="N829" s="1" t="str">
        <f>IF(tbl_data[[#This Row],[Kilometers_Driven]]&lt;50000,"&lt;50k",
IF(tbl_data[[#This Row],[Kilometers_Driven]]&lt;100000,"50k-100k",
IF(tbl_data[[#This Row],[Kilometers_Driven]]&lt;150000,"100k-150k","150k+")))</f>
        <v>100k-150k</v>
      </c>
      <c r="O829" s="1" t="str">
        <f>IF(tbl_data[[#This Row],[Price_USD]]&gt;=87089,"High",
IF(tbl_data[[#This Row],[Price_USD]]&gt;=56807,"Mid","Low"))</f>
        <v>High</v>
      </c>
      <c r="P829" s="1" t="str">
        <f>IF(tbl_data[[#This Row],[Transmission]]="Automatic","Auto","Manual")</f>
        <v>Manual</v>
      </c>
      <c r="Q829" s="1" t="str">
        <f>IFERROR(IF(VALUE(tbl_data[[#This Row],[Engine_CC]])=0,"",VALUE(tbl_data[[#This Row],[Price_USD]])/VALUE(tbl_data[[#This Row],[Engine_CC]])),"")</f>
        <v/>
      </c>
      <c r="R829" s="1" t="str">
        <f>TRIM(tbl_data[[#This Row],[Brand]])</f>
        <v>Kia</v>
      </c>
      <c r="S829" s="1">
        <f>_xlfn.NUMBERVALUE(tbl_data[[#This Row],[Price_USD]],".",",")</f>
        <v>94418.68</v>
      </c>
    </row>
    <row r="830" spans="1:19" x14ac:dyDescent="0.3">
      <c r="A830">
        <v>829</v>
      </c>
      <c r="B830" t="s">
        <v>69</v>
      </c>
      <c r="C830">
        <v>2013</v>
      </c>
      <c r="D830">
        <v>167002</v>
      </c>
      <c r="E830" t="s">
        <v>20</v>
      </c>
      <c r="F830" t="s">
        <v>14</v>
      </c>
      <c r="G830" t="s">
        <v>32</v>
      </c>
      <c r="H830">
        <v>1625</v>
      </c>
      <c r="I830" t="s">
        <v>2342</v>
      </c>
      <c r="J830" t="s">
        <v>2343</v>
      </c>
      <c r="K830">
        <v>4</v>
      </c>
      <c r="L830" t="s">
        <v>2344</v>
      </c>
      <c r="M830" s="1" t="str">
        <f>TEXT(DATE(tbl_data[[#This Row],[Model_Year]],1,1),"yyyy")</f>
        <v>2013</v>
      </c>
      <c r="N830" s="1" t="str">
        <f>IF(tbl_data[[#This Row],[Kilometers_Driven]]&lt;50000,"&lt;50k",
IF(tbl_data[[#This Row],[Kilometers_Driven]]&lt;100000,"50k-100k",
IF(tbl_data[[#This Row],[Kilometers_Driven]]&lt;150000,"100k-150k","150k+")))</f>
        <v>150k+</v>
      </c>
      <c r="O830" s="1" t="str">
        <f>IF(tbl_data[[#This Row],[Price_USD]]&gt;=87089,"High",
IF(tbl_data[[#This Row],[Price_USD]]&gt;=56807,"Mid","Low"))</f>
        <v>High</v>
      </c>
      <c r="P830" s="1" t="str">
        <f>IF(tbl_data[[#This Row],[Transmission]]="Automatic","Auto","Manual")</f>
        <v>Manual</v>
      </c>
      <c r="Q830" s="1" t="str">
        <f>IFERROR(IF(VALUE(tbl_data[[#This Row],[Engine_CC]])=0,"",VALUE(tbl_data[[#This Row],[Price_USD]])/VALUE(tbl_data[[#This Row],[Engine_CC]])),"")</f>
        <v/>
      </c>
      <c r="R830" s="1" t="str">
        <f>TRIM(tbl_data[[#This Row],[Brand]])</f>
        <v>Hyundai</v>
      </c>
      <c r="S830" s="1">
        <f>_xlfn.NUMBERVALUE(tbl_data[[#This Row],[Price_USD]],".",",")</f>
        <v>82565.39</v>
      </c>
    </row>
    <row r="831" spans="1:19" x14ac:dyDescent="0.3">
      <c r="A831">
        <v>830</v>
      </c>
      <c r="B831" t="s">
        <v>30</v>
      </c>
      <c r="C831">
        <v>2006</v>
      </c>
      <c r="D831">
        <v>86835</v>
      </c>
      <c r="E831" t="s">
        <v>13</v>
      </c>
      <c r="F831" t="s">
        <v>14</v>
      </c>
      <c r="G831" t="s">
        <v>26</v>
      </c>
      <c r="H831">
        <v>4579</v>
      </c>
      <c r="I831" t="s">
        <v>975</v>
      </c>
      <c r="J831" t="s">
        <v>2345</v>
      </c>
      <c r="K831">
        <v>5</v>
      </c>
      <c r="L831" t="s">
        <v>2346</v>
      </c>
      <c r="M831" s="1" t="str">
        <f>TEXT(DATE(tbl_data[[#This Row],[Model_Year]],1,1),"yyyy")</f>
        <v>2006</v>
      </c>
      <c r="N831" s="1" t="str">
        <f>IF(tbl_data[[#This Row],[Kilometers_Driven]]&lt;50000,"&lt;50k",
IF(tbl_data[[#This Row],[Kilometers_Driven]]&lt;100000,"50k-100k",
IF(tbl_data[[#This Row],[Kilometers_Driven]]&lt;150000,"100k-150k","150k+")))</f>
        <v>50k-100k</v>
      </c>
      <c r="O831" s="1" t="str">
        <f>IF(tbl_data[[#This Row],[Price_USD]]&gt;=87089,"High",
IF(tbl_data[[#This Row],[Price_USD]]&gt;=56807,"Mid","Low"))</f>
        <v>High</v>
      </c>
      <c r="P831" s="1" t="str">
        <f>IF(tbl_data[[#This Row],[Transmission]]="Automatic","Auto","Manual")</f>
        <v>Manual</v>
      </c>
      <c r="Q831" s="1" t="str">
        <f>IFERROR(IF(VALUE(tbl_data[[#This Row],[Engine_CC]])=0,"",VALUE(tbl_data[[#This Row],[Price_USD]])/VALUE(tbl_data[[#This Row],[Engine_CC]])),"")</f>
        <v/>
      </c>
      <c r="R831" s="1" t="str">
        <f>TRIM(tbl_data[[#This Row],[Brand]])</f>
        <v>Mercedes</v>
      </c>
      <c r="S831" s="1">
        <f>_xlfn.NUMBERVALUE(tbl_data[[#This Row],[Price_USD]],".",",")</f>
        <v>77313.37</v>
      </c>
    </row>
    <row r="832" spans="1:19" x14ac:dyDescent="0.3">
      <c r="A832">
        <v>831</v>
      </c>
      <c r="B832" t="s">
        <v>102</v>
      </c>
      <c r="C832">
        <v>2022</v>
      </c>
      <c r="D832">
        <v>127232</v>
      </c>
      <c r="E832" t="s">
        <v>44</v>
      </c>
      <c r="F832" t="s">
        <v>14</v>
      </c>
      <c r="G832" t="s">
        <v>15</v>
      </c>
      <c r="H832">
        <v>2658</v>
      </c>
      <c r="I832" t="s">
        <v>2347</v>
      </c>
      <c r="J832" t="s">
        <v>2348</v>
      </c>
      <c r="K832">
        <v>6</v>
      </c>
      <c r="L832" t="s">
        <v>2349</v>
      </c>
      <c r="M832" s="1" t="str">
        <f>TEXT(DATE(tbl_data[[#This Row],[Model_Year]],1,1),"yyyy")</f>
        <v>2022</v>
      </c>
      <c r="N832" s="1" t="str">
        <f>IF(tbl_data[[#This Row],[Kilometers_Driven]]&lt;50000,"&lt;50k",
IF(tbl_data[[#This Row],[Kilometers_Driven]]&lt;100000,"50k-100k",
IF(tbl_data[[#This Row],[Kilometers_Driven]]&lt;150000,"100k-150k","150k+")))</f>
        <v>100k-150k</v>
      </c>
      <c r="O832" s="1" t="str">
        <f>IF(tbl_data[[#This Row],[Price_USD]]&gt;=87089,"High",
IF(tbl_data[[#This Row],[Price_USD]]&gt;=56807,"Mid","Low"))</f>
        <v>High</v>
      </c>
      <c r="P832" s="1" t="str">
        <f>IF(tbl_data[[#This Row],[Transmission]]="Automatic","Auto","Manual")</f>
        <v>Manual</v>
      </c>
      <c r="Q832" s="1" t="str">
        <f>IFERROR(IF(VALUE(tbl_data[[#This Row],[Engine_CC]])=0,"",VALUE(tbl_data[[#This Row],[Price_USD]])/VALUE(tbl_data[[#This Row],[Engine_CC]])),"")</f>
        <v/>
      </c>
      <c r="R832" s="1" t="str">
        <f>TRIM(tbl_data[[#This Row],[Brand]])</f>
        <v>Nissan</v>
      </c>
      <c r="S832" s="1">
        <f>_xlfn.NUMBERVALUE(tbl_data[[#This Row],[Price_USD]],".",",")</f>
        <v>109417.99</v>
      </c>
    </row>
    <row r="833" spans="1:19" x14ac:dyDescent="0.3">
      <c r="A833">
        <v>832</v>
      </c>
      <c r="B833" t="s">
        <v>92</v>
      </c>
      <c r="C833">
        <v>2010</v>
      </c>
      <c r="D833">
        <v>166162</v>
      </c>
      <c r="E833" t="s">
        <v>20</v>
      </c>
      <c r="F833" t="s">
        <v>21</v>
      </c>
      <c r="G833" t="s">
        <v>32</v>
      </c>
      <c r="H833">
        <v>2918</v>
      </c>
      <c r="I833" t="s">
        <v>2350</v>
      </c>
      <c r="J833" t="s">
        <v>2351</v>
      </c>
      <c r="K833">
        <v>6</v>
      </c>
      <c r="L833" t="s">
        <v>2352</v>
      </c>
      <c r="M833" s="1" t="str">
        <f>TEXT(DATE(tbl_data[[#This Row],[Model_Year]],1,1),"yyyy")</f>
        <v>2010</v>
      </c>
      <c r="N833" s="1" t="str">
        <f>IF(tbl_data[[#This Row],[Kilometers_Driven]]&lt;50000,"&lt;50k",
IF(tbl_data[[#This Row],[Kilometers_Driven]]&lt;100000,"50k-100k",
IF(tbl_data[[#This Row],[Kilometers_Driven]]&lt;150000,"100k-150k","150k+")))</f>
        <v>150k+</v>
      </c>
      <c r="O833" s="1" t="str">
        <f>IF(tbl_data[[#This Row],[Price_USD]]&gt;=87089,"High",
IF(tbl_data[[#This Row],[Price_USD]]&gt;=56807,"Mid","Low"))</f>
        <v>High</v>
      </c>
      <c r="P833" s="1" t="str">
        <f>IF(tbl_data[[#This Row],[Transmission]]="Automatic","Auto","Manual")</f>
        <v>Auto</v>
      </c>
      <c r="Q833" s="1" t="str">
        <f>IFERROR(IF(VALUE(tbl_data[[#This Row],[Engine_CC]])=0,"",VALUE(tbl_data[[#This Row],[Price_USD]])/VALUE(tbl_data[[#This Row],[Engine_CC]])),"")</f>
        <v/>
      </c>
      <c r="R833" s="1" t="str">
        <f>TRIM(tbl_data[[#This Row],[Brand]])</f>
        <v>Toyota</v>
      </c>
      <c r="S833" s="1">
        <f>_xlfn.NUMBERVALUE(tbl_data[[#This Row],[Price_USD]],".",",")</f>
        <v>5109.75</v>
      </c>
    </row>
    <row r="834" spans="1:19" x14ac:dyDescent="0.3">
      <c r="A834">
        <v>833</v>
      </c>
      <c r="B834" t="s">
        <v>30</v>
      </c>
      <c r="C834">
        <v>2013</v>
      </c>
      <c r="D834">
        <v>188214</v>
      </c>
      <c r="E834" t="s">
        <v>13</v>
      </c>
      <c r="F834" t="s">
        <v>21</v>
      </c>
      <c r="G834" t="s">
        <v>26</v>
      </c>
      <c r="H834">
        <v>945</v>
      </c>
      <c r="I834" t="s">
        <v>2353</v>
      </c>
      <c r="J834" t="s">
        <v>2354</v>
      </c>
      <c r="K834">
        <v>2</v>
      </c>
      <c r="L834" t="s">
        <v>2355</v>
      </c>
      <c r="M834" s="1" t="str">
        <f>TEXT(DATE(tbl_data[[#This Row],[Model_Year]],1,1),"yyyy")</f>
        <v>2013</v>
      </c>
      <c r="N834" s="1" t="str">
        <f>IF(tbl_data[[#This Row],[Kilometers_Driven]]&lt;50000,"&lt;50k",
IF(tbl_data[[#This Row],[Kilometers_Driven]]&lt;100000,"50k-100k",
IF(tbl_data[[#This Row],[Kilometers_Driven]]&lt;150000,"100k-150k","150k+")))</f>
        <v>150k+</v>
      </c>
      <c r="O834" s="1" t="str">
        <f>IF(tbl_data[[#This Row],[Price_USD]]&gt;=87089,"High",
IF(tbl_data[[#This Row],[Price_USD]]&gt;=56807,"Mid","Low"))</f>
        <v>High</v>
      </c>
      <c r="P834" s="1" t="str">
        <f>IF(tbl_data[[#This Row],[Transmission]]="Automatic","Auto","Manual")</f>
        <v>Auto</v>
      </c>
      <c r="Q834" s="1" t="str">
        <f>IFERROR(IF(VALUE(tbl_data[[#This Row],[Engine_CC]])=0,"",VALUE(tbl_data[[#This Row],[Price_USD]])/VALUE(tbl_data[[#This Row],[Engine_CC]])),"")</f>
        <v/>
      </c>
      <c r="R834" s="1" t="str">
        <f>TRIM(tbl_data[[#This Row],[Brand]])</f>
        <v>Mercedes</v>
      </c>
      <c r="S834" s="1">
        <f>_xlfn.NUMBERVALUE(tbl_data[[#This Row],[Price_USD]],".",",")</f>
        <v>68174.570000000007</v>
      </c>
    </row>
    <row r="835" spans="1:19" x14ac:dyDescent="0.3">
      <c r="A835">
        <v>834</v>
      </c>
      <c r="B835" t="s">
        <v>69</v>
      </c>
      <c r="C835">
        <v>2005</v>
      </c>
      <c r="D835">
        <v>162547</v>
      </c>
      <c r="E835" t="s">
        <v>20</v>
      </c>
      <c r="F835" t="s">
        <v>21</v>
      </c>
      <c r="G835" t="s">
        <v>15</v>
      </c>
      <c r="H835">
        <v>4377</v>
      </c>
      <c r="I835" t="s">
        <v>2356</v>
      </c>
      <c r="J835" t="s">
        <v>2357</v>
      </c>
      <c r="K835">
        <v>4</v>
      </c>
      <c r="L835" t="s">
        <v>2358</v>
      </c>
      <c r="M835" s="1" t="str">
        <f>TEXT(DATE(tbl_data[[#This Row],[Model_Year]],1,1),"yyyy")</f>
        <v>2005</v>
      </c>
      <c r="N835" s="1" t="str">
        <f>IF(tbl_data[[#This Row],[Kilometers_Driven]]&lt;50000,"&lt;50k",
IF(tbl_data[[#This Row],[Kilometers_Driven]]&lt;100000,"50k-100k",
IF(tbl_data[[#This Row],[Kilometers_Driven]]&lt;150000,"100k-150k","150k+")))</f>
        <v>150k+</v>
      </c>
      <c r="O835" s="1" t="str">
        <f>IF(tbl_data[[#This Row],[Price_USD]]&gt;=87089,"High",
IF(tbl_data[[#This Row],[Price_USD]]&gt;=56807,"Mid","Low"))</f>
        <v>High</v>
      </c>
      <c r="P835" s="1" t="str">
        <f>IF(tbl_data[[#This Row],[Transmission]]="Automatic","Auto","Manual")</f>
        <v>Auto</v>
      </c>
      <c r="Q835" s="1" t="str">
        <f>IFERROR(IF(VALUE(tbl_data[[#This Row],[Engine_CC]])=0,"",VALUE(tbl_data[[#This Row],[Price_USD]])/VALUE(tbl_data[[#This Row],[Engine_CC]])),"")</f>
        <v/>
      </c>
      <c r="R835" s="1" t="str">
        <f>TRIM(tbl_data[[#This Row],[Brand]])</f>
        <v>Hyundai</v>
      </c>
      <c r="S835" s="1">
        <f>_xlfn.NUMBERVALUE(tbl_data[[#This Row],[Price_USD]],".",",")</f>
        <v>95119.82</v>
      </c>
    </row>
    <row r="836" spans="1:19" x14ac:dyDescent="0.3">
      <c r="A836">
        <v>835</v>
      </c>
      <c r="B836" t="s">
        <v>30</v>
      </c>
      <c r="C836">
        <v>2013</v>
      </c>
      <c r="D836">
        <v>154960</v>
      </c>
      <c r="E836" t="s">
        <v>20</v>
      </c>
      <c r="F836" t="s">
        <v>14</v>
      </c>
      <c r="G836" t="s">
        <v>15</v>
      </c>
      <c r="H836">
        <v>992</v>
      </c>
      <c r="I836" t="s">
        <v>2359</v>
      </c>
      <c r="J836" t="s">
        <v>2360</v>
      </c>
      <c r="K836">
        <v>6</v>
      </c>
      <c r="L836" t="s">
        <v>2361</v>
      </c>
      <c r="M836" s="1" t="str">
        <f>TEXT(DATE(tbl_data[[#This Row],[Model_Year]],1,1),"yyyy")</f>
        <v>2013</v>
      </c>
      <c r="N836" s="1" t="str">
        <f>IF(tbl_data[[#This Row],[Kilometers_Driven]]&lt;50000,"&lt;50k",
IF(tbl_data[[#This Row],[Kilometers_Driven]]&lt;100000,"50k-100k",
IF(tbl_data[[#This Row],[Kilometers_Driven]]&lt;150000,"100k-150k","150k+")))</f>
        <v>150k+</v>
      </c>
      <c r="O836" s="1" t="str">
        <f>IF(tbl_data[[#This Row],[Price_USD]]&gt;=87089,"High",
IF(tbl_data[[#This Row],[Price_USD]]&gt;=56807,"Mid","Low"))</f>
        <v>High</v>
      </c>
      <c r="P836" s="1" t="str">
        <f>IF(tbl_data[[#This Row],[Transmission]]="Automatic","Auto","Manual")</f>
        <v>Manual</v>
      </c>
      <c r="Q836" s="1" t="str">
        <f>IFERROR(IF(VALUE(tbl_data[[#This Row],[Engine_CC]])=0,"",VALUE(tbl_data[[#This Row],[Price_USD]])/VALUE(tbl_data[[#This Row],[Engine_CC]])),"")</f>
        <v/>
      </c>
      <c r="R836" s="1" t="str">
        <f>TRIM(tbl_data[[#This Row],[Brand]])</f>
        <v>Mercedes</v>
      </c>
      <c r="S836" s="1">
        <f>_xlfn.NUMBERVALUE(tbl_data[[#This Row],[Price_USD]],".",",")</f>
        <v>66336.240000000005</v>
      </c>
    </row>
    <row r="837" spans="1:19" x14ac:dyDescent="0.3">
      <c r="A837">
        <v>836</v>
      </c>
      <c r="B837" t="s">
        <v>69</v>
      </c>
      <c r="C837">
        <v>2020</v>
      </c>
      <c r="D837">
        <v>48732</v>
      </c>
      <c r="E837" t="s">
        <v>31</v>
      </c>
      <c r="F837" t="s">
        <v>14</v>
      </c>
      <c r="G837" t="s">
        <v>32</v>
      </c>
      <c r="H837">
        <v>4688</v>
      </c>
      <c r="I837" t="s">
        <v>2362</v>
      </c>
      <c r="J837" t="s">
        <v>2363</v>
      </c>
      <c r="K837">
        <v>5</v>
      </c>
      <c r="L837" t="s">
        <v>2364</v>
      </c>
      <c r="M837" s="1" t="str">
        <f>TEXT(DATE(tbl_data[[#This Row],[Model_Year]],1,1),"yyyy")</f>
        <v>2020</v>
      </c>
      <c r="N837" s="1" t="str">
        <f>IF(tbl_data[[#This Row],[Kilometers_Driven]]&lt;50000,"&lt;50k",
IF(tbl_data[[#This Row],[Kilometers_Driven]]&lt;100000,"50k-100k",
IF(tbl_data[[#This Row],[Kilometers_Driven]]&lt;150000,"100k-150k","150k+")))</f>
        <v>&lt;50k</v>
      </c>
      <c r="O837" s="1" t="str">
        <f>IF(tbl_data[[#This Row],[Price_USD]]&gt;=87089,"High",
IF(tbl_data[[#This Row],[Price_USD]]&gt;=56807,"Mid","Low"))</f>
        <v>High</v>
      </c>
      <c r="P837" s="1" t="str">
        <f>IF(tbl_data[[#This Row],[Transmission]]="Automatic","Auto","Manual")</f>
        <v>Manual</v>
      </c>
      <c r="Q837" s="1" t="str">
        <f>IFERROR(IF(VALUE(tbl_data[[#This Row],[Engine_CC]])=0,"",VALUE(tbl_data[[#This Row],[Price_USD]])/VALUE(tbl_data[[#This Row],[Engine_CC]])),"")</f>
        <v/>
      </c>
      <c r="R837" s="1" t="str">
        <f>TRIM(tbl_data[[#This Row],[Brand]])</f>
        <v>Hyundai</v>
      </c>
      <c r="S837" s="1">
        <f>_xlfn.NUMBERVALUE(tbl_data[[#This Row],[Price_USD]],".",",")</f>
        <v>40895.78</v>
      </c>
    </row>
    <row r="838" spans="1:19" x14ac:dyDescent="0.3">
      <c r="A838">
        <v>837</v>
      </c>
      <c r="B838" t="s">
        <v>69</v>
      </c>
      <c r="C838">
        <v>2017</v>
      </c>
      <c r="D838">
        <v>51305</v>
      </c>
      <c r="E838" t="s">
        <v>20</v>
      </c>
      <c r="F838" t="s">
        <v>21</v>
      </c>
      <c r="G838" t="s">
        <v>32</v>
      </c>
      <c r="H838">
        <v>851</v>
      </c>
      <c r="I838" t="s">
        <v>2365</v>
      </c>
      <c r="J838" t="s">
        <v>2366</v>
      </c>
      <c r="K838">
        <v>6</v>
      </c>
      <c r="L838" t="s">
        <v>2367</v>
      </c>
      <c r="M838" s="1" t="str">
        <f>TEXT(DATE(tbl_data[[#This Row],[Model_Year]],1,1),"yyyy")</f>
        <v>2017</v>
      </c>
      <c r="N838" s="1" t="str">
        <f>IF(tbl_data[[#This Row],[Kilometers_Driven]]&lt;50000,"&lt;50k",
IF(tbl_data[[#This Row],[Kilometers_Driven]]&lt;100000,"50k-100k",
IF(tbl_data[[#This Row],[Kilometers_Driven]]&lt;150000,"100k-150k","150k+")))</f>
        <v>50k-100k</v>
      </c>
      <c r="O838" s="1" t="str">
        <f>IF(tbl_data[[#This Row],[Price_USD]]&gt;=87089,"High",
IF(tbl_data[[#This Row],[Price_USD]]&gt;=56807,"Mid","Low"))</f>
        <v>High</v>
      </c>
      <c r="P838" s="1" t="str">
        <f>IF(tbl_data[[#This Row],[Transmission]]="Automatic","Auto","Manual")</f>
        <v>Auto</v>
      </c>
      <c r="Q838" s="1" t="str">
        <f>IFERROR(IF(VALUE(tbl_data[[#This Row],[Engine_CC]])=0,"",VALUE(tbl_data[[#This Row],[Price_USD]])/VALUE(tbl_data[[#This Row],[Engine_CC]])),"")</f>
        <v/>
      </c>
      <c r="R838" s="1" t="str">
        <f>TRIM(tbl_data[[#This Row],[Brand]])</f>
        <v>Hyundai</v>
      </c>
      <c r="S838" s="1">
        <f>_xlfn.NUMBERVALUE(tbl_data[[#This Row],[Price_USD]],".",",")</f>
        <v>18941.32</v>
      </c>
    </row>
    <row r="839" spans="1:19" x14ac:dyDescent="0.3">
      <c r="A839">
        <v>838</v>
      </c>
      <c r="B839" t="s">
        <v>12</v>
      </c>
      <c r="C839">
        <v>2013</v>
      </c>
      <c r="D839">
        <v>182109</v>
      </c>
      <c r="E839" t="s">
        <v>20</v>
      </c>
      <c r="F839" t="s">
        <v>21</v>
      </c>
      <c r="G839" t="s">
        <v>15</v>
      </c>
      <c r="H839">
        <v>3210</v>
      </c>
      <c r="I839" t="s">
        <v>2368</v>
      </c>
      <c r="J839" t="s">
        <v>2369</v>
      </c>
      <c r="K839">
        <v>7</v>
      </c>
      <c r="L839" t="s">
        <v>2370</v>
      </c>
      <c r="M839" s="1" t="str">
        <f>TEXT(DATE(tbl_data[[#This Row],[Model_Year]],1,1),"yyyy")</f>
        <v>2013</v>
      </c>
      <c r="N839" s="1" t="str">
        <f>IF(tbl_data[[#This Row],[Kilometers_Driven]]&lt;50000,"&lt;50k",
IF(tbl_data[[#This Row],[Kilometers_Driven]]&lt;100000,"50k-100k",
IF(tbl_data[[#This Row],[Kilometers_Driven]]&lt;150000,"100k-150k","150k+")))</f>
        <v>150k+</v>
      </c>
      <c r="O839" s="1" t="str">
        <f>IF(tbl_data[[#This Row],[Price_USD]]&gt;=87089,"High",
IF(tbl_data[[#This Row],[Price_USD]]&gt;=56807,"Mid","Low"))</f>
        <v>High</v>
      </c>
      <c r="P839" s="1" t="str">
        <f>IF(tbl_data[[#This Row],[Transmission]]="Automatic","Auto","Manual")</f>
        <v>Auto</v>
      </c>
      <c r="Q839" s="1" t="str">
        <f>IFERROR(IF(VALUE(tbl_data[[#This Row],[Engine_CC]])=0,"",VALUE(tbl_data[[#This Row],[Price_USD]])/VALUE(tbl_data[[#This Row],[Engine_CC]])),"")</f>
        <v/>
      </c>
      <c r="R839" s="1" t="str">
        <f>TRIM(tbl_data[[#This Row],[Brand]])</f>
        <v>Audi</v>
      </c>
      <c r="S839" s="1">
        <f>_xlfn.NUMBERVALUE(tbl_data[[#This Row],[Price_USD]],".",",")</f>
        <v>106844.88</v>
      </c>
    </row>
    <row r="840" spans="1:19" x14ac:dyDescent="0.3">
      <c r="A840">
        <v>839</v>
      </c>
      <c r="B840" t="s">
        <v>19</v>
      </c>
      <c r="C840">
        <v>2017</v>
      </c>
      <c r="D840">
        <v>14346</v>
      </c>
      <c r="E840" t="s">
        <v>13</v>
      </c>
      <c r="F840" t="s">
        <v>14</v>
      </c>
      <c r="G840" t="s">
        <v>15</v>
      </c>
      <c r="H840">
        <v>2620</v>
      </c>
      <c r="I840" t="s">
        <v>2371</v>
      </c>
      <c r="J840" t="s">
        <v>2372</v>
      </c>
      <c r="K840">
        <v>5</v>
      </c>
      <c r="L840" t="s">
        <v>2373</v>
      </c>
      <c r="M840" s="1" t="str">
        <f>TEXT(DATE(tbl_data[[#This Row],[Model_Year]],1,1),"yyyy")</f>
        <v>2017</v>
      </c>
      <c r="N840" s="1" t="str">
        <f>IF(tbl_data[[#This Row],[Kilometers_Driven]]&lt;50000,"&lt;50k",
IF(tbl_data[[#This Row],[Kilometers_Driven]]&lt;100000,"50k-100k",
IF(tbl_data[[#This Row],[Kilometers_Driven]]&lt;150000,"100k-150k","150k+")))</f>
        <v>&lt;50k</v>
      </c>
      <c r="O840" s="1" t="str">
        <f>IF(tbl_data[[#This Row],[Price_USD]]&gt;=87089,"High",
IF(tbl_data[[#This Row],[Price_USD]]&gt;=56807,"Mid","Low"))</f>
        <v>High</v>
      </c>
      <c r="P840" s="1" t="str">
        <f>IF(tbl_data[[#This Row],[Transmission]]="Automatic","Auto","Manual")</f>
        <v>Manual</v>
      </c>
      <c r="Q840" s="1" t="str">
        <f>IFERROR(IF(VALUE(tbl_data[[#This Row],[Engine_CC]])=0,"",VALUE(tbl_data[[#This Row],[Price_USD]])/VALUE(tbl_data[[#This Row],[Engine_CC]])),"")</f>
        <v/>
      </c>
      <c r="R840" s="1" t="str">
        <f>TRIM(tbl_data[[#This Row],[Brand]])</f>
        <v>BMW</v>
      </c>
      <c r="S840" s="1">
        <f>_xlfn.NUMBERVALUE(tbl_data[[#This Row],[Price_USD]],".",",")</f>
        <v>58079.199999999997</v>
      </c>
    </row>
    <row r="841" spans="1:19" x14ac:dyDescent="0.3">
      <c r="A841">
        <v>840</v>
      </c>
      <c r="B841" t="s">
        <v>25</v>
      </c>
      <c r="C841">
        <v>2013</v>
      </c>
      <c r="D841">
        <v>5587</v>
      </c>
      <c r="E841" t="s">
        <v>13</v>
      </c>
      <c r="F841" t="s">
        <v>21</v>
      </c>
      <c r="G841" t="s">
        <v>32</v>
      </c>
      <c r="H841">
        <v>3764</v>
      </c>
      <c r="I841" t="s">
        <v>2374</v>
      </c>
      <c r="J841" t="s">
        <v>2375</v>
      </c>
      <c r="K841">
        <v>5</v>
      </c>
      <c r="L841" t="s">
        <v>2376</v>
      </c>
      <c r="M841" s="1" t="str">
        <f>TEXT(DATE(tbl_data[[#This Row],[Model_Year]],1,1),"yyyy")</f>
        <v>2013</v>
      </c>
      <c r="N841" s="1" t="str">
        <f>IF(tbl_data[[#This Row],[Kilometers_Driven]]&lt;50000,"&lt;50k",
IF(tbl_data[[#This Row],[Kilometers_Driven]]&lt;100000,"50k-100k",
IF(tbl_data[[#This Row],[Kilometers_Driven]]&lt;150000,"100k-150k","150k+")))</f>
        <v>&lt;50k</v>
      </c>
      <c r="O841" s="1" t="str">
        <f>IF(tbl_data[[#This Row],[Price_USD]]&gt;=87089,"High",
IF(tbl_data[[#This Row],[Price_USD]]&gt;=56807,"Mid","Low"))</f>
        <v>High</v>
      </c>
      <c r="P841" s="1" t="str">
        <f>IF(tbl_data[[#This Row],[Transmission]]="Automatic","Auto","Manual")</f>
        <v>Auto</v>
      </c>
      <c r="Q841" s="1" t="str">
        <f>IFERROR(IF(VALUE(tbl_data[[#This Row],[Engine_CC]])=0,"",VALUE(tbl_data[[#This Row],[Price_USD]])/VALUE(tbl_data[[#This Row],[Engine_CC]])),"")</f>
        <v/>
      </c>
      <c r="R841" s="1" t="str">
        <f>TRIM(tbl_data[[#This Row],[Brand]])</f>
        <v>Kia</v>
      </c>
      <c r="S841" s="1">
        <f>_xlfn.NUMBERVALUE(tbl_data[[#This Row],[Price_USD]],".",",")</f>
        <v>105739.48</v>
      </c>
    </row>
    <row r="842" spans="1:19" x14ac:dyDescent="0.3">
      <c r="A842">
        <v>841</v>
      </c>
      <c r="B842" t="s">
        <v>12</v>
      </c>
      <c r="C842">
        <v>2015</v>
      </c>
      <c r="D842">
        <v>17763</v>
      </c>
      <c r="E842" t="s">
        <v>31</v>
      </c>
      <c r="F842" t="s">
        <v>14</v>
      </c>
      <c r="G842" t="s">
        <v>15</v>
      </c>
      <c r="H842">
        <v>3321</v>
      </c>
      <c r="I842" t="s">
        <v>619</v>
      </c>
      <c r="J842" t="s">
        <v>2377</v>
      </c>
      <c r="K842">
        <v>6</v>
      </c>
      <c r="L842" t="s">
        <v>2378</v>
      </c>
      <c r="M842" s="1" t="str">
        <f>TEXT(DATE(tbl_data[[#This Row],[Model_Year]],1,1),"yyyy")</f>
        <v>2015</v>
      </c>
      <c r="N842" s="1" t="str">
        <f>IF(tbl_data[[#This Row],[Kilometers_Driven]]&lt;50000,"&lt;50k",
IF(tbl_data[[#This Row],[Kilometers_Driven]]&lt;100000,"50k-100k",
IF(tbl_data[[#This Row],[Kilometers_Driven]]&lt;150000,"100k-150k","150k+")))</f>
        <v>&lt;50k</v>
      </c>
      <c r="O842" s="1" t="str">
        <f>IF(tbl_data[[#This Row],[Price_USD]]&gt;=87089,"High",
IF(tbl_data[[#This Row],[Price_USD]]&gt;=56807,"Mid","Low"))</f>
        <v>High</v>
      </c>
      <c r="P842" s="1" t="str">
        <f>IF(tbl_data[[#This Row],[Transmission]]="Automatic","Auto","Manual")</f>
        <v>Manual</v>
      </c>
      <c r="Q842" s="1" t="str">
        <f>IFERROR(IF(VALUE(tbl_data[[#This Row],[Engine_CC]])=0,"",VALUE(tbl_data[[#This Row],[Price_USD]])/VALUE(tbl_data[[#This Row],[Engine_CC]])),"")</f>
        <v/>
      </c>
      <c r="R842" s="1" t="str">
        <f>TRIM(tbl_data[[#This Row],[Brand]])</f>
        <v>Audi</v>
      </c>
      <c r="S842" s="1">
        <f>_xlfn.NUMBERVALUE(tbl_data[[#This Row],[Price_USD]],".",",")</f>
        <v>71544.7</v>
      </c>
    </row>
    <row r="843" spans="1:19" x14ac:dyDescent="0.3">
      <c r="A843">
        <v>842</v>
      </c>
      <c r="B843" t="s">
        <v>102</v>
      </c>
      <c r="C843">
        <v>2008</v>
      </c>
      <c r="D843">
        <v>195237</v>
      </c>
      <c r="E843" t="s">
        <v>20</v>
      </c>
      <c r="F843" t="s">
        <v>14</v>
      </c>
      <c r="G843" t="s">
        <v>32</v>
      </c>
      <c r="H843">
        <v>2669</v>
      </c>
      <c r="I843" t="s">
        <v>2379</v>
      </c>
      <c r="J843" t="s">
        <v>2128</v>
      </c>
      <c r="K843">
        <v>2</v>
      </c>
      <c r="L843" t="s">
        <v>2380</v>
      </c>
      <c r="M843" s="1" t="str">
        <f>TEXT(DATE(tbl_data[[#This Row],[Model_Year]],1,1),"yyyy")</f>
        <v>2008</v>
      </c>
      <c r="N843" s="1" t="str">
        <f>IF(tbl_data[[#This Row],[Kilometers_Driven]]&lt;50000,"&lt;50k",
IF(tbl_data[[#This Row],[Kilometers_Driven]]&lt;100000,"50k-100k",
IF(tbl_data[[#This Row],[Kilometers_Driven]]&lt;150000,"100k-150k","150k+")))</f>
        <v>150k+</v>
      </c>
      <c r="O843" s="1" t="str">
        <f>IF(tbl_data[[#This Row],[Price_USD]]&gt;=87089,"High",
IF(tbl_data[[#This Row],[Price_USD]]&gt;=56807,"Mid","Low"))</f>
        <v>High</v>
      </c>
      <c r="P843" s="1" t="str">
        <f>IF(tbl_data[[#This Row],[Transmission]]="Automatic","Auto","Manual")</f>
        <v>Manual</v>
      </c>
      <c r="Q843" s="1" t="str">
        <f>IFERROR(IF(VALUE(tbl_data[[#This Row],[Engine_CC]])=0,"",VALUE(tbl_data[[#This Row],[Price_USD]])/VALUE(tbl_data[[#This Row],[Engine_CC]])),"")</f>
        <v/>
      </c>
      <c r="R843" s="1" t="str">
        <f>TRIM(tbl_data[[#This Row],[Brand]])</f>
        <v>Nissan</v>
      </c>
      <c r="S843" s="1">
        <f>_xlfn.NUMBERVALUE(tbl_data[[#This Row],[Price_USD]],".",",")</f>
        <v>81880.479999999996</v>
      </c>
    </row>
    <row r="844" spans="1:19" x14ac:dyDescent="0.3">
      <c r="A844">
        <v>843</v>
      </c>
      <c r="B844" t="s">
        <v>12</v>
      </c>
      <c r="C844">
        <v>2006</v>
      </c>
      <c r="D844">
        <v>74615</v>
      </c>
      <c r="E844" t="s">
        <v>31</v>
      </c>
      <c r="F844" t="s">
        <v>14</v>
      </c>
      <c r="G844" t="s">
        <v>15</v>
      </c>
      <c r="H844">
        <v>3368</v>
      </c>
      <c r="I844" t="s">
        <v>447</v>
      </c>
      <c r="J844" t="s">
        <v>2381</v>
      </c>
      <c r="K844">
        <v>5</v>
      </c>
      <c r="L844" t="s">
        <v>2382</v>
      </c>
      <c r="M844" s="1" t="str">
        <f>TEXT(DATE(tbl_data[[#This Row],[Model_Year]],1,1),"yyyy")</f>
        <v>2006</v>
      </c>
      <c r="N844" s="1" t="str">
        <f>IF(tbl_data[[#This Row],[Kilometers_Driven]]&lt;50000,"&lt;50k",
IF(tbl_data[[#This Row],[Kilometers_Driven]]&lt;100000,"50k-100k",
IF(tbl_data[[#This Row],[Kilometers_Driven]]&lt;150000,"100k-150k","150k+")))</f>
        <v>50k-100k</v>
      </c>
      <c r="O844" s="1" t="str">
        <f>IF(tbl_data[[#This Row],[Price_USD]]&gt;=87089,"High",
IF(tbl_data[[#This Row],[Price_USD]]&gt;=56807,"Mid","Low"))</f>
        <v>High</v>
      </c>
      <c r="P844" s="1" t="str">
        <f>IF(tbl_data[[#This Row],[Transmission]]="Automatic","Auto","Manual")</f>
        <v>Manual</v>
      </c>
      <c r="Q844" s="1" t="str">
        <f>IFERROR(IF(VALUE(tbl_data[[#This Row],[Engine_CC]])=0,"",VALUE(tbl_data[[#This Row],[Price_USD]])/VALUE(tbl_data[[#This Row],[Engine_CC]])),"")</f>
        <v/>
      </c>
      <c r="R844" s="1" t="str">
        <f>TRIM(tbl_data[[#This Row],[Brand]])</f>
        <v>Audi</v>
      </c>
      <c r="S844" s="1">
        <f>_xlfn.NUMBERVALUE(tbl_data[[#This Row],[Price_USD]],".",",")</f>
        <v>97098.559999999998</v>
      </c>
    </row>
    <row r="845" spans="1:19" x14ac:dyDescent="0.3">
      <c r="A845">
        <v>844</v>
      </c>
      <c r="B845" t="s">
        <v>43</v>
      </c>
      <c r="C845">
        <v>2010</v>
      </c>
      <c r="D845">
        <v>172188</v>
      </c>
      <c r="E845" t="s">
        <v>20</v>
      </c>
      <c r="F845" t="s">
        <v>21</v>
      </c>
      <c r="G845" t="s">
        <v>32</v>
      </c>
      <c r="H845">
        <v>2667</v>
      </c>
      <c r="I845" t="s">
        <v>2383</v>
      </c>
      <c r="J845" t="s">
        <v>2384</v>
      </c>
      <c r="K845">
        <v>7</v>
      </c>
      <c r="L845" t="s">
        <v>2385</v>
      </c>
      <c r="M845" s="1" t="str">
        <f>TEXT(DATE(tbl_data[[#This Row],[Model_Year]],1,1),"yyyy")</f>
        <v>2010</v>
      </c>
      <c r="N845" s="1" t="str">
        <f>IF(tbl_data[[#This Row],[Kilometers_Driven]]&lt;50000,"&lt;50k",
IF(tbl_data[[#This Row],[Kilometers_Driven]]&lt;100000,"50k-100k",
IF(tbl_data[[#This Row],[Kilometers_Driven]]&lt;150000,"100k-150k","150k+")))</f>
        <v>150k+</v>
      </c>
      <c r="O845" s="1" t="str">
        <f>IF(tbl_data[[#This Row],[Price_USD]]&gt;=87089,"High",
IF(tbl_data[[#This Row],[Price_USD]]&gt;=56807,"Mid","Low"))</f>
        <v>High</v>
      </c>
      <c r="P845" s="1" t="str">
        <f>IF(tbl_data[[#This Row],[Transmission]]="Automatic","Auto","Manual")</f>
        <v>Auto</v>
      </c>
      <c r="Q845" s="1" t="str">
        <f>IFERROR(IF(VALUE(tbl_data[[#This Row],[Engine_CC]])=0,"",VALUE(tbl_data[[#This Row],[Price_USD]])/VALUE(tbl_data[[#This Row],[Engine_CC]])),"")</f>
        <v/>
      </c>
      <c r="R845" s="1" t="str">
        <f>TRIM(tbl_data[[#This Row],[Brand]])</f>
        <v>Ford</v>
      </c>
      <c r="S845" s="1">
        <f>_xlfn.NUMBERVALUE(tbl_data[[#This Row],[Price_USD]],".",",")</f>
        <v>80121.2</v>
      </c>
    </row>
    <row r="846" spans="1:19" x14ac:dyDescent="0.3">
      <c r="A846">
        <v>845</v>
      </c>
      <c r="B846" t="s">
        <v>43</v>
      </c>
      <c r="C846">
        <v>2018</v>
      </c>
      <c r="D846">
        <v>125987</v>
      </c>
      <c r="E846" t="s">
        <v>44</v>
      </c>
      <c r="F846" t="s">
        <v>21</v>
      </c>
      <c r="G846" t="s">
        <v>26</v>
      </c>
      <c r="H846">
        <v>3538</v>
      </c>
      <c r="I846" t="s">
        <v>96</v>
      </c>
      <c r="J846" t="s">
        <v>2386</v>
      </c>
      <c r="K846">
        <v>2</v>
      </c>
      <c r="L846" t="s">
        <v>2387</v>
      </c>
      <c r="M846" s="1" t="str">
        <f>TEXT(DATE(tbl_data[[#This Row],[Model_Year]],1,1),"yyyy")</f>
        <v>2018</v>
      </c>
      <c r="N846" s="1" t="str">
        <f>IF(tbl_data[[#This Row],[Kilometers_Driven]]&lt;50000,"&lt;50k",
IF(tbl_data[[#This Row],[Kilometers_Driven]]&lt;100000,"50k-100k",
IF(tbl_data[[#This Row],[Kilometers_Driven]]&lt;150000,"100k-150k","150k+")))</f>
        <v>100k-150k</v>
      </c>
      <c r="O846" s="1" t="str">
        <f>IF(tbl_data[[#This Row],[Price_USD]]&gt;=87089,"High",
IF(tbl_data[[#This Row],[Price_USD]]&gt;=56807,"Mid","Low"))</f>
        <v>High</v>
      </c>
      <c r="P846" s="1" t="str">
        <f>IF(tbl_data[[#This Row],[Transmission]]="Automatic","Auto","Manual")</f>
        <v>Auto</v>
      </c>
      <c r="Q846" s="1" t="str">
        <f>IFERROR(IF(VALUE(tbl_data[[#This Row],[Engine_CC]])=0,"",VALUE(tbl_data[[#This Row],[Price_USD]])/VALUE(tbl_data[[#This Row],[Engine_CC]])),"")</f>
        <v/>
      </c>
      <c r="R846" s="1" t="str">
        <f>TRIM(tbl_data[[#This Row],[Brand]])</f>
        <v>Ford</v>
      </c>
      <c r="S846" s="1">
        <f>_xlfn.NUMBERVALUE(tbl_data[[#This Row],[Price_USD]],".",",")</f>
        <v>49572.42</v>
      </c>
    </row>
    <row r="847" spans="1:19" x14ac:dyDescent="0.3">
      <c r="A847">
        <v>846</v>
      </c>
      <c r="B847" t="s">
        <v>25</v>
      </c>
      <c r="C847">
        <v>2008</v>
      </c>
      <c r="D847">
        <v>96353</v>
      </c>
      <c r="E847" t="s">
        <v>44</v>
      </c>
      <c r="F847" t="s">
        <v>14</v>
      </c>
      <c r="G847" t="s">
        <v>32</v>
      </c>
      <c r="H847">
        <v>4069</v>
      </c>
      <c r="I847" t="s">
        <v>2388</v>
      </c>
      <c r="J847" t="s">
        <v>137</v>
      </c>
      <c r="K847">
        <v>2</v>
      </c>
      <c r="L847" t="s">
        <v>2389</v>
      </c>
      <c r="M847" s="1" t="str">
        <f>TEXT(DATE(tbl_data[[#This Row],[Model_Year]],1,1),"yyyy")</f>
        <v>2008</v>
      </c>
      <c r="N847" s="1" t="str">
        <f>IF(tbl_data[[#This Row],[Kilometers_Driven]]&lt;50000,"&lt;50k",
IF(tbl_data[[#This Row],[Kilometers_Driven]]&lt;100000,"50k-100k",
IF(tbl_data[[#This Row],[Kilometers_Driven]]&lt;150000,"100k-150k","150k+")))</f>
        <v>50k-100k</v>
      </c>
      <c r="O847" s="1" t="str">
        <f>IF(tbl_data[[#This Row],[Price_USD]]&gt;=87089,"High",
IF(tbl_data[[#This Row],[Price_USD]]&gt;=56807,"Mid","Low"))</f>
        <v>High</v>
      </c>
      <c r="P847" s="1" t="str">
        <f>IF(tbl_data[[#This Row],[Transmission]]="Automatic","Auto","Manual")</f>
        <v>Manual</v>
      </c>
      <c r="Q847" s="1" t="str">
        <f>IFERROR(IF(VALUE(tbl_data[[#This Row],[Engine_CC]])=0,"",VALUE(tbl_data[[#This Row],[Price_USD]])/VALUE(tbl_data[[#This Row],[Engine_CC]])),"")</f>
        <v/>
      </c>
      <c r="R847" s="1" t="str">
        <f>TRIM(tbl_data[[#This Row],[Brand]])</f>
        <v>Kia</v>
      </c>
      <c r="S847" s="1">
        <f>_xlfn.NUMBERVALUE(tbl_data[[#This Row],[Price_USD]],".",",")</f>
        <v>63095.11</v>
      </c>
    </row>
    <row r="848" spans="1:19" x14ac:dyDescent="0.3">
      <c r="A848">
        <v>847</v>
      </c>
      <c r="B848" t="s">
        <v>30</v>
      </c>
      <c r="C848">
        <v>2010</v>
      </c>
      <c r="D848">
        <v>100648</v>
      </c>
      <c r="E848" t="s">
        <v>31</v>
      </c>
      <c r="F848" t="s">
        <v>21</v>
      </c>
      <c r="G848" t="s">
        <v>32</v>
      </c>
      <c r="H848">
        <v>3999</v>
      </c>
      <c r="I848" t="s">
        <v>2390</v>
      </c>
      <c r="J848" t="s">
        <v>2391</v>
      </c>
      <c r="K848">
        <v>2</v>
      </c>
      <c r="L848" t="s">
        <v>2392</v>
      </c>
      <c r="M848" s="1" t="str">
        <f>TEXT(DATE(tbl_data[[#This Row],[Model_Year]],1,1),"yyyy")</f>
        <v>2010</v>
      </c>
      <c r="N848" s="1" t="str">
        <f>IF(tbl_data[[#This Row],[Kilometers_Driven]]&lt;50000,"&lt;50k",
IF(tbl_data[[#This Row],[Kilometers_Driven]]&lt;100000,"50k-100k",
IF(tbl_data[[#This Row],[Kilometers_Driven]]&lt;150000,"100k-150k","150k+")))</f>
        <v>100k-150k</v>
      </c>
      <c r="O848" s="1" t="str">
        <f>IF(tbl_data[[#This Row],[Price_USD]]&gt;=87089,"High",
IF(tbl_data[[#This Row],[Price_USD]]&gt;=56807,"Mid","Low"))</f>
        <v>High</v>
      </c>
      <c r="P848" s="1" t="str">
        <f>IF(tbl_data[[#This Row],[Transmission]]="Automatic","Auto","Manual")</f>
        <v>Auto</v>
      </c>
      <c r="Q848" s="1" t="str">
        <f>IFERROR(IF(VALUE(tbl_data[[#This Row],[Engine_CC]])=0,"",VALUE(tbl_data[[#This Row],[Price_USD]])/VALUE(tbl_data[[#This Row],[Engine_CC]])),"")</f>
        <v/>
      </c>
      <c r="R848" s="1" t="str">
        <f>TRIM(tbl_data[[#This Row],[Brand]])</f>
        <v>Mercedes</v>
      </c>
      <c r="S848" s="1">
        <f>_xlfn.NUMBERVALUE(tbl_data[[#This Row],[Price_USD]],".",",")</f>
        <v>96956.33</v>
      </c>
    </row>
    <row r="849" spans="1:19" x14ac:dyDescent="0.3">
      <c r="A849">
        <v>848</v>
      </c>
      <c r="B849" t="s">
        <v>19</v>
      </c>
      <c r="C849">
        <v>2023</v>
      </c>
      <c r="D849">
        <v>30556</v>
      </c>
      <c r="E849" t="s">
        <v>31</v>
      </c>
      <c r="F849" t="s">
        <v>14</v>
      </c>
      <c r="G849" t="s">
        <v>26</v>
      </c>
      <c r="H849">
        <v>3379</v>
      </c>
      <c r="I849" t="s">
        <v>2393</v>
      </c>
      <c r="J849" t="s">
        <v>2394</v>
      </c>
      <c r="K849">
        <v>5</v>
      </c>
      <c r="L849" t="s">
        <v>2395</v>
      </c>
      <c r="M849" s="1" t="str">
        <f>TEXT(DATE(tbl_data[[#This Row],[Model_Year]],1,1),"yyyy")</f>
        <v>2023</v>
      </c>
      <c r="N849" s="1" t="str">
        <f>IF(tbl_data[[#This Row],[Kilometers_Driven]]&lt;50000,"&lt;50k",
IF(tbl_data[[#This Row],[Kilometers_Driven]]&lt;100000,"50k-100k",
IF(tbl_data[[#This Row],[Kilometers_Driven]]&lt;150000,"100k-150k","150k+")))</f>
        <v>&lt;50k</v>
      </c>
      <c r="O849" s="1" t="str">
        <f>IF(tbl_data[[#This Row],[Price_USD]]&gt;=87089,"High",
IF(tbl_data[[#This Row],[Price_USD]]&gt;=56807,"Mid","Low"))</f>
        <v>High</v>
      </c>
      <c r="P849" s="1" t="str">
        <f>IF(tbl_data[[#This Row],[Transmission]]="Automatic","Auto","Manual")</f>
        <v>Manual</v>
      </c>
      <c r="Q849" s="1" t="str">
        <f>IFERROR(IF(VALUE(tbl_data[[#This Row],[Engine_CC]])=0,"",VALUE(tbl_data[[#This Row],[Price_USD]])/VALUE(tbl_data[[#This Row],[Engine_CC]])),"")</f>
        <v/>
      </c>
      <c r="R849" s="1" t="str">
        <f>TRIM(tbl_data[[#This Row],[Brand]])</f>
        <v>BMW</v>
      </c>
      <c r="S849" s="1">
        <f>_xlfn.NUMBERVALUE(tbl_data[[#This Row],[Price_USD]],".",",")</f>
        <v>46717.08</v>
      </c>
    </row>
    <row r="850" spans="1:19" x14ac:dyDescent="0.3">
      <c r="A850">
        <v>849</v>
      </c>
      <c r="B850" t="s">
        <v>25</v>
      </c>
      <c r="C850">
        <v>2010</v>
      </c>
      <c r="D850">
        <v>64042</v>
      </c>
      <c r="E850" t="s">
        <v>31</v>
      </c>
      <c r="F850" t="s">
        <v>14</v>
      </c>
      <c r="G850" t="s">
        <v>15</v>
      </c>
      <c r="H850">
        <v>4805</v>
      </c>
      <c r="I850" t="s">
        <v>2396</v>
      </c>
      <c r="J850" t="s">
        <v>2397</v>
      </c>
      <c r="K850">
        <v>2</v>
      </c>
      <c r="L850" t="s">
        <v>2398</v>
      </c>
      <c r="M850" s="1" t="str">
        <f>TEXT(DATE(tbl_data[[#This Row],[Model_Year]],1,1),"yyyy")</f>
        <v>2010</v>
      </c>
      <c r="N850" s="1" t="str">
        <f>IF(tbl_data[[#This Row],[Kilometers_Driven]]&lt;50000,"&lt;50k",
IF(tbl_data[[#This Row],[Kilometers_Driven]]&lt;100000,"50k-100k",
IF(tbl_data[[#This Row],[Kilometers_Driven]]&lt;150000,"100k-150k","150k+")))</f>
        <v>50k-100k</v>
      </c>
      <c r="O850" s="1" t="str">
        <f>IF(tbl_data[[#This Row],[Price_USD]]&gt;=87089,"High",
IF(tbl_data[[#This Row],[Price_USD]]&gt;=56807,"Mid","Low"))</f>
        <v>High</v>
      </c>
      <c r="P850" s="1" t="str">
        <f>IF(tbl_data[[#This Row],[Transmission]]="Automatic","Auto","Manual")</f>
        <v>Manual</v>
      </c>
      <c r="Q850" s="1" t="str">
        <f>IFERROR(IF(VALUE(tbl_data[[#This Row],[Engine_CC]])=0,"",VALUE(tbl_data[[#This Row],[Price_USD]])/VALUE(tbl_data[[#This Row],[Engine_CC]])),"")</f>
        <v/>
      </c>
      <c r="R850" s="1" t="str">
        <f>TRIM(tbl_data[[#This Row],[Brand]])</f>
        <v>Kia</v>
      </c>
      <c r="S850" s="1">
        <f>_xlfn.NUMBERVALUE(tbl_data[[#This Row],[Price_USD]],".",",")</f>
        <v>48410.21</v>
      </c>
    </row>
    <row r="851" spans="1:19" x14ac:dyDescent="0.3">
      <c r="A851">
        <v>850</v>
      </c>
      <c r="B851" t="s">
        <v>69</v>
      </c>
      <c r="C851">
        <v>2006</v>
      </c>
      <c r="D851">
        <v>23099</v>
      </c>
      <c r="E851" t="s">
        <v>13</v>
      </c>
      <c r="F851" t="s">
        <v>14</v>
      </c>
      <c r="G851" t="s">
        <v>26</v>
      </c>
      <c r="H851">
        <v>1040</v>
      </c>
      <c r="I851" t="s">
        <v>2399</v>
      </c>
      <c r="J851" t="s">
        <v>2400</v>
      </c>
      <c r="K851">
        <v>6</v>
      </c>
      <c r="L851" t="s">
        <v>2401</v>
      </c>
      <c r="M851" s="1" t="str">
        <f>TEXT(DATE(tbl_data[[#This Row],[Model_Year]],1,1),"yyyy")</f>
        <v>2006</v>
      </c>
      <c r="N851" s="1" t="str">
        <f>IF(tbl_data[[#This Row],[Kilometers_Driven]]&lt;50000,"&lt;50k",
IF(tbl_data[[#This Row],[Kilometers_Driven]]&lt;100000,"50k-100k",
IF(tbl_data[[#This Row],[Kilometers_Driven]]&lt;150000,"100k-150k","150k+")))</f>
        <v>&lt;50k</v>
      </c>
      <c r="O851" s="1" t="str">
        <f>IF(tbl_data[[#This Row],[Price_USD]]&gt;=87089,"High",
IF(tbl_data[[#This Row],[Price_USD]]&gt;=56807,"Mid","Low"))</f>
        <v>High</v>
      </c>
      <c r="P851" s="1" t="str">
        <f>IF(tbl_data[[#This Row],[Transmission]]="Automatic","Auto","Manual")</f>
        <v>Manual</v>
      </c>
      <c r="Q851" s="1" t="str">
        <f>IFERROR(IF(VALUE(tbl_data[[#This Row],[Engine_CC]])=0,"",VALUE(tbl_data[[#This Row],[Price_USD]])/VALUE(tbl_data[[#This Row],[Engine_CC]])),"")</f>
        <v/>
      </c>
      <c r="R851" s="1" t="str">
        <f>TRIM(tbl_data[[#This Row],[Brand]])</f>
        <v>Hyundai</v>
      </c>
      <c r="S851" s="1">
        <f>_xlfn.NUMBERVALUE(tbl_data[[#This Row],[Price_USD]],".",",")</f>
        <v>14195.74</v>
      </c>
    </row>
    <row r="852" spans="1:19" x14ac:dyDescent="0.3">
      <c r="A852">
        <v>851</v>
      </c>
      <c r="B852" t="s">
        <v>76</v>
      </c>
      <c r="C852">
        <v>2022</v>
      </c>
      <c r="D852">
        <v>114089</v>
      </c>
      <c r="E852" t="s">
        <v>13</v>
      </c>
      <c r="F852" t="s">
        <v>14</v>
      </c>
      <c r="G852" t="s">
        <v>32</v>
      </c>
      <c r="H852">
        <v>4240</v>
      </c>
      <c r="I852" t="s">
        <v>2402</v>
      </c>
      <c r="J852" t="s">
        <v>2403</v>
      </c>
      <c r="K852">
        <v>2</v>
      </c>
      <c r="L852" t="s">
        <v>2404</v>
      </c>
      <c r="M852" s="1" t="str">
        <f>TEXT(DATE(tbl_data[[#This Row],[Model_Year]],1,1),"yyyy")</f>
        <v>2022</v>
      </c>
      <c r="N852" s="1" t="str">
        <f>IF(tbl_data[[#This Row],[Kilometers_Driven]]&lt;50000,"&lt;50k",
IF(tbl_data[[#This Row],[Kilometers_Driven]]&lt;100000,"50k-100k",
IF(tbl_data[[#This Row],[Kilometers_Driven]]&lt;150000,"100k-150k","150k+")))</f>
        <v>100k-150k</v>
      </c>
      <c r="O852" s="1" t="str">
        <f>IF(tbl_data[[#This Row],[Price_USD]]&gt;=87089,"High",
IF(tbl_data[[#This Row],[Price_USD]]&gt;=56807,"Mid","Low"))</f>
        <v>High</v>
      </c>
      <c r="P852" s="1" t="str">
        <f>IF(tbl_data[[#This Row],[Transmission]]="Automatic","Auto","Manual")</f>
        <v>Manual</v>
      </c>
      <c r="Q852" s="1" t="str">
        <f>IFERROR(IF(VALUE(tbl_data[[#This Row],[Engine_CC]])=0,"",VALUE(tbl_data[[#This Row],[Price_USD]])/VALUE(tbl_data[[#This Row],[Engine_CC]])),"")</f>
        <v/>
      </c>
      <c r="R852" s="1" t="str">
        <f>TRIM(tbl_data[[#This Row],[Brand]])</f>
        <v>Honda</v>
      </c>
      <c r="S852" s="1">
        <f>_xlfn.NUMBERVALUE(tbl_data[[#This Row],[Price_USD]],".",",")</f>
        <v>110006.38</v>
      </c>
    </row>
    <row r="853" spans="1:19" x14ac:dyDescent="0.3">
      <c r="A853">
        <v>852</v>
      </c>
      <c r="B853" t="s">
        <v>19</v>
      </c>
      <c r="C853">
        <v>2017</v>
      </c>
      <c r="D853">
        <v>181168</v>
      </c>
      <c r="E853" t="s">
        <v>13</v>
      </c>
      <c r="F853" t="s">
        <v>21</v>
      </c>
      <c r="G853" t="s">
        <v>15</v>
      </c>
      <c r="H853">
        <v>2207</v>
      </c>
      <c r="I853" t="s">
        <v>2405</v>
      </c>
      <c r="J853" t="s">
        <v>2406</v>
      </c>
      <c r="K853">
        <v>7</v>
      </c>
      <c r="L853" t="s">
        <v>2407</v>
      </c>
      <c r="M853" s="1" t="str">
        <f>TEXT(DATE(tbl_data[[#This Row],[Model_Year]],1,1),"yyyy")</f>
        <v>2017</v>
      </c>
      <c r="N853" s="1" t="str">
        <f>IF(tbl_data[[#This Row],[Kilometers_Driven]]&lt;50000,"&lt;50k",
IF(tbl_data[[#This Row],[Kilometers_Driven]]&lt;100000,"50k-100k",
IF(tbl_data[[#This Row],[Kilometers_Driven]]&lt;150000,"100k-150k","150k+")))</f>
        <v>150k+</v>
      </c>
      <c r="O853" s="1" t="str">
        <f>IF(tbl_data[[#This Row],[Price_USD]]&gt;=87089,"High",
IF(tbl_data[[#This Row],[Price_USD]]&gt;=56807,"Mid","Low"))</f>
        <v>High</v>
      </c>
      <c r="P853" s="1" t="str">
        <f>IF(tbl_data[[#This Row],[Transmission]]="Automatic","Auto","Manual")</f>
        <v>Auto</v>
      </c>
      <c r="Q853" s="1" t="str">
        <f>IFERROR(IF(VALUE(tbl_data[[#This Row],[Engine_CC]])=0,"",VALUE(tbl_data[[#This Row],[Price_USD]])/VALUE(tbl_data[[#This Row],[Engine_CC]])),"")</f>
        <v/>
      </c>
      <c r="R853" s="1" t="str">
        <f>TRIM(tbl_data[[#This Row],[Brand]])</f>
        <v>BMW</v>
      </c>
      <c r="S853" s="1">
        <f>_xlfn.NUMBERVALUE(tbl_data[[#This Row],[Price_USD]],".",",")</f>
        <v>13651.25</v>
      </c>
    </row>
    <row r="854" spans="1:19" x14ac:dyDescent="0.3">
      <c r="A854">
        <v>853</v>
      </c>
      <c r="B854" t="s">
        <v>19</v>
      </c>
      <c r="C854">
        <v>2013</v>
      </c>
      <c r="D854">
        <v>149302</v>
      </c>
      <c r="E854" t="s">
        <v>31</v>
      </c>
      <c r="F854" t="s">
        <v>14</v>
      </c>
      <c r="G854" t="s">
        <v>26</v>
      </c>
      <c r="H854">
        <v>4302</v>
      </c>
      <c r="I854" t="s">
        <v>2408</v>
      </c>
      <c r="J854" t="s">
        <v>1143</v>
      </c>
      <c r="K854">
        <v>4</v>
      </c>
      <c r="L854" t="s">
        <v>2409</v>
      </c>
      <c r="M854" s="1" t="str">
        <f>TEXT(DATE(tbl_data[[#This Row],[Model_Year]],1,1),"yyyy")</f>
        <v>2013</v>
      </c>
      <c r="N854" s="1" t="str">
        <f>IF(tbl_data[[#This Row],[Kilometers_Driven]]&lt;50000,"&lt;50k",
IF(tbl_data[[#This Row],[Kilometers_Driven]]&lt;100000,"50k-100k",
IF(tbl_data[[#This Row],[Kilometers_Driven]]&lt;150000,"100k-150k","150k+")))</f>
        <v>100k-150k</v>
      </c>
      <c r="O854" s="1" t="str">
        <f>IF(tbl_data[[#This Row],[Price_USD]]&gt;=87089,"High",
IF(tbl_data[[#This Row],[Price_USD]]&gt;=56807,"Mid","Low"))</f>
        <v>High</v>
      </c>
      <c r="P854" s="1" t="str">
        <f>IF(tbl_data[[#This Row],[Transmission]]="Automatic","Auto","Manual")</f>
        <v>Manual</v>
      </c>
      <c r="Q854" s="1" t="str">
        <f>IFERROR(IF(VALUE(tbl_data[[#This Row],[Engine_CC]])=0,"",VALUE(tbl_data[[#This Row],[Price_USD]])/VALUE(tbl_data[[#This Row],[Engine_CC]])),"")</f>
        <v/>
      </c>
      <c r="R854" s="1" t="str">
        <f>TRIM(tbl_data[[#This Row],[Brand]])</f>
        <v>BMW</v>
      </c>
      <c r="S854" s="1">
        <f>_xlfn.NUMBERVALUE(tbl_data[[#This Row],[Price_USD]],".",",")</f>
        <v>78840.47</v>
      </c>
    </row>
    <row r="855" spans="1:19" x14ac:dyDescent="0.3">
      <c r="A855">
        <v>854</v>
      </c>
      <c r="B855" t="s">
        <v>69</v>
      </c>
      <c r="C855">
        <v>2023</v>
      </c>
      <c r="D855">
        <v>165081</v>
      </c>
      <c r="E855" t="s">
        <v>20</v>
      </c>
      <c r="F855" t="s">
        <v>14</v>
      </c>
      <c r="G855" t="s">
        <v>15</v>
      </c>
      <c r="H855">
        <v>4838</v>
      </c>
      <c r="I855" t="s">
        <v>2410</v>
      </c>
      <c r="J855" t="s">
        <v>2411</v>
      </c>
      <c r="K855">
        <v>7</v>
      </c>
      <c r="L855" t="s">
        <v>2412</v>
      </c>
      <c r="M855" s="1" t="str">
        <f>TEXT(DATE(tbl_data[[#This Row],[Model_Year]],1,1),"yyyy")</f>
        <v>2023</v>
      </c>
      <c r="N855" s="1" t="str">
        <f>IF(tbl_data[[#This Row],[Kilometers_Driven]]&lt;50000,"&lt;50k",
IF(tbl_data[[#This Row],[Kilometers_Driven]]&lt;100000,"50k-100k",
IF(tbl_data[[#This Row],[Kilometers_Driven]]&lt;150000,"100k-150k","150k+")))</f>
        <v>150k+</v>
      </c>
      <c r="O855" s="1" t="str">
        <f>IF(tbl_data[[#This Row],[Price_USD]]&gt;=87089,"High",
IF(tbl_data[[#This Row],[Price_USD]]&gt;=56807,"Mid","Low"))</f>
        <v>High</v>
      </c>
      <c r="P855" s="1" t="str">
        <f>IF(tbl_data[[#This Row],[Transmission]]="Automatic","Auto","Manual")</f>
        <v>Manual</v>
      </c>
      <c r="Q855" s="1" t="str">
        <f>IFERROR(IF(VALUE(tbl_data[[#This Row],[Engine_CC]])=0,"",VALUE(tbl_data[[#This Row],[Price_USD]])/VALUE(tbl_data[[#This Row],[Engine_CC]])),"")</f>
        <v/>
      </c>
      <c r="R855" s="1" t="str">
        <f>TRIM(tbl_data[[#This Row],[Brand]])</f>
        <v>Hyundai</v>
      </c>
      <c r="S855" s="1">
        <f>_xlfn.NUMBERVALUE(tbl_data[[#This Row],[Price_USD]],".",",")</f>
        <v>51343.75</v>
      </c>
    </row>
    <row r="856" spans="1:19" x14ac:dyDescent="0.3">
      <c r="A856">
        <v>855</v>
      </c>
      <c r="B856" t="s">
        <v>69</v>
      </c>
      <c r="C856">
        <v>2017</v>
      </c>
      <c r="D856">
        <v>38866</v>
      </c>
      <c r="E856" t="s">
        <v>44</v>
      </c>
      <c r="F856" t="s">
        <v>21</v>
      </c>
      <c r="G856" t="s">
        <v>15</v>
      </c>
      <c r="H856">
        <v>882</v>
      </c>
      <c r="I856" t="s">
        <v>2413</v>
      </c>
      <c r="J856" t="s">
        <v>2414</v>
      </c>
      <c r="K856">
        <v>5</v>
      </c>
      <c r="L856" t="s">
        <v>2415</v>
      </c>
      <c r="M856" s="1" t="str">
        <f>TEXT(DATE(tbl_data[[#This Row],[Model_Year]],1,1),"yyyy")</f>
        <v>2017</v>
      </c>
      <c r="N856" s="1" t="str">
        <f>IF(tbl_data[[#This Row],[Kilometers_Driven]]&lt;50000,"&lt;50k",
IF(tbl_data[[#This Row],[Kilometers_Driven]]&lt;100000,"50k-100k",
IF(tbl_data[[#This Row],[Kilometers_Driven]]&lt;150000,"100k-150k","150k+")))</f>
        <v>&lt;50k</v>
      </c>
      <c r="O856" s="1" t="str">
        <f>IF(tbl_data[[#This Row],[Price_USD]]&gt;=87089,"High",
IF(tbl_data[[#This Row],[Price_USD]]&gt;=56807,"Mid","Low"))</f>
        <v>High</v>
      </c>
      <c r="P856" s="1" t="str">
        <f>IF(tbl_data[[#This Row],[Transmission]]="Automatic","Auto","Manual")</f>
        <v>Auto</v>
      </c>
      <c r="Q856" s="1" t="str">
        <f>IFERROR(IF(VALUE(tbl_data[[#This Row],[Engine_CC]])=0,"",VALUE(tbl_data[[#This Row],[Price_USD]])/VALUE(tbl_data[[#This Row],[Engine_CC]])),"")</f>
        <v/>
      </c>
      <c r="R856" s="1" t="str">
        <f>TRIM(tbl_data[[#This Row],[Brand]])</f>
        <v>Hyundai</v>
      </c>
      <c r="S856" s="1">
        <f>_xlfn.NUMBERVALUE(tbl_data[[#This Row],[Price_USD]],".",",")</f>
        <v>50457.47</v>
      </c>
    </row>
    <row r="857" spans="1:19" x14ac:dyDescent="0.3">
      <c r="A857">
        <v>856</v>
      </c>
      <c r="B857" t="s">
        <v>92</v>
      </c>
      <c r="C857">
        <v>2015</v>
      </c>
      <c r="D857">
        <v>110400</v>
      </c>
      <c r="E857" t="s">
        <v>31</v>
      </c>
      <c r="F857" t="s">
        <v>14</v>
      </c>
      <c r="G857" t="s">
        <v>26</v>
      </c>
      <c r="H857">
        <v>4568</v>
      </c>
      <c r="I857" t="s">
        <v>2416</v>
      </c>
      <c r="J857" t="s">
        <v>2417</v>
      </c>
      <c r="K857">
        <v>2</v>
      </c>
      <c r="L857" t="s">
        <v>2418</v>
      </c>
      <c r="M857" s="1" t="str">
        <f>TEXT(DATE(tbl_data[[#This Row],[Model_Year]],1,1),"yyyy")</f>
        <v>2015</v>
      </c>
      <c r="N857" s="1" t="str">
        <f>IF(tbl_data[[#This Row],[Kilometers_Driven]]&lt;50000,"&lt;50k",
IF(tbl_data[[#This Row],[Kilometers_Driven]]&lt;100000,"50k-100k",
IF(tbl_data[[#This Row],[Kilometers_Driven]]&lt;150000,"100k-150k","150k+")))</f>
        <v>100k-150k</v>
      </c>
      <c r="O857" s="1" t="str">
        <f>IF(tbl_data[[#This Row],[Price_USD]]&gt;=87089,"High",
IF(tbl_data[[#This Row],[Price_USD]]&gt;=56807,"Mid","Low"))</f>
        <v>High</v>
      </c>
      <c r="P857" s="1" t="str">
        <f>IF(tbl_data[[#This Row],[Transmission]]="Automatic","Auto","Manual")</f>
        <v>Manual</v>
      </c>
      <c r="Q857" s="1" t="str">
        <f>IFERROR(IF(VALUE(tbl_data[[#This Row],[Engine_CC]])=0,"",VALUE(tbl_data[[#This Row],[Price_USD]])/VALUE(tbl_data[[#This Row],[Engine_CC]])),"")</f>
        <v/>
      </c>
      <c r="R857" s="1" t="str">
        <f>TRIM(tbl_data[[#This Row],[Brand]])</f>
        <v>Toyota</v>
      </c>
      <c r="S857" s="1">
        <f>_xlfn.NUMBERVALUE(tbl_data[[#This Row],[Price_USD]],".",",")</f>
        <v>82507.56</v>
      </c>
    </row>
    <row r="858" spans="1:19" x14ac:dyDescent="0.3">
      <c r="A858">
        <v>857</v>
      </c>
      <c r="B858" t="s">
        <v>25</v>
      </c>
      <c r="C858">
        <v>2005</v>
      </c>
      <c r="D858">
        <v>89246</v>
      </c>
      <c r="E858" t="s">
        <v>13</v>
      </c>
      <c r="F858" t="s">
        <v>14</v>
      </c>
      <c r="G858" t="s">
        <v>15</v>
      </c>
      <c r="H858">
        <v>1750</v>
      </c>
      <c r="I858" t="s">
        <v>54</v>
      </c>
      <c r="J858" t="s">
        <v>2419</v>
      </c>
      <c r="K858">
        <v>2</v>
      </c>
      <c r="L858" t="s">
        <v>2420</v>
      </c>
      <c r="M858" s="1" t="str">
        <f>TEXT(DATE(tbl_data[[#This Row],[Model_Year]],1,1),"yyyy")</f>
        <v>2005</v>
      </c>
      <c r="N858" s="1" t="str">
        <f>IF(tbl_data[[#This Row],[Kilometers_Driven]]&lt;50000,"&lt;50k",
IF(tbl_data[[#This Row],[Kilometers_Driven]]&lt;100000,"50k-100k",
IF(tbl_data[[#This Row],[Kilometers_Driven]]&lt;150000,"100k-150k","150k+")))</f>
        <v>50k-100k</v>
      </c>
      <c r="O858" s="1" t="str">
        <f>IF(tbl_data[[#This Row],[Price_USD]]&gt;=87089,"High",
IF(tbl_data[[#This Row],[Price_USD]]&gt;=56807,"Mid","Low"))</f>
        <v>High</v>
      </c>
      <c r="P858" s="1" t="str">
        <f>IF(tbl_data[[#This Row],[Transmission]]="Automatic","Auto","Manual")</f>
        <v>Manual</v>
      </c>
      <c r="Q858" s="1" t="str">
        <f>IFERROR(IF(VALUE(tbl_data[[#This Row],[Engine_CC]])=0,"",VALUE(tbl_data[[#This Row],[Price_USD]])/VALUE(tbl_data[[#This Row],[Engine_CC]])),"")</f>
        <v/>
      </c>
      <c r="R858" s="1" t="str">
        <f>TRIM(tbl_data[[#This Row],[Brand]])</f>
        <v>Kia</v>
      </c>
      <c r="S858" s="1">
        <f>_xlfn.NUMBERVALUE(tbl_data[[#This Row],[Price_USD]],".",",")</f>
        <v>10849.97</v>
      </c>
    </row>
    <row r="859" spans="1:19" x14ac:dyDescent="0.3">
      <c r="A859">
        <v>858</v>
      </c>
      <c r="B859" t="s">
        <v>69</v>
      </c>
      <c r="C859">
        <v>2011</v>
      </c>
      <c r="D859">
        <v>81975</v>
      </c>
      <c r="E859" t="s">
        <v>13</v>
      </c>
      <c r="F859" t="s">
        <v>21</v>
      </c>
      <c r="G859" t="s">
        <v>26</v>
      </c>
      <c r="H859">
        <v>1410</v>
      </c>
      <c r="I859" t="s">
        <v>2421</v>
      </c>
      <c r="J859" t="s">
        <v>2422</v>
      </c>
      <c r="K859">
        <v>6</v>
      </c>
      <c r="L859" t="s">
        <v>2423</v>
      </c>
      <c r="M859" s="1" t="str">
        <f>TEXT(DATE(tbl_data[[#This Row],[Model_Year]],1,1),"yyyy")</f>
        <v>2011</v>
      </c>
      <c r="N859" s="1" t="str">
        <f>IF(tbl_data[[#This Row],[Kilometers_Driven]]&lt;50000,"&lt;50k",
IF(tbl_data[[#This Row],[Kilometers_Driven]]&lt;100000,"50k-100k",
IF(tbl_data[[#This Row],[Kilometers_Driven]]&lt;150000,"100k-150k","150k+")))</f>
        <v>50k-100k</v>
      </c>
      <c r="O859" s="1" t="str">
        <f>IF(tbl_data[[#This Row],[Price_USD]]&gt;=87089,"High",
IF(tbl_data[[#This Row],[Price_USD]]&gt;=56807,"Mid","Low"))</f>
        <v>High</v>
      </c>
      <c r="P859" s="1" t="str">
        <f>IF(tbl_data[[#This Row],[Transmission]]="Automatic","Auto","Manual")</f>
        <v>Auto</v>
      </c>
      <c r="Q859" s="1" t="str">
        <f>IFERROR(IF(VALUE(tbl_data[[#This Row],[Engine_CC]])=0,"",VALUE(tbl_data[[#This Row],[Price_USD]])/VALUE(tbl_data[[#This Row],[Engine_CC]])),"")</f>
        <v/>
      </c>
      <c r="R859" s="1" t="str">
        <f>TRIM(tbl_data[[#This Row],[Brand]])</f>
        <v>Hyundai</v>
      </c>
      <c r="S859" s="1">
        <f>_xlfn.NUMBERVALUE(tbl_data[[#This Row],[Price_USD]],".",",")</f>
        <v>72463.58</v>
      </c>
    </row>
    <row r="860" spans="1:19" x14ac:dyDescent="0.3">
      <c r="A860">
        <v>859</v>
      </c>
      <c r="B860" t="s">
        <v>43</v>
      </c>
      <c r="C860">
        <v>2019</v>
      </c>
      <c r="D860">
        <v>177927</v>
      </c>
      <c r="E860" t="s">
        <v>31</v>
      </c>
      <c r="F860" t="s">
        <v>21</v>
      </c>
      <c r="G860" t="s">
        <v>32</v>
      </c>
      <c r="H860">
        <v>4405</v>
      </c>
      <c r="I860" t="s">
        <v>2424</v>
      </c>
      <c r="J860" t="s">
        <v>2425</v>
      </c>
      <c r="K860">
        <v>2</v>
      </c>
      <c r="L860" t="s">
        <v>2426</v>
      </c>
      <c r="M860" s="1" t="str">
        <f>TEXT(DATE(tbl_data[[#This Row],[Model_Year]],1,1),"yyyy")</f>
        <v>2019</v>
      </c>
      <c r="N860" s="1" t="str">
        <f>IF(tbl_data[[#This Row],[Kilometers_Driven]]&lt;50000,"&lt;50k",
IF(tbl_data[[#This Row],[Kilometers_Driven]]&lt;100000,"50k-100k",
IF(tbl_data[[#This Row],[Kilometers_Driven]]&lt;150000,"100k-150k","150k+")))</f>
        <v>150k+</v>
      </c>
      <c r="O860" s="1" t="str">
        <f>IF(tbl_data[[#This Row],[Price_USD]]&gt;=87089,"High",
IF(tbl_data[[#This Row],[Price_USD]]&gt;=56807,"Mid","Low"))</f>
        <v>High</v>
      </c>
      <c r="P860" s="1" t="str">
        <f>IF(tbl_data[[#This Row],[Transmission]]="Automatic","Auto","Manual")</f>
        <v>Auto</v>
      </c>
      <c r="Q860" s="1" t="str">
        <f>IFERROR(IF(VALUE(tbl_data[[#This Row],[Engine_CC]])=0,"",VALUE(tbl_data[[#This Row],[Price_USD]])/VALUE(tbl_data[[#This Row],[Engine_CC]])),"")</f>
        <v/>
      </c>
      <c r="R860" s="1" t="str">
        <f>TRIM(tbl_data[[#This Row],[Brand]])</f>
        <v>Ford</v>
      </c>
      <c r="S860" s="1">
        <f>_xlfn.NUMBERVALUE(tbl_data[[#This Row],[Price_USD]],".",",")</f>
        <v>93327.72</v>
      </c>
    </row>
    <row r="861" spans="1:19" x14ac:dyDescent="0.3">
      <c r="A861">
        <v>860</v>
      </c>
      <c r="B861" t="s">
        <v>102</v>
      </c>
      <c r="C861">
        <v>2005</v>
      </c>
      <c r="D861">
        <v>86557</v>
      </c>
      <c r="E861" t="s">
        <v>31</v>
      </c>
      <c r="F861" t="s">
        <v>21</v>
      </c>
      <c r="G861" t="s">
        <v>15</v>
      </c>
      <c r="H861">
        <v>4083</v>
      </c>
      <c r="I861" t="s">
        <v>2427</v>
      </c>
      <c r="J861" t="s">
        <v>2428</v>
      </c>
      <c r="K861">
        <v>7</v>
      </c>
      <c r="L861" t="s">
        <v>2429</v>
      </c>
      <c r="M861" s="1" t="str">
        <f>TEXT(DATE(tbl_data[[#This Row],[Model_Year]],1,1),"yyyy")</f>
        <v>2005</v>
      </c>
      <c r="N861" s="1" t="str">
        <f>IF(tbl_data[[#This Row],[Kilometers_Driven]]&lt;50000,"&lt;50k",
IF(tbl_data[[#This Row],[Kilometers_Driven]]&lt;100000,"50k-100k",
IF(tbl_data[[#This Row],[Kilometers_Driven]]&lt;150000,"100k-150k","150k+")))</f>
        <v>50k-100k</v>
      </c>
      <c r="O861" s="1" t="str">
        <f>IF(tbl_data[[#This Row],[Price_USD]]&gt;=87089,"High",
IF(tbl_data[[#This Row],[Price_USD]]&gt;=56807,"Mid","Low"))</f>
        <v>High</v>
      </c>
      <c r="P861" s="1" t="str">
        <f>IF(tbl_data[[#This Row],[Transmission]]="Automatic","Auto","Manual")</f>
        <v>Auto</v>
      </c>
      <c r="Q861" s="1" t="str">
        <f>IFERROR(IF(VALUE(tbl_data[[#This Row],[Engine_CC]])=0,"",VALUE(tbl_data[[#This Row],[Price_USD]])/VALUE(tbl_data[[#This Row],[Engine_CC]])),"")</f>
        <v/>
      </c>
      <c r="R861" s="1" t="str">
        <f>TRIM(tbl_data[[#This Row],[Brand]])</f>
        <v>Nissan</v>
      </c>
      <c r="S861" s="1">
        <f>_xlfn.NUMBERVALUE(tbl_data[[#This Row],[Price_USD]],".",",")</f>
        <v>99900.89</v>
      </c>
    </row>
    <row r="862" spans="1:19" x14ac:dyDescent="0.3">
      <c r="A862">
        <v>861</v>
      </c>
      <c r="B862" t="s">
        <v>76</v>
      </c>
      <c r="C862">
        <v>2016</v>
      </c>
      <c r="D862">
        <v>142488</v>
      </c>
      <c r="E862" t="s">
        <v>13</v>
      </c>
      <c r="F862" t="s">
        <v>14</v>
      </c>
      <c r="G862" t="s">
        <v>32</v>
      </c>
      <c r="H862">
        <v>2973</v>
      </c>
      <c r="I862" t="s">
        <v>2430</v>
      </c>
      <c r="J862" t="s">
        <v>2431</v>
      </c>
      <c r="K862">
        <v>5</v>
      </c>
      <c r="L862" t="s">
        <v>2432</v>
      </c>
      <c r="M862" s="1" t="str">
        <f>TEXT(DATE(tbl_data[[#This Row],[Model_Year]],1,1),"yyyy")</f>
        <v>2016</v>
      </c>
      <c r="N862" s="1" t="str">
        <f>IF(tbl_data[[#This Row],[Kilometers_Driven]]&lt;50000,"&lt;50k",
IF(tbl_data[[#This Row],[Kilometers_Driven]]&lt;100000,"50k-100k",
IF(tbl_data[[#This Row],[Kilometers_Driven]]&lt;150000,"100k-150k","150k+")))</f>
        <v>100k-150k</v>
      </c>
      <c r="O862" s="1" t="str">
        <f>IF(tbl_data[[#This Row],[Price_USD]]&gt;=87089,"High",
IF(tbl_data[[#This Row],[Price_USD]]&gt;=56807,"Mid","Low"))</f>
        <v>High</v>
      </c>
      <c r="P862" s="1" t="str">
        <f>IF(tbl_data[[#This Row],[Transmission]]="Automatic","Auto","Manual")</f>
        <v>Manual</v>
      </c>
      <c r="Q862" s="1" t="str">
        <f>IFERROR(IF(VALUE(tbl_data[[#This Row],[Engine_CC]])=0,"",VALUE(tbl_data[[#This Row],[Price_USD]])/VALUE(tbl_data[[#This Row],[Engine_CC]])),"")</f>
        <v/>
      </c>
      <c r="R862" s="1" t="str">
        <f>TRIM(tbl_data[[#This Row],[Brand]])</f>
        <v>Honda</v>
      </c>
      <c r="S862" s="1">
        <f>_xlfn.NUMBERVALUE(tbl_data[[#This Row],[Price_USD]],".",",")</f>
        <v>22952.06</v>
      </c>
    </row>
    <row r="863" spans="1:19" x14ac:dyDescent="0.3">
      <c r="A863">
        <v>862</v>
      </c>
      <c r="B863" t="s">
        <v>25</v>
      </c>
      <c r="C863">
        <v>2011</v>
      </c>
      <c r="D863">
        <v>77516</v>
      </c>
      <c r="E863" t="s">
        <v>20</v>
      </c>
      <c r="F863" t="s">
        <v>21</v>
      </c>
      <c r="G863" t="s">
        <v>32</v>
      </c>
      <c r="H863">
        <v>4284</v>
      </c>
      <c r="I863" t="s">
        <v>2433</v>
      </c>
      <c r="J863" t="s">
        <v>2434</v>
      </c>
      <c r="K863">
        <v>4</v>
      </c>
      <c r="L863" t="s">
        <v>2435</v>
      </c>
      <c r="M863" s="1" t="str">
        <f>TEXT(DATE(tbl_data[[#This Row],[Model_Year]],1,1),"yyyy")</f>
        <v>2011</v>
      </c>
      <c r="N863" s="1" t="str">
        <f>IF(tbl_data[[#This Row],[Kilometers_Driven]]&lt;50000,"&lt;50k",
IF(tbl_data[[#This Row],[Kilometers_Driven]]&lt;100000,"50k-100k",
IF(tbl_data[[#This Row],[Kilometers_Driven]]&lt;150000,"100k-150k","150k+")))</f>
        <v>50k-100k</v>
      </c>
      <c r="O863" s="1" t="str">
        <f>IF(tbl_data[[#This Row],[Price_USD]]&gt;=87089,"High",
IF(tbl_data[[#This Row],[Price_USD]]&gt;=56807,"Mid","Low"))</f>
        <v>High</v>
      </c>
      <c r="P863" s="1" t="str">
        <f>IF(tbl_data[[#This Row],[Transmission]]="Automatic","Auto","Manual")</f>
        <v>Auto</v>
      </c>
      <c r="Q863" s="1" t="str">
        <f>IFERROR(IF(VALUE(tbl_data[[#This Row],[Engine_CC]])=0,"",VALUE(tbl_data[[#This Row],[Price_USD]])/VALUE(tbl_data[[#This Row],[Engine_CC]])),"")</f>
        <v/>
      </c>
      <c r="R863" s="1" t="str">
        <f>TRIM(tbl_data[[#This Row],[Brand]])</f>
        <v>Kia</v>
      </c>
      <c r="S863" s="1">
        <f>_xlfn.NUMBERVALUE(tbl_data[[#This Row],[Price_USD]],".",",")</f>
        <v>107998.03</v>
      </c>
    </row>
    <row r="864" spans="1:19" x14ac:dyDescent="0.3">
      <c r="A864">
        <v>863</v>
      </c>
      <c r="B864" t="s">
        <v>39</v>
      </c>
      <c r="C864">
        <v>2019</v>
      </c>
      <c r="D864">
        <v>191987</v>
      </c>
      <c r="E864" t="s">
        <v>13</v>
      </c>
      <c r="F864" t="s">
        <v>21</v>
      </c>
      <c r="G864" t="s">
        <v>15</v>
      </c>
      <c r="H864">
        <v>2322</v>
      </c>
      <c r="I864" t="s">
        <v>2436</v>
      </c>
      <c r="J864" t="s">
        <v>626</v>
      </c>
      <c r="K864">
        <v>2</v>
      </c>
      <c r="L864" t="s">
        <v>2437</v>
      </c>
      <c r="M864" s="1" t="str">
        <f>TEXT(DATE(tbl_data[[#This Row],[Model_Year]],1,1),"yyyy")</f>
        <v>2019</v>
      </c>
      <c r="N864" s="1" t="str">
        <f>IF(tbl_data[[#This Row],[Kilometers_Driven]]&lt;50000,"&lt;50k",
IF(tbl_data[[#This Row],[Kilometers_Driven]]&lt;100000,"50k-100k",
IF(tbl_data[[#This Row],[Kilometers_Driven]]&lt;150000,"100k-150k","150k+")))</f>
        <v>150k+</v>
      </c>
      <c r="O864" s="1" t="str">
        <f>IF(tbl_data[[#This Row],[Price_USD]]&gt;=87089,"High",
IF(tbl_data[[#This Row],[Price_USD]]&gt;=56807,"Mid","Low"))</f>
        <v>High</v>
      </c>
      <c r="P864" s="1" t="str">
        <f>IF(tbl_data[[#This Row],[Transmission]]="Automatic","Auto","Manual")</f>
        <v>Auto</v>
      </c>
      <c r="Q864" s="1" t="str">
        <f>IFERROR(IF(VALUE(tbl_data[[#This Row],[Engine_CC]])=0,"",VALUE(tbl_data[[#This Row],[Price_USD]])/VALUE(tbl_data[[#This Row],[Engine_CC]])),"")</f>
        <v/>
      </c>
      <c r="R864" s="1" t="str">
        <f>TRIM(tbl_data[[#This Row],[Brand]])</f>
        <v>Volkswagen</v>
      </c>
      <c r="S864" s="1">
        <f>_xlfn.NUMBERVALUE(tbl_data[[#This Row],[Price_USD]],".",",")</f>
        <v>79769.09</v>
      </c>
    </row>
    <row r="865" spans="1:19" x14ac:dyDescent="0.3">
      <c r="A865">
        <v>864</v>
      </c>
      <c r="B865" t="s">
        <v>43</v>
      </c>
      <c r="C865">
        <v>2023</v>
      </c>
      <c r="D865">
        <v>154130</v>
      </c>
      <c r="E865" t="s">
        <v>13</v>
      </c>
      <c r="F865" t="s">
        <v>14</v>
      </c>
      <c r="G865" t="s">
        <v>26</v>
      </c>
      <c r="H865">
        <v>3401</v>
      </c>
      <c r="I865" t="s">
        <v>2438</v>
      </c>
      <c r="J865" t="s">
        <v>2439</v>
      </c>
      <c r="K865">
        <v>4</v>
      </c>
      <c r="L865" t="s">
        <v>2440</v>
      </c>
      <c r="M865" s="1" t="str">
        <f>TEXT(DATE(tbl_data[[#This Row],[Model_Year]],1,1),"yyyy")</f>
        <v>2023</v>
      </c>
      <c r="N865" s="1" t="str">
        <f>IF(tbl_data[[#This Row],[Kilometers_Driven]]&lt;50000,"&lt;50k",
IF(tbl_data[[#This Row],[Kilometers_Driven]]&lt;100000,"50k-100k",
IF(tbl_data[[#This Row],[Kilometers_Driven]]&lt;150000,"100k-150k","150k+")))</f>
        <v>150k+</v>
      </c>
      <c r="O865" s="1" t="str">
        <f>IF(tbl_data[[#This Row],[Price_USD]]&gt;=87089,"High",
IF(tbl_data[[#This Row],[Price_USD]]&gt;=56807,"Mid","Low"))</f>
        <v>High</v>
      </c>
      <c r="P865" s="1" t="str">
        <f>IF(tbl_data[[#This Row],[Transmission]]="Automatic","Auto","Manual")</f>
        <v>Manual</v>
      </c>
      <c r="Q865" s="1" t="str">
        <f>IFERROR(IF(VALUE(tbl_data[[#This Row],[Engine_CC]])=0,"",VALUE(tbl_data[[#This Row],[Price_USD]])/VALUE(tbl_data[[#This Row],[Engine_CC]])),"")</f>
        <v/>
      </c>
      <c r="R865" s="1" t="str">
        <f>TRIM(tbl_data[[#This Row],[Brand]])</f>
        <v>Ford</v>
      </c>
      <c r="S865" s="1">
        <f>_xlfn.NUMBERVALUE(tbl_data[[#This Row],[Price_USD]],".",",")</f>
        <v>106177.01</v>
      </c>
    </row>
    <row r="866" spans="1:19" x14ac:dyDescent="0.3">
      <c r="A866">
        <v>865</v>
      </c>
      <c r="B866" t="s">
        <v>30</v>
      </c>
      <c r="C866">
        <v>2005</v>
      </c>
      <c r="D866">
        <v>176790</v>
      </c>
      <c r="E866" t="s">
        <v>31</v>
      </c>
      <c r="F866" t="s">
        <v>14</v>
      </c>
      <c r="G866" t="s">
        <v>15</v>
      </c>
      <c r="H866">
        <v>3457</v>
      </c>
      <c r="I866" t="s">
        <v>2441</v>
      </c>
      <c r="J866" t="s">
        <v>2442</v>
      </c>
      <c r="K866">
        <v>2</v>
      </c>
      <c r="L866" t="s">
        <v>2443</v>
      </c>
      <c r="M866" s="1" t="str">
        <f>TEXT(DATE(tbl_data[[#This Row],[Model_Year]],1,1),"yyyy")</f>
        <v>2005</v>
      </c>
      <c r="N866" s="1" t="str">
        <f>IF(tbl_data[[#This Row],[Kilometers_Driven]]&lt;50000,"&lt;50k",
IF(tbl_data[[#This Row],[Kilometers_Driven]]&lt;100000,"50k-100k",
IF(tbl_data[[#This Row],[Kilometers_Driven]]&lt;150000,"100k-150k","150k+")))</f>
        <v>150k+</v>
      </c>
      <c r="O866" s="1" t="str">
        <f>IF(tbl_data[[#This Row],[Price_USD]]&gt;=87089,"High",
IF(tbl_data[[#This Row],[Price_USD]]&gt;=56807,"Mid","Low"))</f>
        <v>High</v>
      </c>
      <c r="P866" s="1" t="str">
        <f>IF(tbl_data[[#This Row],[Transmission]]="Automatic","Auto","Manual")</f>
        <v>Manual</v>
      </c>
      <c r="Q866" s="1" t="str">
        <f>IFERROR(IF(VALUE(tbl_data[[#This Row],[Engine_CC]])=0,"",VALUE(tbl_data[[#This Row],[Price_USD]])/VALUE(tbl_data[[#This Row],[Engine_CC]])),"")</f>
        <v/>
      </c>
      <c r="R866" s="1" t="str">
        <f>TRIM(tbl_data[[#This Row],[Brand]])</f>
        <v>Mercedes</v>
      </c>
      <c r="S866" s="1">
        <f>_xlfn.NUMBERVALUE(tbl_data[[#This Row],[Price_USD]],".",",")</f>
        <v>59777.84</v>
      </c>
    </row>
    <row r="867" spans="1:19" x14ac:dyDescent="0.3">
      <c r="A867">
        <v>866</v>
      </c>
      <c r="B867" t="s">
        <v>69</v>
      </c>
      <c r="C867">
        <v>2021</v>
      </c>
      <c r="D867">
        <v>37602</v>
      </c>
      <c r="E867" t="s">
        <v>20</v>
      </c>
      <c r="F867" t="s">
        <v>14</v>
      </c>
      <c r="G867" t="s">
        <v>32</v>
      </c>
      <c r="H867">
        <v>2959</v>
      </c>
      <c r="I867" t="s">
        <v>2444</v>
      </c>
      <c r="J867" t="s">
        <v>2445</v>
      </c>
      <c r="K867">
        <v>5</v>
      </c>
      <c r="L867" t="s">
        <v>2446</v>
      </c>
      <c r="M867" s="1" t="str">
        <f>TEXT(DATE(tbl_data[[#This Row],[Model_Year]],1,1),"yyyy")</f>
        <v>2021</v>
      </c>
      <c r="N867" s="1" t="str">
        <f>IF(tbl_data[[#This Row],[Kilometers_Driven]]&lt;50000,"&lt;50k",
IF(tbl_data[[#This Row],[Kilometers_Driven]]&lt;100000,"50k-100k",
IF(tbl_data[[#This Row],[Kilometers_Driven]]&lt;150000,"100k-150k","150k+")))</f>
        <v>&lt;50k</v>
      </c>
      <c r="O867" s="1" t="str">
        <f>IF(tbl_data[[#This Row],[Price_USD]]&gt;=87089,"High",
IF(tbl_data[[#This Row],[Price_USD]]&gt;=56807,"Mid","Low"))</f>
        <v>High</v>
      </c>
      <c r="P867" s="1" t="str">
        <f>IF(tbl_data[[#This Row],[Transmission]]="Automatic","Auto","Manual")</f>
        <v>Manual</v>
      </c>
      <c r="Q867" s="1" t="str">
        <f>IFERROR(IF(VALUE(tbl_data[[#This Row],[Engine_CC]])=0,"",VALUE(tbl_data[[#This Row],[Price_USD]])/VALUE(tbl_data[[#This Row],[Engine_CC]])),"")</f>
        <v/>
      </c>
      <c r="R867" s="1" t="str">
        <f>TRIM(tbl_data[[#This Row],[Brand]])</f>
        <v>Hyundai</v>
      </c>
      <c r="S867" s="1">
        <f>_xlfn.NUMBERVALUE(tbl_data[[#This Row],[Price_USD]],".",",")</f>
        <v>66417.899999999994</v>
      </c>
    </row>
    <row r="868" spans="1:19" x14ac:dyDescent="0.3">
      <c r="A868">
        <v>867</v>
      </c>
      <c r="B868" t="s">
        <v>39</v>
      </c>
      <c r="C868">
        <v>2021</v>
      </c>
      <c r="D868">
        <v>194139</v>
      </c>
      <c r="E868" t="s">
        <v>13</v>
      </c>
      <c r="F868" t="s">
        <v>14</v>
      </c>
      <c r="G868" t="s">
        <v>32</v>
      </c>
      <c r="H868">
        <v>3249</v>
      </c>
      <c r="I868" t="s">
        <v>1525</v>
      </c>
      <c r="J868" t="s">
        <v>271</v>
      </c>
      <c r="K868">
        <v>7</v>
      </c>
      <c r="L868" t="s">
        <v>2447</v>
      </c>
      <c r="M868" s="1" t="str">
        <f>TEXT(DATE(tbl_data[[#This Row],[Model_Year]],1,1),"yyyy")</f>
        <v>2021</v>
      </c>
      <c r="N868" s="1" t="str">
        <f>IF(tbl_data[[#This Row],[Kilometers_Driven]]&lt;50000,"&lt;50k",
IF(tbl_data[[#This Row],[Kilometers_Driven]]&lt;100000,"50k-100k",
IF(tbl_data[[#This Row],[Kilometers_Driven]]&lt;150000,"100k-150k","150k+")))</f>
        <v>150k+</v>
      </c>
      <c r="O868" s="1" t="str">
        <f>IF(tbl_data[[#This Row],[Price_USD]]&gt;=87089,"High",
IF(tbl_data[[#This Row],[Price_USD]]&gt;=56807,"Mid","Low"))</f>
        <v>High</v>
      </c>
      <c r="P868" s="1" t="str">
        <f>IF(tbl_data[[#This Row],[Transmission]]="Automatic","Auto","Manual")</f>
        <v>Manual</v>
      </c>
      <c r="Q868" s="1" t="str">
        <f>IFERROR(IF(VALUE(tbl_data[[#This Row],[Engine_CC]])=0,"",VALUE(tbl_data[[#This Row],[Price_USD]])/VALUE(tbl_data[[#This Row],[Engine_CC]])),"")</f>
        <v/>
      </c>
      <c r="R868" s="1" t="str">
        <f>TRIM(tbl_data[[#This Row],[Brand]])</f>
        <v>Volkswagen</v>
      </c>
      <c r="S868" s="1">
        <f>_xlfn.NUMBERVALUE(tbl_data[[#This Row],[Price_USD]],".",",")</f>
        <v>110527.48</v>
      </c>
    </row>
    <row r="869" spans="1:19" x14ac:dyDescent="0.3">
      <c r="A869">
        <v>868</v>
      </c>
      <c r="B869" t="s">
        <v>69</v>
      </c>
      <c r="C869">
        <v>2007</v>
      </c>
      <c r="D869">
        <v>163588</v>
      </c>
      <c r="E869" t="s">
        <v>13</v>
      </c>
      <c r="F869" t="s">
        <v>14</v>
      </c>
      <c r="G869" t="s">
        <v>26</v>
      </c>
      <c r="H869">
        <v>4630</v>
      </c>
      <c r="I869" t="s">
        <v>2448</v>
      </c>
      <c r="J869" t="s">
        <v>2449</v>
      </c>
      <c r="K869">
        <v>5</v>
      </c>
      <c r="L869" t="s">
        <v>2450</v>
      </c>
      <c r="M869" s="1" t="str">
        <f>TEXT(DATE(tbl_data[[#This Row],[Model_Year]],1,1),"yyyy")</f>
        <v>2007</v>
      </c>
      <c r="N869" s="1" t="str">
        <f>IF(tbl_data[[#This Row],[Kilometers_Driven]]&lt;50000,"&lt;50k",
IF(tbl_data[[#This Row],[Kilometers_Driven]]&lt;100000,"50k-100k",
IF(tbl_data[[#This Row],[Kilometers_Driven]]&lt;150000,"100k-150k","150k+")))</f>
        <v>150k+</v>
      </c>
      <c r="O869" s="1" t="str">
        <f>IF(tbl_data[[#This Row],[Price_USD]]&gt;=87089,"High",
IF(tbl_data[[#This Row],[Price_USD]]&gt;=56807,"Mid","Low"))</f>
        <v>High</v>
      </c>
      <c r="P869" s="1" t="str">
        <f>IF(tbl_data[[#This Row],[Transmission]]="Automatic","Auto","Manual")</f>
        <v>Manual</v>
      </c>
      <c r="Q869" s="1" t="str">
        <f>IFERROR(IF(VALUE(tbl_data[[#This Row],[Engine_CC]])=0,"",VALUE(tbl_data[[#This Row],[Price_USD]])/VALUE(tbl_data[[#This Row],[Engine_CC]])),"")</f>
        <v/>
      </c>
      <c r="R869" s="1" t="str">
        <f>TRIM(tbl_data[[#This Row],[Brand]])</f>
        <v>Hyundai</v>
      </c>
      <c r="S869" s="1">
        <f>_xlfn.NUMBERVALUE(tbl_data[[#This Row],[Price_USD]],".",",")</f>
        <v>108289.42</v>
      </c>
    </row>
    <row r="870" spans="1:19" x14ac:dyDescent="0.3">
      <c r="A870">
        <v>869</v>
      </c>
      <c r="B870" t="s">
        <v>19</v>
      </c>
      <c r="C870">
        <v>2016</v>
      </c>
      <c r="D870">
        <v>134295</v>
      </c>
      <c r="E870" t="s">
        <v>44</v>
      </c>
      <c r="F870" t="s">
        <v>21</v>
      </c>
      <c r="G870" t="s">
        <v>15</v>
      </c>
      <c r="H870">
        <v>921</v>
      </c>
      <c r="I870" t="s">
        <v>2451</v>
      </c>
      <c r="J870" t="s">
        <v>2452</v>
      </c>
      <c r="K870">
        <v>4</v>
      </c>
      <c r="L870" t="s">
        <v>2453</v>
      </c>
      <c r="M870" s="1" t="str">
        <f>TEXT(DATE(tbl_data[[#This Row],[Model_Year]],1,1),"yyyy")</f>
        <v>2016</v>
      </c>
      <c r="N870" s="1" t="str">
        <f>IF(tbl_data[[#This Row],[Kilometers_Driven]]&lt;50000,"&lt;50k",
IF(tbl_data[[#This Row],[Kilometers_Driven]]&lt;100000,"50k-100k",
IF(tbl_data[[#This Row],[Kilometers_Driven]]&lt;150000,"100k-150k","150k+")))</f>
        <v>100k-150k</v>
      </c>
      <c r="O870" s="1" t="str">
        <f>IF(tbl_data[[#This Row],[Price_USD]]&gt;=87089,"High",
IF(tbl_data[[#This Row],[Price_USD]]&gt;=56807,"Mid","Low"))</f>
        <v>High</v>
      </c>
      <c r="P870" s="1" t="str">
        <f>IF(tbl_data[[#This Row],[Transmission]]="Automatic","Auto","Manual")</f>
        <v>Auto</v>
      </c>
      <c r="Q870" s="1" t="str">
        <f>IFERROR(IF(VALUE(tbl_data[[#This Row],[Engine_CC]])=0,"",VALUE(tbl_data[[#This Row],[Price_USD]])/VALUE(tbl_data[[#This Row],[Engine_CC]])),"")</f>
        <v/>
      </c>
      <c r="R870" s="1" t="str">
        <f>TRIM(tbl_data[[#This Row],[Brand]])</f>
        <v>BMW</v>
      </c>
      <c r="S870" s="1">
        <f>_xlfn.NUMBERVALUE(tbl_data[[#This Row],[Price_USD]],".",",")</f>
        <v>55434.82</v>
      </c>
    </row>
    <row r="871" spans="1:19" x14ac:dyDescent="0.3">
      <c r="A871">
        <v>870</v>
      </c>
      <c r="B871" t="s">
        <v>43</v>
      </c>
      <c r="C871">
        <v>2010</v>
      </c>
      <c r="D871">
        <v>92969</v>
      </c>
      <c r="E871" t="s">
        <v>31</v>
      </c>
      <c r="F871" t="s">
        <v>21</v>
      </c>
      <c r="G871" t="s">
        <v>32</v>
      </c>
      <c r="H871">
        <v>2117</v>
      </c>
      <c r="I871" t="s">
        <v>1262</v>
      </c>
      <c r="J871" t="s">
        <v>360</v>
      </c>
      <c r="K871">
        <v>2</v>
      </c>
      <c r="L871" t="s">
        <v>2454</v>
      </c>
      <c r="M871" s="1" t="str">
        <f>TEXT(DATE(tbl_data[[#This Row],[Model_Year]],1,1),"yyyy")</f>
        <v>2010</v>
      </c>
      <c r="N871" s="1" t="str">
        <f>IF(tbl_data[[#This Row],[Kilometers_Driven]]&lt;50000,"&lt;50k",
IF(tbl_data[[#This Row],[Kilometers_Driven]]&lt;100000,"50k-100k",
IF(tbl_data[[#This Row],[Kilometers_Driven]]&lt;150000,"100k-150k","150k+")))</f>
        <v>50k-100k</v>
      </c>
      <c r="O871" s="1" t="str">
        <f>IF(tbl_data[[#This Row],[Price_USD]]&gt;=87089,"High",
IF(tbl_data[[#This Row],[Price_USD]]&gt;=56807,"Mid","Low"))</f>
        <v>High</v>
      </c>
      <c r="P871" s="1" t="str">
        <f>IF(tbl_data[[#This Row],[Transmission]]="Automatic","Auto","Manual")</f>
        <v>Auto</v>
      </c>
      <c r="Q871" s="1" t="str">
        <f>IFERROR(IF(VALUE(tbl_data[[#This Row],[Engine_CC]])=0,"",VALUE(tbl_data[[#This Row],[Price_USD]])/VALUE(tbl_data[[#This Row],[Engine_CC]])),"")</f>
        <v/>
      </c>
      <c r="R871" s="1" t="str">
        <f>TRIM(tbl_data[[#This Row],[Brand]])</f>
        <v>Ford</v>
      </c>
      <c r="S871" s="1">
        <f>_xlfn.NUMBERVALUE(tbl_data[[#This Row],[Price_USD]],".",",")</f>
        <v>35106.28</v>
      </c>
    </row>
    <row r="872" spans="1:19" x14ac:dyDescent="0.3">
      <c r="A872">
        <v>871</v>
      </c>
      <c r="B872" t="s">
        <v>19</v>
      </c>
      <c r="C872">
        <v>2015</v>
      </c>
      <c r="D872">
        <v>137161</v>
      </c>
      <c r="E872" t="s">
        <v>44</v>
      </c>
      <c r="F872" t="s">
        <v>21</v>
      </c>
      <c r="G872" t="s">
        <v>32</v>
      </c>
      <c r="H872">
        <v>3318</v>
      </c>
      <c r="I872" t="s">
        <v>2455</v>
      </c>
      <c r="J872" t="s">
        <v>2456</v>
      </c>
      <c r="K872">
        <v>4</v>
      </c>
      <c r="L872" t="s">
        <v>2457</v>
      </c>
      <c r="M872" s="1" t="str">
        <f>TEXT(DATE(tbl_data[[#This Row],[Model_Year]],1,1),"yyyy")</f>
        <v>2015</v>
      </c>
      <c r="N872" s="1" t="str">
        <f>IF(tbl_data[[#This Row],[Kilometers_Driven]]&lt;50000,"&lt;50k",
IF(tbl_data[[#This Row],[Kilometers_Driven]]&lt;100000,"50k-100k",
IF(tbl_data[[#This Row],[Kilometers_Driven]]&lt;150000,"100k-150k","150k+")))</f>
        <v>100k-150k</v>
      </c>
      <c r="O872" s="1" t="str">
        <f>IF(tbl_data[[#This Row],[Price_USD]]&gt;=87089,"High",
IF(tbl_data[[#This Row],[Price_USD]]&gt;=56807,"Mid","Low"))</f>
        <v>High</v>
      </c>
      <c r="P872" s="1" t="str">
        <f>IF(tbl_data[[#This Row],[Transmission]]="Automatic","Auto","Manual")</f>
        <v>Auto</v>
      </c>
      <c r="Q872" s="1" t="str">
        <f>IFERROR(IF(VALUE(tbl_data[[#This Row],[Engine_CC]])=0,"",VALUE(tbl_data[[#This Row],[Price_USD]])/VALUE(tbl_data[[#This Row],[Engine_CC]])),"")</f>
        <v/>
      </c>
      <c r="R872" s="1" t="str">
        <f>TRIM(tbl_data[[#This Row],[Brand]])</f>
        <v>BMW</v>
      </c>
      <c r="S872" s="1">
        <f>_xlfn.NUMBERVALUE(tbl_data[[#This Row],[Price_USD]],".",",")</f>
        <v>49000.94</v>
      </c>
    </row>
    <row r="873" spans="1:19" x14ac:dyDescent="0.3">
      <c r="A873">
        <v>872</v>
      </c>
      <c r="B873" t="s">
        <v>92</v>
      </c>
      <c r="C873">
        <v>2007</v>
      </c>
      <c r="D873">
        <v>173418</v>
      </c>
      <c r="E873" t="s">
        <v>44</v>
      </c>
      <c r="F873" t="s">
        <v>14</v>
      </c>
      <c r="G873" t="s">
        <v>32</v>
      </c>
      <c r="H873">
        <v>2030</v>
      </c>
      <c r="I873" t="s">
        <v>2458</v>
      </c>
      <c r="J873" t="s">
        <v>199</v>
      </c>
      <c r="K873">
        <v>7</v>
      </c>
      <c r="L873" t="s">
        <v>2459</v>
      </c>
      <c r="M873" s="1" t="str">
        <f>TEXT(DATE(tbl_data[[#This Row],[Model_Year]],1,1),"yyyy")</f>
        <v>2007</v>
      </c>
      <c r="N873" s="1" t="str">
        <f>IF(tbl_data[[#This Row],[Kilometers_Driven]]&lt;50000,"&lt;50k",
IF(tbl_data[[#This Row],[Kilometers_Driven]]&lt;100000,"50k-100k",
IF(tbl_data[[#This Row],[Kilometers_Driven]]&lt;150000,"100k-150k","150k+")))</f>
        <v>150k+</v>
      </c>
      <c r="O873" s="1" t="str">
        <f>IF(tbl_data[[#This Row],[Price_USD]]&gt;=87089,"High",
IF(tbl_data[[#This Row],[Price_USD]]&gt;=56807,"Mid","Low"))</f>
        <v>High</v>
      </c>
      <c r="P873" s="1" t="str">
        <f>IF(tbl_data[[#This Row],[Transmission]]="Automatic","Auto","Manual")</f>
        <v>Manual</v>
      </c>
      <c r="Q873" s="1" t="str">
        <f>IFERROR(IF(VALUE(tbl_data[[#This Row],[Engine_CC]])=0,"",VALUE(tbl_data[[#This Row],[Price_USD]])/VALUE(tbl_data[[#This Row],[Engine_CC]])),"")</f>
        <v/>
      </c>
      <c r="R873" s="1" t="str">
        <f>TRIM(tbl_data[[#This Row],[Brand]])</f>
        <v>Toyota</v>
      </c>
      <c r="S873" s="1">
        <f>_xlfn.NUMBERVALUE(tbl_data[[#This Row],[Price_USD]],".",",")</f>
        <v>48368.43</v>
      </c>
    </row>
    <row r="874" spans="1:19" x14ac:dyDescent="0.3">
      <c r="A874">
        <v>873</v>
      </c>
      <c r="B874" t="s">
        <v>19</v>
      </c>
      <c r="C874">
        <v>2012</v>
      </c>
      <c r="D874">
        <v>146559</v>
      </c>
      <c r="E874" t="s">
        <v>13</v>
      </c>
      <c r="F874" t="s">
        <v>14</v>
      </c>
      <c r="G874" t="s">
        <v>26</v>
      </c>
      <c r="H874">
        <v>1933</v>
      </c>
      <c r="I874" t="s">
        <v>2460</v>
      </c>
      <c r="J874" t="s">
        <v>2461</v>
      </c>
      <c r="K874">
        <v>5</v>
      </c>
      <c r="L874" t="s">
        <v>2462</v>
      </c>
      <c r="M874" s="1" t="str">
        <f>TEXT(DATE(tbl_data[[#This Row],[Model_Year]],1,1),"yyyy")</f>
        <v>2012</v>
      </c>
      <c r="N874" s="1" t="str">
        <f>IF(tbl_data[[#This Row],[Kilometers_Driven]]&lt;50000,"&lt;50k",
IF(tbl_data[[#This Row],[Kilometers_Driven]]&lt;100000,"50k-100k",
IF(tbl_data[[#This Row],[Kilometers_Driven]]&lt;150000,"100k-150k","150k+")))</f>
        <v>100k-150k</v>
      </c>
      <c r="O874" s="1" t="str">
        <f>IF(tbl_data[[#This Row],[Price_USD]]&gt;=87089,"High",
IF(tbl_data[[#This Row],[Price_USD]]&gt;=56807,"Mid","Low"))</f>
        <v>High</v>
      </c>
      <c r="P874" s="1" t="str">
        <f>IF(tbl_data[[#This Row],[Transmission]]="Automatic","Auto","Manual")</f>
        <v>Manual</v>
      </c>
      <c r="Q874" s="1" t="str">
        <f>IFERROR(IF(VALUE(tbl_data[[#This Row],[Engine_CC]])=0,"",VALUE(tbl_data[[#This Row],[Price_USD]])/VALUE(tbl_data[[#This Row],[Engine_CC]])),"")</f>
        <v/>
      </c>
      <c r="R874" s="1" t="str">
        <f>TRIM(tbl_data[[#This Row],[Brand]])</f>
        <v>BMW</v>
      </c>
      <c r="S874" s="1">
        <f>_xlfn.NUMBERVALUE(tbl_data[[#This Row],[Price_USD]],".",",")</f>
        <v>36563.42</v>
      </c>
    </row>
    <row r="875" spans="1:19" x14ac:dyDescent="0.3">
      <c r="A875">
        <v>874</v>
      </c>
      <c r="B875" t="s">
        <v>92</v>
      </c>
      <c r="C875">
        <v>2018</v>
      </c>
      <c r="D875">
        <v>5155</v>
      </c>
      <c r="E875" t="s">
        <v>31</v>
      </c>
      <c r="F875" t="s">
        <v>14</v>
      </c>
      <c r="G875" t="s">
        <v>32</v>
      </c>
      <c r="H875">
        <v>2101</v>
      </c>
      <c r="I875" t="s">
        <v>2463</v>
      </c>
      <c r="J875" t="s">
        <v>2464</v>
      </c>
      <c r="K875">
        <v>4</v>
      </c>
      <c r="L875" t="s">
        <v>2465</v>
      </c>
      <c r="M875" s="1" t="str">
        <f>TEXT(DATE(tbl_data[[#This Row],[Model_Year]],1,1),"yyyy")</f>
        <v>2018</v>
      </c>
      <c r="N875" s="1" t="str">
        <f>IF(tbl_data[[#This Row],[Kilometers_Driven]]&lt;50000,"&lt;50k",
IF(tbl_data[[#This Row],[Kilometers_Driven]]&lt;100000,"50k-100k",
IF(tbl_data[[#This Row],[Kilometers_Driven]]&lt;150000,"100k-150k","150k+")))</f>
        <v>&lt;50k</v>
      </c>
      <c r="O875" s="1" t="str">
        <f>IF(tbl_data[[#This Row],[Price_USD]]&gt;=87089,"High",
IF(tbl_data[[#This Row],[Price_USD]]&gt;=56807,"Mid","Low"))</f>
        <v>High</v>
      </c>
      <c r="P875" s="1" t="str">
        <f>IF(tbl_data[[#This Row],[Transmission]]="Automatic","Auto","Manual")</f>
        <v>Manual</v>
      </c>
      <c r="Q875" s="1" t="str">
        <f>IFERROR(IF(VALUE(tbl_data[[#This Row],[Engine_CC]])=0,"",VALUE(tbl_data[[#This Row],[Price_USD]])/VALUE(tbl_data[[#This Row],[Engine_CC]])),"")</f>
        <v/>
      </c>
      <c r="R875" s="1" t="str">
        <f>TRIM(tbl_data[[#This Row],[Brand]])</f>
        <v>Toyota</v>
      </c>
      <c r="S875" s="1">
        <f>_xlfn.NUMBERVALUE(tbl_data[[#This Row],[Price_USD]],".",",")</f>
        <v>34423.81</v>
      </c>
    </row>
    <row r="876" spans="1:19" x14ac:dyDescent="0.3">
      <c r="A876">
        <v>875</v>
      </c>
      <c r="B876" t="s">
        <v>92</v>
      </c>
      <c r="C876">
        <v>2018</v>
      </c>
      <c r="D876">
        <v>128950</v>
      </c>
      <c r="E876" t="s">
        <v>20</v>
      </c>
      <c r="F876" t="s">
        <v>21</v>
      </c>
      <c r="G876" t="s">
        <v>32</v>
      </c>
      <c r="H876">
        <v>4834</v>
      </c>
      <c r="I876" t="s">
        <v>2466</v>
      </c>
      <c r="J876" t="s">
        <v>2467</v>
      </c>
      <c r="K876">
        <v>4</v>
      </c>
      <c r="L876" t="s">
        <v>2468</v>
      </c>
      <c r="M876" s="1" t="str">
        <f>TEXT(DATE(tbl_data[[#This Row],[Model_Year]],1,1),"yyyy")</f>
        <v>2018</v>
      </c>
      <c r="N876" s="1" t="str">
        <f>IF(tbl_data[[#This Row],[Kilometers_Driven]]&lt;50000,"&lt;50k",
IF(tbl_data[[#This Row],[Kilometers_Driven]]&lt;100000,"50k-100k",
IF(tbl_data[[#This Row],[Kilometers_Driven]]&lt;150000,"100k-150k","150k+")))</f>
        <v>100k-150k</v>
      </c>
      <c r="O876" s="1" t="str">
        <f>IF(tbl_data[[#This Row],[Price_USD]]&gt;=87089,"High",
IF(tbl_data[[#This Row],[Price_USD]]&gt;=56807,"Mid","Low"))</f>
        <v>High</v>
      </c>
      <c r="P876" s="1" t="str">
        <f>IF(tbl_data[[#This Row],[Transmission]]="Automatic","Auto","Manual")</f>
        <v>Auto</v>
      </c>
      <c r="Q876" s="1" t="str">
        <f>IFERROR(IF(VALUE(tbl_data[[#This Row],[Engine_CC]])=0,"",VALUE(tbl_data[[#This Row],[Price_USD]])/VALUE(tbl_data[[#This Row],[Engine_CC]])),"")</f>
        <v/>
      </c>
      <c r="R876" s="1" t="str">
        <f>TRIM(tbl_data[[#This Row],[Brand]])</f>
        <v>Toyota</v>
      </c>
      <c r="S876" s="1">
        <f>_xlfn.NUMBERVALUE(tbl_data[[#This Row],[Price_USD]],".",",")</f>
        <v>103744.36</v>
      </c>
    </row>
    <row r="877" spans="1:19" x14ac:dyDescent="0.3">
      <c r="A877">
        <v>876</v>
      </c>
      <c r="B877" t="s">
        <v>39</v>
      </c>
      <c r="C877">
        <v>2014</v>
      </c>
      <c r="D877">
        <v>72494</v>
      </c>
      <c r="E877" t="s">
        <v>13</v>
      </c>
      <c r="F877" t="s">
        <v>21</v>
      </c>
      <c r="G877" t="s">
        <v>15</v>
      </c>
      <c r="H877">
        <v>2710</v>
      </c>
      <c r="I877" t="s">
        <v>2469</v>
      </c>
      <c r="J877" t="s">
        <v>2470</v>
      </c>
      <c r="K877">
        <v>7</v>
      </c>
      <c r="L877" t="s">
        <v>2471</v>
      </c>
      <c r="M877" s="1" t="str">
        <f>TEXT(DATE(tbl_data[[#This Row],[Model_Year]],1,1),"yyyy")</f>
        <v>2014</v>
      </c>
      <c r="N877" s="1" t="str">
        <f>IF(tbl_data[[#This Row],[Kilometers_Driven]]&lt;50000,"&lt;50k",
IF(tbl_data[[#This Row],[Kilometers_Driven]]&lt;100000,"50k-100k",
IF(tbl_data[[#This Row],[Kilometers_Driven]]&lt;150000,"100k-150k","150k+")))</f>
        <v>50k-100k</v>
      </c>
      <c r="O877" s="1" t="str">
        <f>IF(tbl_data[[#This Row],[Price_USD]]&gt;=87089,"High",
IF(tbl_data[[#This Row],[Price_USD]]&gt;=56807,"Mid","Low"))</f>
        <v>High</v>
      </c>
      <c r="P877" s="1" t="str">
        <f>IF(tbl_data[[#This Row],[Transmission]]="Automatic","Auto","Manual")</f>
        <v>Auto</v>
      </c>
      <c r="Q877" s="1" t="str">
        <f>IFERROR(IF(VALUE(tbl_data[[#This Row],[Engine_CC]])=0,"",VALUE(tbl_data[[#This Row],[Price_USD]])/VALUE(tbl_data[[#This Row],[Engine_CC]])),"")</f>
        <v/>
      </c>
      <c r="R877" s="1" t="str">
        <f>TRIM(tbl_data[[#This Row],[Brand]])</f>
        <v>Volkswagen</v>
      </c>
      <c r="S877" s="1">
        <f>_xlfn.NUMBERVALUE(tbl_data[[#This Row],[Price_USD]],".",",")</f>
        <v>11173.84</v>
      </c>
    </row>
    <row r="878" spans="1:19" x14ac:dyDescent="0.3">
      <c r="A878">
        <v>877</v>
      </c>
      <c r="B878" t="s">
        <v>69</v>
      </c>
      <c r="C878">
        <v>2006</v>
      </c>
      <c r="D878">
        <v>81229</v>
      </c>
      <c r="E878" t="s">
        <v>20</v>
      </c>
      <c r="F878" t="s">
        <v>14</v>
      </c>
      <c r="G878" t="s">
        <v>15</v>
      </c>
      <c r="H878">
        <v>2305</v>
      </c>
      <c r="I878" t="s">
        <v>2472</v>
      </c>
      <c r="J878" t="s">
        <v>2473</v>
      </c>
      <c r="K878">
        <v>2</v>
      </c>
      <c r="L878" t="s">
        <v>2474</v>
      </c>
      <c r="M878" s="1" t="str">
        <f>TEXT(DATE(tbl_data[[#This Row],[Model_Year]],1,1),"yyyy")</f>
        <v>2006</v>
      </c>
      <c r="N878" s="1" t="str">
        <f>IF(tbl_data[[#This Row],[Kilometers_Driven]]&lt;50000,"&lt;50k",
IF(tbl_data[[#This Row],[Kilometers_Driven]]&lt;100000,"50k-100k",
IF(tbl_data[[#This Row],[Kilometers_Driven]]&lt;150000,"100k-150k","150k+")))</f>
        <v>50k-100k</v>
      </c>
      <c r="O878" s="1" t="str">
        <f>IF(tbl_data[[#This Row],[Price_USD]]&gt;=87089,"High",
IF(tbl_data[[#This Row],[Price_USD]]&gt;=56807,"Mid","Low"))</f>
        <v>High</v>
      </c>
      <c r="P878" s="1" t="str">
        <f>IF(tbl_data[[#This Row],[Transmission]]="Automatic","Auto","Manual")</f>
        <v>Manual</v>
      </c>
      <c r="Q878" s="1" t="str">
        <f>IFERROR(IF(VALUE(tbl_data[[#This Row],[Engine_CC]])=0,"",VALUE(tbl_data[[#This Row],[Price_USD]])/VALUE(tbl_data[[#This Row],[Engine_CC]])),"")</f>
        <v/>
      </c>
      <c r="R878" s="1" t="str">
        <f>TRIM(tbl_data[[#This Row],[Brand]])</f>
        <v>Hyundai</v>
      </c>
      <c r="S878" s="1">
        <f>_xlfn.NUMBERVALUE(tbl_data[[#This Row],[Price_USD]],".",",")</f>
        <v>82280.509999999995</v>
      </c>
    </row>
    <row r="879" spans="1:19" x14ac:dyDescent="0.3">
      <c r="A879">
        <v>878</v>
      </c>
      <c r="B879" t="s">
        <v>30</v>
      </c>
      <c r="C879">
        <v>2018</v>
      </c>
      <c r="D879">
        <v>109648</v>
      </c>
      <c r="E879" t="s">
        <v>20</v>
      </c>
      <c r="F879" t="s">
        <v>21</v>
      </c>
      <c r="G879" t="s">
        <v>32</v>
      </c>
      <c r="H879">
        <v>3985</v>
      </c>
      <c r="I879" t="s">
        <v>2475</v>
      </c>
      <c r="J879" t="s">
        <v>2476</v>
      </c>
      <c r="K879">
        <v>4</v>
      </c>
      <c r="L879" t="s">
        <v>2477</v>
      </c>
      <c r="M879" s="1" t="str">
        <f>TEXT(DATE(tbl_data[[#This Row],[Model_Year]],1,1),"yyyy")</f>
        <v>2018</v>
      </c>
      <c r="N879" s="1" t="str">
        <f>IF(tbl_data[[#This Row],[Kilometers_Driven]]&lt;50000,"&lt;50k",
IF(tbl_data[[#This Row],[Kilometers_Driven]]&lt;100000,"50k-100k",
IF(tbl_data[[#This Row],[Kilometers_Driven]]&lt;150000,"100k-150k","150k+")))</f>
        <v>100k-150k</v>
      </c>
      <c r="O879" s="1" t="str">
        <f>IF(tbl_data[[#This Row],[Price_USD]]&gt;=87089,"High",
IF(tbl_data[[#This Row],[Price_USD]]&gt;=56807,"Mid","Low"))</f>
        <v>High</v>
      </c>
      <c r="P879" s="1" t="str">
        <f>IF(tbl_data[[#This Row],[Transmission]]="Automatic","Auto","Manual")</f>
        <v>Auto</v>
      </c>
      <c r="Q879" s="1" t="str">
        <f>IFERROR(IF(VALUE(tbl_data[[#This Row],[Engine_CC]])=0,"",VALUE(tbl_data[[#This Row],[Price_USD]])/VALUE(tbl_data[[#This Row],[Engine_CC]])),"")</f>
        <v/>
      </c>
      <c r="R879" s="1" t="str">
        <f>TRIM(tbl_data[[#This Row],[Brand]])</f>
        <v>Mercedes</v>
      </c>
      <c r="S879" s="1">
        <f>_xlfn.NUMBERVALUE(tbl_data[[#This Row],[Price_USD]],".",",")</f>
        <v>23219.95</v>
      </c>
    </row>
    <row r="880" spans="1:19" x14ac:dyDescent="0.3">
      <c r="A880">
        <v>879</v>
      </c>
      <c r="B880" t="s">
        <v>19</v>
      </c>
      <c r="C880">
        <v>2013</v>
      </c>
      <c r="D880">
        <v>43547</v>
      </c>
      <c r="E880" t="s">
        <v>31</v>
      </c>
      <c r="F880" t="s">
        <v>14</v>
      </c>
      <c r="G880" t="s">
        <v>32</v>
      </c>
      <c r="H880">
        <v>2716</v>
      </c>
      <c r="I880" t="s">
        <v>2478</v>
      </c>
      <c r="J880" t="s">
        <v>2479</v>
      </c>
      <c r="K880">
        <v>7</v>
      </c>
      <c r="L880" t="s">
        <v>2480</v>
      </c>
      <c r="M880" s="1" t="str">
        <f>TEXT(DATE(tbl_data[[#This Row],[Model_Year]],1,1),"yyyy")</f>
        <v>2013</v>
      </c>
      <c r="N880" s="1" t="str">
        <f>IF(tbl_data[[#This Row],[Kilometers_Driven]]&lt;50000,"&lt;50k",
IF(tbl_data[[#This Row],[Kilometers_Driven]]&lt;100000,"50k-100k",
IF(tbl_data[[#This Row],[Kilometers_Driven]]&lt;150000,"100k-150k","150k+")))</f>
        <v>&lt;50k</v>
      </c>
      <c r="O880" s="1" t="str">
        <f>IF(tbl_data[[#This Row],[Price_USD]]&gt;=87089,"High",
IF(tbl_data[[#This Row],[Price_USD]]&gt;=56807,"Mid","Low"))</f>
        <v>High</v>
      </c>
      <c r="P880" s="1" t="str">
        <f>IF(tbl_data[[#This Row],[Transmission]]="Automatic","Auto","Manual")</f>
        <v>Manual</v>
      </c>
      <c r="Q880" s="1" t="str">
        <f>IFERROR(IF(VALUE(tbl_data[[#This Row],[Engine_CC]])=0,"",VALUE(tbl_data[[#This Row],[Price_USD]])/VALUE(tbl_data[[#This Row],[Engine_CC]])),"")</f>
        <v/>
      </c>
      <c r="R880" s="1" t="str">
        <f>TRIM(tbl_data[[#This Row],[Brand]])</f>
        <v>BMW</v>
      </c>
      <c r="S880" s="1">
        <f>_xlfn.NUMBERVALUE(tbl_data[[#This Row],[Price_USD]],".",",")</f>
        <v>43307.19</v>
      </c>
    </row>
    <row r="881" spans="1:19" x14ac:dyDescent="0.3">
      <c r="A881">
        <v>880</v>
      </c>
      <c r="B881" t="s">
        <v>43</v>
      </c>
      <c r="C881">
        <v>2007</v>
      </c>
      <c r="D881">
        <v>33795</v>
      </c>
      <c r="E881" t="s">
        <v>44</v>
      </c>
      <c r="F881" t="s">
        <v>21</v>
      </c>
      <c r="G881" t="s">
        <v>15</v>
      </c>
      <c r="H881">
        <v>4348</v>
      </c>
      <c r="I881" t="s">
        <v>2481</v>
      </c>
      <c r="J881" t="s">
        <v>28</v>
      </c>
      <c r="K881">
        <v>2</v>
      </c>
      <c r="L881" t="s">
        <v>2482</v>
      </c>
      <c r="M881" s="1" t="str">
        <f>TEXT(DATE(tbl_data[[#This Row],[Model_Year]],1,1),"yyyy")</f>
        <v>2007</v>
      </c>
      <c r="N881" s="1" t="str">
        <f>IF(tbl_data[[#This Row],[Kilometers_Driven]]&lt;50000,"&lt;50k",
IF(tbl_data[[#This Row],[Kilometers_Driven]]&lt;100000,"50k-100k",
IF(tbl_data[[#This Row],[Kilometers_Driven]]&lt;150000,"100k-150k","150k+")))</f>
        <v>&lt;50k</v>
      </c>
      <c r="O881" s="1" t="str">
        <f>IF(tbl_data[[#This Row],[Price_USD]]&gt;=87089,"High",
IF(tbl_data[[#This Row],[Price_USD]]&gt;=56807,"Mid","Low"))</f>
        <v>High</v>
      </c>
      <c r="P881" s="1" t="str">
        <f>IF(tbl_data[[#This Row],[Transmission]]="Automatic","Auto","Manual")</f>
        <v>Auto</v>
      </c>
      <c r="Q881" s="1" t="str">
        <f>IFERROR(IF(VALUE(tbl_data[[#This Row],[Engine_CC]])=0,"",VALUE(tbl_data[[#This Row],[Price_USD]])/VALUE(tbl_data[[#This Row],[Engine_CC]])),"")</f>
        <v/>
      </c>
      <c r="R881" s="1" t="str">
        <f>TRIM(tbl_data[[#This Row],[Brand]])</f>
        <v>Ford</v>
      </c>
      <c r="S881" s="1">
        <f>_xlfn.NUMBERVALUE(tbl_data[[#This Row],[Price_USD]],".",",")</f>
        <v>10200.530000000001</v>
      </c>
    </row>
    <row r="882" spans="1:19" x14ac:dyDescent="0.3">
      <c r="A882">
        <v>881</v>
      </c>
      <c r="B882" t="s">
        <v>92</v>
      </c>
      <c r="C882">
        <v>2012</v>
      </c>
      <c r="D882">
        <v>191368</v>
      </c>
      <c r="E882" t="s">
        <v>31</v>
      </c>
      <c r="F882" t="s">
        <v>21</v>
      </c>
      <c r="G882" t="s">
        <v>26</v>
      </c>
      <c r="H882">
        <v>3557</v>
      </c>
      <c r="I882" t="s">
        <v>1838</v>
      </c>
      <c r="J882" t="s">
        <v>2303</v>
      </c>
      <c r="K882">
        <v>2</v>
      </c>
      <c r="L882" t="s">
        <v>2483</v>
      </c>
      <c r="M882" s="1" t="str">
        <f>TEXT(DATE(tbl_data[[#This Row],[Model_Year]],1,1),"yyyy")</f>
        <v>2012</v>
      </c>
      <c r="N882" s="1" t="str">
        <f>IF(tbl_data[[#This Row],[Kilometers_Driven]]&lt;50000,"&lt;50k",
IF(tbl_data[[#This Row],[Kilometers_Driven]]&lt;100000,"50k-100k",
IF(tbl_data[[#This Row],[Kilometers_Driven]]&lt;150000,"100k-150k","150k+")))</f>
        <v>150k+</v>
      </c>
      <c r="O882" s="1" t="str">
        <f>IF(tbl_data[[#This Row],[Price_USD]]&gt;=87089,"High",
IF(tbl_data[[#This Row],[Price_USD]]&gt;=56807,"Mid","Low"))</f>
        <v>High</v>
      </c>
      <c r="P882" s="1" t="str">
        <f>IF(tbl_data[[#This Row],[Transmission]]="Automatic","Auto","Manual")</f>
        <v>Auto</v>
      </c>
      <c r="Q882" s="1" t="str">
        <f>IFERROR(IF(VALUE(tbl_data[[#This Row],[Engine_CC]])=0,"",VALUE(tbl_data[[#This Row],[Price_USD]])/VALUE(tbl_data[[#This Row],[Engine_CC]])),"")</f>
        <v/>
      </c>
      <c r="R882" s="1" t="str">
        <f>TRIM(tbl_data[[#This Row],[Brand]])</f>
        <v>Toyota</v>
      </c>
      <c r="S882" s="1">
        <f>_xlfn.NUMBERVALUE(tbl_data[[#This Row],[Price_USD]],".",",")</f>
        <v>34586.92</v>
      </c>
    </row>
    <row r="883" spans="1:19" x14ac:dyDescent="0.3">
      <c r="A883">
        <v>882</v>
      </c>
      <c r="B883" t="s">
        <v>69</v>
      </c>
      <c r="C883">
        <v>2020</v>
      </c>
      <c r="D883">
        <v>26447</v>
      </c>
      <c r="E883" t="s">
        <v>20</v>
      </c>
      <c r="F883" t="s">
        <v>21</v>
      </c>
      <c r="G883" t="s">
        <v>26</v>
      </c>
      <c r="H883">
        <v>2756</v>
      </c>
      <c r="I883" t="s">
        <v>1312</v>
      </c>
      <c r="J883" t="s">
        <v>2484</v>
      </c>
      <c r="K883">
        <v>5</v>
      </c>
      <c r="L883" t="s">
        <v>2485</v>
      </c>
      <c r="M883" s="1" t="str">
        <f>TEXT(DATE(tbl_data[[#This Row],[Model_Year]],1,1),"yyyy")</f>
        <v>2020</v>
      </c>
      <c r="N883" s="1" t="str">
        <f>IF(tbl_data[[#This Row],[Kilometers_Driven]]&lt;50000,"&lt;50k",
IF(tbl_data[[#This Row],[Kilometers_Driven]]&lt;100000,"50k-100k",
IF(tbl_data[[#This Row],[Kilometers_Driven]]&lt;150000,"100k-150k","150k+")))</f>
        <v>&lt;50k</v>
      </c>
      <c r="O883" s="1" t="str">
        <f>IF(tbl_data[[#This Row],[Price_USD]]&gt;=87089,"High",
IF(tbl_data[[#This Row],[Price_USD]]&gt;=56807,"Mid","Low"))</f>
        <v>High</v>
      </c>
      <c r="P883" s="1" t="str">
        <f>IF(tbl_data[[#This Row],[Transmission]]="Automatic","Auto","Manual")</f>
        <v>Auto</v>
      </c>
      <c r="Q883" s="1" t="str">
        <f>IFERROR(IF(VALUE(tbl_data[[#This Row],[Engine_CC]])=0,"",VALUE(tbl_data[[#This Row],[Price_USD]])/VALUE(tbl_data[[#This Row],[Engine_CC]])),"")</f>
        <v/>
      </c>
      <c r="R883" s="1" t="str">
        <f>TRIM(tbl_data[[#This Row],[Brand]])</f>
        <v>Hyundai</v>
      </c>
      <c r="S883" s="1">
        <f>_xlfn.NUMBERVALUE(tbl_data[[#This Row],[Price_USD]],".",",")</f>
        <v>92905.27</v>
      </c>
    </row>
    <row r="884" spans="1:19" x14ac:dyDescent="0.3">
      <c r="A884">
        <v>883</v>
      </c>
      <c r="B884" t="s">
        <v>76</v>
      </c>
      <c r="C884">
        <v>2006</v>
      </c>
      <c r="D884">
        <v>172670</v>
      </c>
      <c r="E884" t="s">
        <v>13</v>
      </c>
      <c r="F884" t="s">
        <v>14</v>
      </c>
      <c r="G884" t="s">
        <v>26</v>
      </c>
      <c r="H884">
        <v>978</v>
      </c>
      <c r="I884" t="s">
        <v>2486</v>
      </c>
      <c r="J884" t="s">
        <v>2487</v>
      </c>
      <c r="K884">
        <v>7</v>
      </c>
      <c r="L884" t="s">
        <v>2488</v>
      </c>
      <c r="M884" s="1" t="str">
        <f>TEXT(DATE(tbl_data[[#This Row],[Model_Year]],1,1),"yyyy")</f>
        <v>2006</v>
      </c>
      <c r="N884" s="1" t="str">
        <f>IF(tbl_data[[#This Row],[Kilometers_Driven]]&lt;50000,"&lt;50k",
IF(tbl_data[[#This Row],[Kilometers_Driven]]&lt;100000,"50k-100k",
IF(tbl_data[[#This Row],[Kilometers_Driven]]&lt;150000,"100k-150k","150k+")))</f>
        <v>150k+</v>
      </c>
      <c r="O884" s="1" t="str">
        <f>IF(tbl_data[[#This Row],[Price_USD]]&gt;=87089,"High",
IF(tbl_data[[#This Row],[Price_USD]]&gt;=56807,"Mid","Low"))</f>
        <v>High</v>
      </c>
      <c r="P884" s="1" t="str">
        <f>IF(tbl_data[[#This Row],[Transmission]]="Automatic","Auto","Manual")</f>
        <v>Manual</v>
      </c>
      <c r="Q884" s="1" t="str">
        <f>IFERROR(IF(VALUE(tbl_data[[#This Row],[Engine_CC]])=0,"",VALUE(tbl_data[[#This Row],[Price_USD]])/VALUE(tbl_data[[#This Row],[Engine_CC]])),"")</f>
        <v/>
      </c>
      <c r="R884" s="1" t="str">
        <f>TRIM(tbl_data[[#This Row],[Brand]])</f>
        <v>Honda</v>
      </c>
      <c r="S884" s="1">
        <f>_xlfn.NUMBERVALUE(tbl_data[[#This Row],[Price_USD]],".",",")</f>
        <v>106546.79</v>
      </c>
    </row>
    <row r="885" spans="1:19" x14ac:dyDescent="0.3">
      <c r="A885">
        <v>884</v>
      </c>
      <c r="B885" t="s">
        <v>25</v>
      </c>
      <c r="C885">
        <v>2010</v>
      </c>
      <c r="D885">
        <v>177886</v>
      </c>
      <c r="E885" t="s">
        <v>20</v>
      </c>
      <c r="F885" t="s">
        <v>21</v>
      </c>
      <c r="G885" t="s">
        <v>26</v>
      </c>
      <c r="H885">
        <v>1696</v>
      </c>
      <c r="I885" t="s">
        <v>2489</v>
      </c>
      <c r="J885" t="s">
        <v>2490</v>
      </c>
      <c r="K885">
        <v>2</v>
      </c>
      <c r="L885" t="s">
        <v>2491</v>
      </c>
      <c r="M885" s="1" t="str">
        <f>TEXT(DATE(tbl_data[[#This Row],[Model_Year]],1,1),"yyyy")</f>
        <v>2010</v>
      </c>
      <c r="N885" s="1" t="str">
        <f>IF(tbl_data[[#This Row],[Kilometers_Driven]]&lt;50000,"&lt;50k",
IF(tbl_data[[#This Row],[Kilometers_Driven]]&lt;100000,"50k-100k",
IF(tbl_data[[#This Row],[Kilometers_Driven]]&lt;150000,"100k-150k","150k+")))</f>
        <v>150k+</v>
      </c>
      <c r="O885" s="1" t="str">
        <f>IF(tbl_data[[#This Row],[Price_USD]]&gt;=87089,"High",
IF(tbl_data[[#This Row],[Price_USD]]&gt;=56807,"Mid","Low"))</f>
        <v>High</v>
      </c>
      <c r="P885" s="1" t="str">
        <f>IF(tbl_data[[#This Row],[Transmission]]="Automatic","Auto","Manual")</f>
        <v>Auto</v>
      </c>
      <c r="Q885" s="1" t="str">
        <f>IFERROR(IF(VALUE(tbl_data[[#This Row],[Engine_CC]])=0,"",VALUE(tbl_data[[#This Row],[Price_USD]])/VALUE(tbl_data[[#This Row],[Engine_CC]])),"")</f>
        <v/>
      </c>
      <c r="R885" s="1" t="str">
        <f>TRIM(tbl_data[[#This Row],[Brand]])</f>
        <v>Kia</v>
      </c>
      <c r="S885" s="1">
        <f>_xlfn.NUMBERVALUE(tbl_data[[#This Row],[Price_USD]],".",",")</f>
        <v>28918.68</v>
      </c>
    </row>
    <row r="886" spans="1:19" x14ac:dyDescent="0.3">
      <c r="A886">
        <v>885</v>
      </c>
      <c r="B886" t="s">
        <v>39</v>
      </c>
      <c r="C886">
        <v>2016</v>
      </c>
      <c r="D886">
        <v>92960</v>
      </c>
      <c r="E886" t="s">
        <v>13</v>
      </c>
      <c r="F886" t="s">
        <v>21</v>
      </c>
      <c r="G886" t="s">
        <v>26</v>
      </c>
      <c r="H886">
        <v>2351</v>
      </c>
      <c r="I886" t="s">
        <v>2492</v>
      </c>
      <c r="J886" t="s">
        <v>2493</v>
      </c>
      <c r="K886">
        <v>5</v>
      </c>
      <c r="L886" t="s">
        <v>2494</v>
      </c>
      <c r="M886" s="1" t="str">
        <f>TEXT(DATE(tbl_data[[#This Row],[Model_Year]],1,1),"yyyy")</f>
        <v>2016</v>
      </c>
      <c r="N886" s="1" t="str">
        <f>IF(tbl_data[[#This Row],[Kilometers_Driven]]&lt;50000,"&lt;50k",
IF(tbl_data[[#This Row],[Kilometers_Driven]]&lt;100000,"50k-100k",
IF(tbl_data[[#This Row],[Kilometers_Driven]]&lt;150000,"100k-150k","150k+")))</f>
        <v>50k-100k</v>
      </c>
      <c r="O886" s="1" t="str">
        <f>IF(tbl_data[[#This Row],[Price_USD]]&gt;=87089,"High",
IF(tbl_data[[#This Row],[Price_USD]]&gt;=56807,"Mid","Low"))</f>
        <v>High</v>
      </c>
      <c r="P886" s="1" t="str">
        <f>IF(tbl_data[[#This Row],[Transmission]]="Automatic","Auto","Manual")</f>
        <v>Auto</v>
      </c>
      <c r="Q886" s="1" t="str">
        <f>IFERROR(IF(VALUE(tbl_data[[#This Row],[Engine_CC]])=0,"",VALUE(tbl_data[[#This Row],[Price_USD]])/VALUE(tbl_data[[#This Row],[Engine_CC]])),"")</f>
        <v/>
      </c>
      <c r="R886" s="1" t="str">
        <f>TRIM(tbl_data[[#This Row],[Brand]])</f>
        <v>Volkswagen</v>
      </c>
      <c r="S886" s="1">
        <f>_xlfn.NUMBERVALUE(tbl_data[[#This Row],[Price_USD]],".",",")</f>
        <v>57235.1</v>
      </c>
    </row>
    <row r="887" spans="1:19" x14ac:dyDescent="0.3">
      <c r="A887">
        <v>886</v>
      </c>
      <c r="B887" t="s">
        <v>30</v>
      </c>
      <c r="C887">
        <v>2009</v>
      </c>
      <c r="D887">
        <v>68278</v>
      </c>
      <c r="E887" t="s">
        <v>13</v>
      </c>
      <c r="F887" t="s">
        <v>14</v>
      </c>
      <c r="G887" t="s">
        <v>26</v>
      </c>
      <c r="H887">
        <v>1291</v>
      </c>
      <c r="I887" t="s">
        <v>2495</v>
      </c>
      <c r="J887" t="s">
        <v>2496</v>
      </c>
      <c r="K887">
        <v>6</v>
      </c>
      <c r="L887" t="s">
        <v>2497</v>
      </c>
      <c r="M887" s="1" t="str">
        <f>TEXT(DATE(tbl_data[[#This Row],[Model_Year]],1,1),"yyyy")</f>
        <v>2009</v>
      </c>
      <c r="N887" s="1" t="str">
        <f>IF(tbl_data[[#This Row],[Kilometers_Driven]]&lt;50000,"&lt;50k",
IF(tbl_data[[#This Row],[Kilometers_Driven]]&lt;100000,"50k-100k",
IF(tbl_data[[#This Row],[Kilometers_Driven]]&lt;150000,"100k-150k","150k+")))</f>
        <v>50k-100k</v>
      </c>
      <c r="O887" s="1" t="str">
        <f>IF(tbl_data[[#This Row],[Price_USD]]&gt;=87089,"High",
IF(tbl_data[[#This Row],[Price_USD]]&gt;=56807,"Mid","Low"))</f>
        <v>High</v>
      </c>
      <c r="P887" s="1" t="str">
        <f>IF(tbl_data[[#This Row],[Transmission]]="Automatic","Auto","Manual")</f>
        <v>Manual</v>
      </c>
      <c r="Q887" s="1" t="str">
        <f>IFERROR(IF(VALUE(tbl_data[[#This Row],[Engine_CC]])=0,"",VALUE(tbl_data[[#This Row],[Price_USD]])/VALUE(tbl_data[[#This Row],[Engine_CC]])),"")</f>
        <v/>
      </c>
      <c r="R887" s="1" t="str">
        <f>TRIM(tbl_data[[#This Row],[Brand]])</f>
        <v>Mercedes</v>
      </c>
      <c r="S887" s="1">
        <f>_xlfn.NUMBERVALUE(tbl_data[[#This Row],[Price_USD]],".",",")</f>
        <v>58027.91</v>
      </c>
    </row>
    <row r="888" spans="1:19" x14ac:dyDescent="0.3">
      <c r="A888">
        <v>887</v>
      </c>
      <c r="B888" t="s">
        <v>12</v>
      </c>
      <c r="C888">
        <v>2006</v>
      </c>
      <c r="D888">
        <v>60077</v>
      </c>
      <c r="E888" t="s">
        <v>31</v>
      </c>
      <c r="F888" t="s">
        <v>21</v>
      </c>
      <c r="G888" t="s">
        <v>26</v>
      </c>
      <c r="H888">
        <v>860</v>
      </c>
      <c r="I888" t="s">
        <v>2498</v>
      </c>
      <c r="J888" t="s">
        <v>2499</v>
      </c>
      <c r="K888">
        <v>7</v>
      </c>
      <c r="L888" t="s">
        <v>2500</v>
      </c>
      <c r="M888" s="1" t="str">
        <f>TEXT(DATE(tbl_data[[#This Row],[Model_Year]],1,1),"yyyy")</f>
        <v>2006</v>
      </c>
      <c r="N888" s="1" t="str">
        <f>IF(tbl_data[[#This Row],[Kilometers_Driven]]&lt;50000,"&lt;50k",
IF(tbl_data[[#This Row],[Kilometers_Driven]]&lt;100000,"50k-100k",
IF(tbl_data[[#This Row],[Kilometers_Driven]]&lt;150000,"100k-150k","150k+")))</f>
        <v>50k-100k</v>
      </c>
      <c r="O888" s="1" t="str">
        <f>IF(tbl_data[[#This Row],[Price_USD]]&gt;=87089,"High",
IF(tbl_data[[#This Row],[Price_USD]]&gt;=56807,"Mid","Low"))</f>
        <v>High</v>
      </c>
      <c r="P888" s="1" t="str">
        <f>IF(tbl_data[[#This Row],[Transmission]]="Automatic","Auto","Manual")</f>
        <v>Auto</v>
      </c>
      <c r="Q888" s="1" t="str">
        <f>IFERROR(IF(VALUE(tbl_data[[#This Row],[Engine_CC]])=0,"",VALUE(tbl_data[[#This Row],[Price_USD]])/VALUE(tbl_data[[#This Row],[Engine_CC]])),"")</f>
        <v/>
      </c>
      <c r="R888" s="1" t="str">
        <f>TRIM(tbl_data[[#This Row],[Brand]])</f>
        <v>Audi</v>
      </c>
      <c r="S888" s="1">
        <f>_xlfn.NUMBERVALUE(tbl_data[[#This Row],[Price_USD]],".",",")</f>
        <v>105208.31</v>
      </c>
    </row>
    <row r="889" spans="1:19" x14ac:dyDescent="0.3">
      <c r="A889">
        <v>888</v>
      </c>
      <c r="B889" t="s">
        <v>39</v>
      </c>
      <c r="C889">
        <v>2020</v>
      </c>
      <c r="D889">
        <v>117782</v>
      </c>
      <c r="E889" t="s">
        <v>20</v>
      </c>
      <c r="F889" t="s">
        <v>14</v>
      </c>
      <c r="G889" t="s">
        <v>26</v>
      </c>
      <c r="H889">
        <v>1877</v>
      </c>
      <c r="I889" t="s">
        <v>2501</v>
      </c>
      <c r="J889" t="s">
        <v>2502</v>
      </c>
      <c r="K889">
        <v>6</v>
      </c>
      <c r="L889" t="s">
        <v>2503</v>
      </c>
      <c r="M889" s="1" t="str">
        <f>TEXT(DATE(tbl_data[[#This Row],[Model_Year]],1,1),"yyyy")</f>
        <v>2020</v>
      </c>
      <c r="N889" s="1" t="str">
        <f>IF(tbl_data[[#This Row],[Kilometers_Driven]]&lt;50000,"&lt;50k",
IF(tbl_data[[#This Row],[Kilometers_Driven]]&lt;100000,"50k-100k",
IF(tbl_data[[#This Row],[Kilometers_Driven]]&lt;150000,"100k-150k","150k+")))</f>
        <v>100k-150k</v>
      </c>
      <c r="O889" s="1" t="str">
        <f>IF(tbl_data[[#This Row],[Price_USD]]&gt;=87089,"High",
IF(tbl_data[[#This Row],[Price_USD]]&gt;=56807,"Mid","Low"))</f>
        <v>High</v>
      </c>
      <c r="P889" s="1" t="str">
        <f>IF(tbl_data[[#This Row],[Transmission]]="Automatic","Auto","Manual")</f>
        <v>Manual</v>
      </c>
      <c r="Q889" s="1" t="str">
        <f>IFERROR(IF(VALUE(tbl_data[[#This Row],[Engine_CC]])=0,"",VALUE(tbl_data[[#This Row],[Price_USD]])/VALUE(tbl_data[[#This Row],[Engine_CC]])),"")</f>
        <v/>
      </c>
      <c r="R889" s="1" t="str">
        <f>TRIM(tbl_data[[#This Row],[Brand]])</f>
        <v>Volkswagen</v>
      </c>
      <c r="S889" s="1">
        <f>_xlfn.NUMBERVALUE(tbl_data[[#This Row],[Price_USD]],".",",")</f>
        <v>92247.49</v>
      </c>
    </row>
    <row r="890" spans="1:19" x14ac:dyDescent="0.3">
      <c r="A890">
        <v>889</v>
      </c>
      <c r="B890" t="s">
        <v>76</v>
      </c>
      <c r="C890">
        <v>2009</v>
      </c>
      <c r="D890">
        <v>107932</v>
      </c>
      <c r="E890" t="s">
        <v>44</v>
      </c>
      <c r="F890" t="s">
        <v>14</v>
      </c>
      <c r="G890" t="s">
        <v>15</v>
      </c>
      <c r="H890">
        <v>3695</v>
      </c>
      <c r="I890" t="s">
        <v>2504</v>
      </c>
      <c r="J890" t="s">
        <v>2505</v>
      </c>
      <c r="K890">
        <v>2</v>
      </c>
      <c r="L890" t="s">
        <v>2506</v>
      </c>
      <c r="M890" s="1" t="str">
        <f>TEXT(DATE(tbl_data[[#This Row],[Model_Year]],1,1),"yyyy")</f>
        <v>2009</v>
      </c>
      <c r="N890" s="1" t="str">
        <f>IF(tbl_data[[#This Row],[Kilometers_Driven]]&lt;50000,"&lt;50k",
IF(tbl_data[[#This Row],[Kilometers_Driven]]&lt;100000,"50k-100k",
IF(tbl_data[[#This Row],[Kilometers_Driven]]&lt;150000,"100k-150k","150k+")))</f>
        <v>100k-150k</v>
      </c>
      <c r="O890" s="1" t="str">
        <f>IF(tbl_data[[#This Row],[Price_USD]]&gt;=87089,"High",
IF(tbl_data[[#This Row],[Price_USD]]&gt;=56807,"Mid","Low"))</f>
        <v>High</v>
      </c>
      <c r="P890" s="1" t="str">
        <f>IF(tbl_data[[#This Row],[Transmission]]="Automatic","Auto","Manual")</f>
        <v>Manual</v>
      </c>
      <c r="Q890" s="1" t="str">
        <f>IFERROR(IF(VALUE(tbl_data[[#This Row],[Engine_CC]])=0,"",VALUE(tbl_data[[#This Row],[Price_USD]])/VALUE(tbl_data[[#This Row],[Engine_CC]])),"")</f>
        <v/>
      </c>
      <c r="R890" s="1" t="str">
        <f>TRIM(tbl_data[[#This Row],[Brand]])</f>
        <v>Honda</v>
      </c>
      <c r="S890" s="1">
        <f>_xlfn.NUMBERVALUE(tbl_data[[#This Row],[Price_USD]],".",",")</f>
        <v>63030.03</v>
      </c>
    </row>
    <row r="891" spans="1:19" x14ac:dyDescent="0.3">
      <c r="A891">
        <v>890</v>
      </c>
      <c r="B891" t="s">
        <v>25</v>
      </c>
      <c r="C891">
        <v>2019</v>
      </c>
      <c r="D891">
        <v>145600</v>
      </c>
      <c r="E891" t="s">
        <v>20</v>
      </c>
      <c r="F891" t="s">
        <v>14</v>
      </c>
      <c r="G891" t="s">
        <v>26</v>
      </c>
      <c r="H891">
        <v>4960</v>
      </c>
      <c r="I891" t="s">
        <v>2507</v>
      </c>
      <c r="J891" t="s">
        <v>2508</v>
      </c>
      <c r="K891">
        <v>7</v>
      </c>
      <c r="L891" t="s">
        <v>2509</v>
      </c>
      <c r="M891" s="1" t="str">
        <f>TEXT(DATE(tbl_data[[#This Row],[Model_Year]],1,1),"yyyy")</f>
        <v>2019</v>
      </c>
      <c r="N891" s="1" t="str">
        <f>IF(tbl_data[[#This Row],[Kilometers_Driven]]&lt;50000,"&lt;50k",
IF(tbl_data[[#This Row],[Kilometers_Driven]]&lt;100000,"50k-100k",
IF(tbl_data[[#This Row],[Kilometers_Driven]]&lt;150000,"100k-150k","150k+")))</f>
        <v>100k-150k</v>
      </c>
      <c r="O891" s="1" t="str">
        <f>IF(tbl_data[[#This Row],[Price_USD]]&gt;=87089,"High",
IF(tbl_data[[#This Row],[Price_USD]]&gt;=56807,"Mid","Low"))</f>
        <v>High</v>
      </c>
      <c r="P891" s="1" t="str">
        <f>IF(tbl_data[[#This Row],[Transmission]]="Automatic","Auto","Manual")</f>
        <v>Manual</v>
      </c>
      <c r="Q891" s="1" t="str">
        <f>IFERROR(IF(VALUE(tbl_data[[#This Row],[Engine_CC]])=0,"",VALUE(tbl_data[[#This Row],[Price_USD]])/VALUE(tbl_data[[#This Row],[Engine_CC]])),"")</f>
        <v/>
      </c>
      <c r="R891" s="1" t="str">
        <f>TRIM(tbl_data[[#This Row],[Brand]])</f>
        <v>Kia</v>
      </c>
      <c r="S891" s="1">
        <f>_xlfn.NUMBERVALUE(tbl_data[[#This Row],[Price_USD]],".",",")</f>
        <v>81477.42</v>
      </c>
    </row>
    <row r="892" spans="1:19" x14ac:dyDescent="0.3">
      <c r="A892">
        <v>891</v>
      </c>
      <c r="B892" t="s">
        <v>76</v>
      </c>
      <c r="C892">
        <v>2016</v>
      </c>
      <c r="D892">
        <v>186172</v>
      </c>
      <c r="E892" t="s">
        <v>20</v>
      </c>
      <c r="F892" t="s">
        <v>14</v>
      </c>
      <c r="G892" t="s">
        <v>26</v>
      </c>
      <c r="H892">
        <v>4483</v>
      </c>
      <c r="I892" t="s">
        <v>73</v>
      </c>
      <c r="J892" t="s">
        <v>1925</v>
      </c>
      <c r="K892">
        <v>5</v>
      </c>
      <c r="L892" t="s">
        <v>2510</v>
      </c>
      <c r="M892" s="1" t="str">
        <f>TEXT(DATE(tbl_data[[#This Row],[Model_Year]],1,1),"yyyy")</f>
        <v>2016</v>
      </c>
      <c r="N892" s="1" t="str">
        <f>IF(tbl_data[[#This Row],[Kilometers_Driven]]&lt;50000,"&lt;50k",
IF(tbl_data[[#This Row],[Kilometers_Driven]]&lt;100000,"50k-100k",
IF(tbl_data[[#This Row],[Kilometers_Driven]]&lt;150000,"100k-150k","150k+")))</f>
        <v>150k+</v>
      </c>
      <c r="O892" s="1" t="str">
        <f>IF(tbl_data[[#This Row],[Price_USD]]&gt;=87089,"High",
IF(tbl_data[[#This Row],[Price_USD]]&gt;=56807,"Mid","Low"))</f>
        <v>High</v>
      </c>
      <c r="P892" s="1" t="str">
        <f>IF(tbl_data[[#This Row],[Transmission]]="Automatic","Auto","Manual")</f>
        <v>Manual</v>
      </c>
      <c r="Q892" s="1" t="str">
        <f>IFERROR(IF(VALUE(tbl_data[[#This Row],[Engine_CC]])=0,"",VALUE(tbl_data[[#This Row],[Price_USD]])/VALUE(tbl_data[[#This Row],[Engine_CC]])),"")</f>
        <v/>
      </c>
      <c r="R892" s="1" t="str">
        <f>TRIM(tbl_data[[#This Row],[Brand]])</f>
        <v>Honda</v>
      </c>
      <c r="S892" s="1">
        <f>_xlfn.NUMBERVALUE(tbl_data[[#This Row],[Price_USD]],".",",")</f>
        <v>102140.54</v>
      </c>
    </row>
    <row r="893" spans="1:19" x14ac:dyDescent="0.3">
      <c r="A893">
        <v>892</v>
      </c>
      <c r="B893" t="s">
        <v>19</v>
      </c>
      <c r="C893">
        <v>2008</v>
      </c>
      <c r="D893">
        <v>114869</v>
      </c>
      <c r="E893" t="s">
        <v>44</v>
      </c>
      <c r="F893" t="s">
        <v>14</v>
      </c>
      <c r="G893" t="s">
        <v>26</v>
      </c>
      <c r="H893">
        <v>1385</v>
      </c>
      <c r="I893" t="s">
        <v>2511</v>
      </c>
      <c r="J893" t="s">
        <v>2512</v>
      </c>
      <c r="K893">
        <v>2</v>
      </c>
      <c r="L893" t="s">
        <v>2513</v>
      </c>
      <c r="M893" s="1" t="str">
        <f>TEXT(DATE(tbl_data[[#This Row],[Model_Year]],1,1),"yyyy")</f>
        <v>2008</v>
      </c>
      <c r="N893" s="1" t="str">
        <f>IF(tbl_data[[#This Row],[Kilometers_Driven]]&lt;50000,"&lt;50k",
IF(tbl_data[[#This Row],[Kilometers_Driven]]&lt;100000,"50k-100k",
IF(tbl_data[[#This Row],[Kilometers_Driven]]&lt;150000,"100k-150k","150k+")))</f>
        <v>100k-150k</v>
      </c>
      <c r="O893" s="1" t="str">
        <f>IF(tbl_data[[#This Row],[Price_USD]]&gt;=87089,"High",
IF(tbl_data[[#This Row],[Price_USD]]&gt;=56807,"Mid","Low"))</f>
        <v>High</v>
      </c>
      <c r="P893" s="1" t="str">
        <f>IF(tbl_data[[#This Row],[Transmission]]="Automatic","Auto","Manual")</f>
        <v>Manual</v>
      </c>
      <c r="Q893" s="1" t="str">
        <f>IFERROR(IF(VALUE(tbl_data[[#This Row],[Engine_CC]])=0,"",VALUE(tbl_data[[#This Row],[Price_USD]])/VALUE(tbl_data[[#This Row],[Engine_CC]])),"")</f>
        <v/>
      </c>
      <c r="R893" s="1" t="str">
        <f>TRIM(tbl_data[[#This Row],[Brand]])</f>
        <v>BMW</v>
      </c>
      <c r="S893" s="1">
        <f>_xlfn.NUMBERVALUE(tbl_data[[#This Row],[Price_USD]],".",",")</f>
        <v>4116.0600000000004</v>
      </c>
    </row>
    <row r="894" spans="1:19" x14ac:dyDescent="0.3">
      <c r="A894">
        <v>893</v>
      </c>
      <c r="B894" t="s">
        <v>92</v>
      </c>
      <c r="C894">
        <v>2019</v>
      </c>
      <c r="D894">
        <v>144251</v>
      </c>
      <c r="E894" t="s">
        <v>31</v>
      </c>
      <c r="F894" t="s">
        <v>21</v>
      </c>
      <c r="G894" t="s">
        <v>32</v>
      </c>
      <c r="H894">
        <v>4760</v>
      </c>
      <c r="I894" t="s">
        <v>2514</v>
      </c>
      <c r="J894" t="s">
        <v>2515</v>
      </c>
      <c r="K894">
        <v>7</v>
      </c>
      <c r="L894" t="s">
        <v>2516</v>
      </c>
      <c r="M894" s="1" t="str">
        <f>TEXT(DATE(tbl_data[[#This Row],[Model_Year]],1,1),"yyyy")</f>
        <v>2019</v>
      </c>
      <c r="N894" s="1" t="str">
        <f>IF(tbl_data[[#This Row],[Kilometers_Driven]]&lt;50000,"&lt;50k",
IF(tbl_data[[#This Row],[Kilometers_Driven]]&lt;100000,"50k-100k",
IF(tbl_data[[#This Row],[Kilometers_Driven]]&lt;150000,"100k-150k","150k+")))</f>
        <v>100k-150k</v>
      </c>
      <c r="O894" s="1" t="str">
        <f>IF(tbl_data[[#This Row],[Price_USD]]&gt;=87089,"High",
IF(tbl_data[[#This Row],[Price_USD]]&gt;=56807,"Mid","Low"))</f>
        <v>High</v>
      </c>
      <c r="P894" s="1" t="str">
        <f>IF(tbl_data[[#This Row],[Transmission]]="Automatic","Auto","Manual")</f>
        <v>Auto</v>
      </c>
      <c r="Q894" s="1" t="str">
        <f>IFERROR(IF(VALUE(tbl_data[[#This Row],[Engine_CC]])=0,"",VALUE(tbl_data[[#This Row],[Price_USD]])/VALUE(tbl_data[[#This Row],[Engine_CC]])),"")</f>
        <v/>
      </c>
      <c r="R894" s="1" t="str">
        <f>TRIM(tbl_data[[#This Row],[Brand]])</f>
        <v>Toyota</v>
      </c>
      <c r="S894" s="1">
        <f>_xlfn.NUMBERVALUE(tbl_data[[#This Row],[Price_USD]],".",",")</f>
        <v>50138.13</v>
      </c>
    </row>
    <row r="895" spans="1:19" x14ac:dyDescent="0.3">
      <c r="A895">
        <v>894</v>
      </c>
      <c r="B895" t="s">
        <v>30</v>
      </c>
      <c r="C895">
        <v>2015</v>
      </c>
      <c r="D895">
        <v>53781</v>
      </c>
      <c r="E895" t="s">
        <v>20</v>
      </c>
      <c r="F895" t="s">
        <v>14</v>
      </c>
      <c r="G895" t="s">
        <v>15</v>
      </c>
      <c r="H895">
        <v>4570</v>
      </c>
      <c r="I895" t="s">
        <v>2517</v>
      </c>
      <c r="J895" t="s">
        <v>2518</v>
      </c>
      <c r="K895">
        <v>7</v>
      </c>
      <c r="L895" t="s">
        <v>2519</v>
      </c>
      <c r="M895" s="1" t="str">
        <f>TEXT(DATE(tbl_data[[#This Row],[Model_Year]],1,1),"yyyy")</f>
        <v>2015</v>
      </c>
      <c r="N895" s="1" t="str">
        <f>IF(tbl_data[[#This Row],[Kilometers_Driven]]&lt;50000,"&lt;50k",
IF(tbl_data[[#This Row],[Kilometers_Driven]]&lt;100000,"50k-100k",
IF(tbl_data[[#This Row],[Kilometers_Driven]]&lt;150000,"100k-150k","150k+")))</f>
        <v>50k-100k</v>
      </c>
      <c r="O895" s="1" t="str">
        <f>IF(tbl_data[[#This Row],[Price_USD]]&gt;=87089,"High",
IF(tbl_data[[#This Row],[Price_USD]]&gt;=56807,"Mid","Low"))</f>
        <v>High</v>
      </c>
      <c r="P895" s="1" t="str">
        <f>IF(tbl_data[[#This Row],[Transmission]]="Automatic","Auto","Manual")</f>
        <v>Manual</v>
      </c>
      <c r="Q895" s="1" t="str">
        <f>IFERROR(IF(VALUE(tbl_data[[#This Row],[Engine_CC]])=0,"",VALUE(tbl_data[[#This Row],[Price_USD]])/VALUE(tbl_data[[#This Row],[Engine_CC]])),"")</f>
        <v/>
      </c>
      <c r="R895" s="1" t="str">
        <f>TRIM(tbl_data[[#This Row],[Brand]])</f>
        <v>Mercedes</v>
      </c>
      <c r="S895" s="1">
        <f>_xlfn.NUMBERVALUE(tbl_data[[#This Row],[Price_USD]],".",",")</f>
        <v>109147.45</v>
      </c>
    </row>
    <row r="896" spans="1:19" x14ac:dyDescent="0.3">
      <c r="A896">
        <v>895</v>
      </c>
      <c r="B896" t="s">
        <v>102</v>
      </c>
      <c r="C896">
        <v>2020</v>
      </c>
      <c r="D896">
        <v>191339</v>
      </c>
      <c r="E896" t="s">
        <v>20</v>
      </c>
      <c r="F896" t="s">
        <v>14</v>
      </c>
      <c r="G896" t="s">
        <v>15</v>
      </c>
      <c r="H896">
        <v>1334</v>
      </c>
      <c r="I896" t="s">
        <v>2520</v>
      </c>
      <c r="J896" t="s">
        <v>2521</v>
      </c>
      <c r="K896">
        <v>6</v>
      </c>
      <c r="L896" t="s">
        <v>2522</v>
      </c>
      <c r="M896" s="1" t="str">
        <f>TEXT(DATE(tbl_data[[#This Row],[Model_Year]],1,1),"yyyy")</f>
        <v>2020</v>
      </c>
      <c r="N896" s="1" t="str">
        <f>IF(tbl_data[[#This Row],[Kilometers_Driven]]&lt;50000,"&lt;50k",
IF(tbl_data[[#This Row],[Kilometers_Driven]]&lt;100000,"50k-100k",
IF(tbl_data[[#This Row],[Kilometers_Driven]]&lt;150000,"100k-150k","150k+")))</f>
        <v>150k+</v>
      </c>
      <c r="O896" s="1" t="str">
        <f>IF(tbl_data[[#This Row],[Price_USD]]&gt;=87089,"High",
IF(tbl_data[[#This Row],[Price_USD]]&gt;=56807,"Mid","Low"))</f>
        <v>High</v>
      </c>
      <c r="P896" s="1" t="str">
        <f>IF(tbl_data[[#This Row],[Transmission]]="Automatic","Auto","Manual")</f>
        <v>Manual</v>
      </c>
      <c r="Q896" s="1" t="str">
        <f>IFERROR(IF(VALUE(tbl_data[[#This Row],[Engine_CC]])=0,"",VALUE(tbl_data[[#This Row],[Price_USD]])/VALUE(tbl_data[[#This Row],[Engine_CC]])),"")</f>
        <v/>
      </c>
      <c r="R896" s="1" t="str">
        <f>TRIM(tbl_data[[#This Row],[Brand]])</f>
        <v>Nissan</v>
      </c>
      <c r="S896" s="1">
        <f>_xlfn.NUMBERVALUE(tbl_data[[#This Row],[Price_USD]],".",",")</f>
        <v>89616.62</v>
      </c>
    </row>
    <row r="897" spans="1:19" x14ac:dyDescent="0.3">
      <c r="A897">
        <v>896</v>
      </c>
      <c r="B897" t="s">
        <v>92</v>
      </c>
      <c r="C897">
        <v>2010</v>
      </c>
      <c r="D897">
        <v>160024</v>
      </c>
      <c r="E897" t="s">
        <v>13</v>
      </c>
      <c r="F897" t="s">
        <v>14</v>
      </c>
      <c r="G897" t="s">
        <v>15</v>
      </c>
      <c r="H897">
        <v>4262</v>
      </c>
      <c r="I897" t="s">
        <v>2523</v>
      </c>
      <c r="J897" t="s">
        <v>635</v>
      </c>
      <c r="K897">
        <v>2</v>
      </c>
      <c r="L897" t="s">
        <v>2524</v>
      </c>
      <c r="M897" s="1" t="str">
        <f>TEXT(DATE(tbl_data[[#This Row],[Model_Year]],1,1),"yyyy")</f>
        <v>2010</v>
      </c>
      <c r="N897" s="1" t="str">
        <f>IF(tbl_data[[#This Row],[Kilometers_Driven]]&lt;50000,"&lt;50k",
IF(tbl_data[[#This Row],[Kilometers_Driven]]&lt;100000,"50k-100k",
IF(tbl_data[[#This Row],[Kilometers_Driven]]&lt;150000,"100k-150k","150k+")))</f>
        <v>150k+</v>
      </c>
      <c r="O897" s="1" t="str">
        <f>IF(tbl_data[[#This Row],[Price_USD]]&gt;=87089,"High",
IF(tbl_data[[#This Row],[Price_USD]]&gt;=56807,"Mid","Low"))</f>
        <v>High</v>
      </c>
      <c r="P897" s="1" t="str">
        <f>IF(tbl_data[[#This Row],[Transmission]]="Automatic","Auto","Manual")</f>
        <v>Manual</v>
      </c>
      <c r="Q897" s="1" t="str">
        <f>IFERROR(IF(VALUE(tbl_data[[#This Row],[Engine_CC]])=0,"",VALUE(tbl_data[[#This Row],[Price_USD]])/VALUE(tbl_data[[#This Row],[Engine_CC]])),"")</f>
        <v/>
      </c>
      <c r="R897" s="1" t="str">
        <f>TRIM(tbl_data[[#This Row],[Brand]])</f>
        <v>Toyota</v>
      </c>
      <c r="S897" s="1">
        <f>_xlfn.NUMBERVALUE(tbl_data[[#This Row],[Price_USD]],".",",")</f>
        <v>66512.44</v>
      </c>
    </row>
    <row r="898" spans="1:19" x14ac:dyDescent="0.3">
      <c r="A898">
        <v>897</v>
      </c>
      <c r="B898" t="s">
        <v>102</v>
      </c>
      <c r="C898">
        <v>2018</v>
      </c>
      <c r="D898">
        <v>58798</v>
      </c>
      <c r="E898" t="s">
        <v>20</v>
      </c>
      <c r="F898" t="s">
        <v>14</v>
      </c>
      <c r="G898" t="s">
        <v>26</v>
      </c>
      <c r="H898">
        <v>4811</v>
      </c>
      <c r="I898" t="s">
        <v>2525</v>
      </c>
      <c r="J898" t="s">
        <v>2526</v>
      </c>
      <c r="K898">
        <v>5</v>
      </c>
      <c r="L898" t="s">
        <v>2527</v>
      </c>
      <c r="M898" s="1" t="str">
        <f>TEXT(DATE(tbl_data[[#This Row],[Model_Year]],1,1),"yyyy")</f>
        <v>2018</v>
      </c>
      <c r="N898" s="1" t="str">
        <f>IF(tbl_data[[#This Row],[Kilometers_Driven]]&lt;50000,"&lt;50k",
IF(tbl_data[[#This Row],[Kilometers_Driven]]&lt;100000,"50k-100k",
IF(tbl_data[[#This Row],[Kilometers_Driven]]&lt;150000,"100k-150k","150k+")))</f>
        <v>50k-100k</v>
      </c>
      <c r="O898" s="1" t="str">
        <f>IF(tbl_data[[#This Row],[Price_USD]]&gt;=87089,"High",
IF(tbl_data[[#This Row],[Price_USD]]&gt;=56807,"Mid","Low"))</f>
        <v>High</v>
      </c>
      <c r="P898" s="1" t="str">
        <f>IF(tbl_data[[#This Row],[Transmission]]="Automatic","Auto","Manual")</f>
        <v>Manual</v>
      </c>
      <c r="Q898" s="1" t="str">
        <f>IFERROR(IF(VALUE(tbl_data[[#This Row],[Engine_CC]])=0,"",VALUE(tbl_data[[#This Row],[Price_USD]])/VALUE(tbl_data[[#This Row],[Engine_CC]])),"")</f>
        <v/>
      </c>
      <c r="R898" s="1" t="str">
        <f>TRIM(tbl_data[[#This Row],[Brand]])</f>
        <v>Nissan</v>
      </c>
      <c r="S898" s="1">
        <f>_xlfn.NUMBERVALUE(tbl_data[[#This Row],[Price_USD]],".",",")</f>
        <v>64968.41</v>
      </c>
    </row>
    <row r="899" spans="1:19" x14ac:dyDescent="0.3">
      <c r="A899">
        <v>898</v>
      </c>
      <c r="B899" t="s">
        <v>25</v>
      </c>
      <c r="C899">
        <v>2022</v>
      </c>
      <c r="D899">
        <v>103696</v>
      </c>
      <c r="E899" t="s">
        <v>44</v>
      </c>
      <c r="F899" t="s">
        <v>21</v>
      </c>
      <c r="G899" t="s">
        <v>26</v>
      </c>
      <c r="H899">
        <v>4198</v>
      </c>
      <c r="I899" t="s">
        <v>2528</v>
      </c>
      <c r="J899" t="s">
        <v>2529</v>
      </c>
      <c r="K899">
        <v>5</v>
      </c>
      <c r="L899" t="s">
        <v>2530</v>
      </c>
      <c r="M899" s="1" t="str">
        <f>TEXT(DATE(tbl_data[[#This Row],[Model_Year]],1,1),"yyyy")</f>
        <v>2022</v>
      </c>
      <c r="N899" s="1" t="str">
        <f>IF(tbl_data[[#This Row],[Kilometers_Driven]]&lt;50000,"&lt;50k",
IF(tbl_data[[#This Row],[Kilometers_Driven]]&lt;100000,"50k-100k",
IF(tbl_data[[#This Row],[Kilometers_Driven]]&lt;150000,"100k-150k","150k+")))</f>
        <v>100k-150k</v>
      </c>
      <c r="O899" s="1" t="str">
        <f>IF(tbl_data[[#This Row],[Price_USD]]&gt;=87089,"High",
IF(tbl_data[[#This Row],[Price_USD]]&gt;=56807,"Mid","Low"))</f>
        <v>High</v>
      </c>
      <c r="P899" s="1" t="str">
        <f>IF(tbl_data[[#This Row],[Transmission]]="Automatic","Auto","Manual")</f>
        <v>Auto</v>
      </c>
      <c r="Q899" s="1" t="str">
        <f>IFERROR(IF(VALUE(tbl_data[[#This Row],[Engine_CC]])=0,"",VALUE(tbl_data[[#This Row],[Price_USD]])/VALUE(tbl_data[[#This Row],[Engine_CC]])),"")</f>
        <v/>
      </c>
      <c r="R899" s="1" t="str">
        <f>TRIM(tbl_data[[#This Row],[Brand]])</f>
        <v>Kia</v>
      </c>
      <c r="S899" s="1">
        <f>_xlfn.NUMBERVALUE(tbl_data[[#This Row],[Price_USD]],".",",")</f>
        <v>43689.1</v>
      </c>
    </row>
    <row r="900" spans="1:19" x14ac:dyDescent="0.3">
      <c r="A900">
        <v>899</v>
      </c>
      <c r="B900" t="s">
        <v>69</v>
      </c>
      <c r="C900">
        <v>2016</v>
      </c>
      <c r="D900">
        <v>55939</v>
      </c>
      <c r="E900" t="s">
        <v>13</v>
      </c>
      <c r="F900" t="s">
        <v>14</v>
      </c>
      <c r="G900" t="s">
        <v>32</v>
      </c>
      <c r="H900">
        <v>2955</v>
      </c>
      <c r="I900" t="s">
        <v>2531</v>
      </c>
      <c r="J900" t="s">
        <v>2343</v>
      </c>
      <c r="K900">
        <v>2</v>
      </c>
      <c r="L900" t="s">
        <v>2532</v>
      </c>
      <c r="M900" s="1" t="str">
        <f>TEXT(DATE(tbl_data[[#This Row],[Model_Year]],1,1),"yyyy")</f>
        <v>2016</v>
      </c>
      <c r="N900" s="1" t="str">
        <f>IF(tbl_data[[#This Row],[Kilometers_Driven]]&lt;50000,"&lt;50k",
IF(tbl_data[[#This Row],[Kilometers_Driven]]&lt;100000,"50k-100k",
IF(tbl_data[[#This Row],[Kilometers_Driven]]&lt;150000,"100k-150k","150k+")))</f>
        <v>50k-100k</v>
      </c>
      <c r="O900" s="1" t="str">
        <f>IF(tbl_data[[#This Row],[Price_USD]]&gt;=87089,"High",
IF(tbl_data[[#This Row],[Price_USD]]&gt;=56807,"Mid","Low"))</f>
        <v>High</v>
      </c>
      <c r="P900" s="1" t="str">
        <f>IF(tbl_data[[#This Row],[Transmission]]="Automatic","Auto","Manual")</f>
        <v>Manual</v>
      </c>
      <c r="Q900" s="1" t="str">
        <f>IFERROR(IF(VALUE(tbl_data[[#This Row],[Engine_CC]])=0,"",VALUE(tbl_data[[#This Row],[Price_USD]])/VALUE(tbl_data[[#This Row],[Engine_CC]])),"")</f>
        <v/>
      </c>
      <c r="R900" s="1" t="str">
        <f>TRIM(tbl_data[[#This Row],[Brand]])</f>
        <v>Hyundai</v>
      </c>
      <c r="S900" s="1">
        <f>_xlfn.NUMBERVALUE(tbl_data[[#This Row],[Price_USD]],".",",")</f>
        <v>63900.9</v>
      </c>
    </row>
    <row r="901" spans="1:19" x14ac:dyDescent="0.3">
      <c r="A901">
        <v>900</v>
      </c>
      <c r="B901" t="s">
        <v>12</v>
      </c>
      <c r="C901">
        <v>2015</v>
      </c>
      <c r="D901">
        <v>34516</v>
      </c>
      <c r="E901" t="s">
        <v>31</v>
      </c>
      <c r="F901" t="s">
        <v>21</v>
      </c>
      <c r="G901" t="s">
        <v>15</v>
      </c>
      <c r="H901">
        <v>1804</v>
      </c>
      <c r="I901" t="s">
        <v>2533</v>
      </c>
      <c r="J901" t="s">
        <v>1690</v>
      </c>
      <c r="K901">
        <v>2</v>
      </c>
      <c r="L901" t="s">
        <v>2534</v>
      </c>
      <c r="M901" s="1" t="str">
        <f>TEXT(DATE(tbl_data[[#This Row],[Model_Year]],1,1),"yyyy")</f>
        <v>2015</v>
      </c>
      <c r="N901" s="1" t="str">
        <f>IF(tbl_data[[#This Row],[Kilometers_Driven]]&lt;50000,"&lt;50k",
IF(tbl_data[[#This Row],[Kilometers_Driven]]&lt;100000,"50k-100k",
IF(tbl_data[[#This Row],[Kilometers_Driven]]&lt;150000,"100k-150k","150k+")))</f>
        <v>&lt;50k</v>
      </c>
      <c r="O901" s="1" t="str">
        <f>IF(tbl_data[[#This Row],[Price_USD]]&gt;=87089,"High",
IF(tbl_data[[#This Row],[Price_USD]]&gt;=56807,"Mid","Low"))</f>
        <v>High</v>
      </c>
      <c r="P901" s="1" t="str">
        <f>IF(tbl_data[[#This Row],[Transmission]]="Automatic","Auto","Manual")</f>
        <v>Auto</v>
      </c>
      <c r="Q901" s="1" t="str">
        <f>IFERROR(IF(VALUE(tbl_data[[#This Row],[Engine_CC]])=0,"",VALUE(tbl_data[[#This Row],[Price_USD]])/VALUE(tbl_data[[#This Row],[Engine_CC]])),"")</f>
        <v/>
      </c>
      <c r="R901" s="1" t="str">
        <f>TRIM(tbl_data[[#This Row],[Brand]])</f>
        <v>Audi</v>
      </c>
      <c r="S901" s="1">
        <f>_xlfn.NUMBERVALUE(tbl_data[[#This Row],[Price_USD]],".",",")</f>
        <v>79679.83</v>
      </c>
    </row>
    <row r="902" spans="1:19" x14ac:dyDescent="0.3">
      <c r="A902">
        <v>901</v>
      </c>
      <c r="B902" t="s">
        <v>43</v>
      </c>
      <c r="C902">
        <v>2017</v>
      </c>
      <c r="D902">
        <v>192598</v>
      </c>
      <c r="E902" t="s">
        <v>13</v>
      </c>
      <c r="F902" t="s">
        <v>14</v>
      </c>
      <c r="G902" t="s">
        <v>26</v>
      </c>
      <c r="H902">
        <v>3299</v>
      </c>
      <c r="I902" t="s">
        <v>2535</v>
      </c>
      <c r="J902" t="s">
        <v>387</v>
      </c>
      <c r="K902">
        <v>4</v>
      </c>
      <c r="L902" t="s">
        <v>2536</v>
      </c>
      <c r="M902" s="1" t="str">
        <f>TEXT(DATE(tbl_data[[#This Row],[Model_Year]],1,1),"yyyy")</f>
        <v>2017</v>
      </c>
      <c r="N902" s="1" t="str">
        <f>IF(tbl_data[[#This Row],[Kilometers_Driven]]&lt;50000,"&lt;50k",
IF(tbl_data[[#This Row],[Kilometers_Driven]]&lt;100000,"50k-100k",
IF(tbl_data[[#This Row],[Kilometers_Driven]]&lt;150000,"100k-150k","150k+")))</f>
        <v>150k+</v>
      </c>
      <c r="O902" s="1" t="str">
        <f>IF(tbl_data[[#This Row],[Price_USD]]&gt;=87089,"High",
IF(tbl_data[[#This Row],[Price_USD]]&gt;=56807,"Mid","Low"))</f>
        <v>High</v>
      </c>
      <c r="P902" s="1" t="str">
        <f>IF(tbl_data[[#This Row],[Transmission]]="Automatic","Auto","Manual")</f>
        <v>Manual</v>
      </c>
      <c r="Q902" s="1" t="str">
        <f>IFERROR(IF(VALUE(tbl_data[[#This Row],[Engine_CC]])=0,"",VALUE(tbl_data[[#This Row],[Price_USD]])/VALUE(tbl_data[[#This Row],[Engine_CC]])),"")</f>
        <v/>
      </c>
      <c r="R902" s="1" t="str">
        <f>TRIM(tbl_data[[#This Row],[Brand]])</f>
        <v>Ford</v>
      </c>
      <c r="S902" s="1">
        <f>_xlfn.NUMBERVALUE(tbl_data[[#This Row],[Price_USD]],".",",")</f>
        <v>51948.480000000003</v>
      </c>
    </row>
    <row r="903" spans="1:19" x14ac:dyDescent="0.3">
      <c r="A903">
        <v>902</v>
      </c>
      <c r="B903" t="s">
        <v>92</v>
      </c>
      <c r="C903">
        <v>2015</v>
      </c>
      <c r="D903">
        <v>146521</v>
      </c>
      <c r="E903" t="s">
        <v>44</v>
      </c>
      <c r="F903" t="s">
        <v>21</v>
      </c>
      <c r="G903" t="s">
        <v>15</v>
      </c>
      <c r="H903">
        <v>1126</v>
      </c>
      <c r="I903" t="s">
        <v>2101</v>
      </c>
      <c r="J903" t="s">
        <v>244</v>
      </c>
      <c r="K903">
        <v>6</v>
      </c>
      <c r="L903" t="s">
        <v>2537</v>
      </c>
      <c r="M903" s="1" t="str">
        <f>TEXT(DATE(tbl_data[[#This Row],[Model_Year]],1,1),"yyyy")</f>
        <v>2015</v>
      </c>
      <c r="N903" s="1" t="str">
        <f>IF(tbl_data[[#This Row],[Kilometers_Driven]]&lt;50000,"&lt;50k",
IF(tbl_data[[#This Row],[Kilometers_Driven]]&lt;100000,"50k-100k",
IF(tbl_data[[#This Row],[Kilometers_Driven]]&lt;150000,"100k-150k","150k+")))</f>
        <v>100k-150k</v>
      </c>
      <c r="O903" s="1" t="str">
        <f>IF(tbl_data[[#This Row],[Price_USD]]&gt;=87089,"High",
IF(tbl_data[[#This Row],[Price_USD]]&gt;=56807,"Mid","Low"))</f>
        <v>High</v>
      </c>
      <c r="P903" s="1" t="str">
        <f>IF(tbl_data[[#This Row],[Transmission]]="Automatic","Auto","Manual")</f>
        <v>Auto</v>
      </c>
      <c r="Q903" s="1" t="str">
        <f>IFERROR(IF(VALUE(tbl_data[[#This Row],[Engine_CC]])=0,"",VALUE(tbl_data[[#This Row],[Price_USD]])/VALUE(tbl_data[[#This Row],[Engine_CC]])),"")</f>
        <v/>
      </c>
      <c r="R903" s="1" t="str">
        <f>TRIM(tbl_data[[#This Row],[Brand]])</f>
        <v>Toyota</v>
      </c>
      <c r="S903" s="1">
        <f>_xlfn.NUMBERVALUE(tbl_data[[#This Row],[Price_USD]],".",",")</f>
        <v>86555.92</v>
      </c>
    </row>
    <row r="904" spans="1:19" x14ac:dyDescent="0.3">
      <c r="A904">
        <v>903</v>
      </c>
      <c r="B904" t="s">
        <v>30</v>
      </c>
      <c r="C904">
        <v>2020</v>
      </c>
      <c r="D904">
        <v>55290</v>
      </c>
      <c r="E904" t="s">
        <v>44</v>
      </c>
      <c r="F904" t="s">
        <v>14</v>
      </c>
      <c r="G904" t="s">
        <v>32</v>
      </c>
      <c r="H904">
        <v>3506</v>
      </c>
      <c r="I904" t="s">
        <v>2538</v>
      </c>
      <c r="J904" t="s">
        <v>2539</v>
      </c>
      <c r="K904">
        <v>2</v>
      </c>
      <c r="L904" t="s">
        <v>2540</v>
      </c>
      <c r="M904" s="1" t="str">
        <f>TEXT(DATE(tbl_data[[#This Row],[Model_Year]],1,1),"yyyy")</f>
        <v>2020</v>
      </c>
      <c r="N904" s="1" t="str">
        <f>IF(tbl_data[[#This Row],[Kilometers_Driven]]&lt;50000,"&lt;50k",
IF(tbl_data[[#This Row],[Kilometers_Driven]]&lt;100000,"50k-100k",
IF(tbl_data[[#This Row],[Kilometers_Driven]]&lt;150000,"100k-150k","150k+")))</f>
        <v>50k-100k</v>
      </c>
      <c r="O904" s="1" t="str">
        <f>IF(tbl_data[[#This Row],[Price_USD]]&gt;=87089,"High",
IF(tbl_data[[#This Row],[Price_USD]]&gt;=56807,"Mid","Low"))</f>
        <v>High</v>
      </c>
      <c r="P904" s="1" t="str">
        <f>IF(tbl_data[[#This Row],[Transmission]]="Automatic","Auto","Manual")</f>
        <v>Manual</v>
      </c>
      <c r="Q904" s="1" t="str">
        <f>IFERROR(IF(VALUE(tbl_data[[#This Row],[Engine_CC]])=0,"",VALUE(tbl_data[[#This Row],[Price_USD]])/VALUE(tbl_data[[#This Row],[Engine_CC]])),"")</f>
        <v/>
      </c>
      <c r="R904" s="1" t="str">
        <f>TRIM(tbl_data[[#This Row],[Brand]])</f>
        <v>Mercedes</v>
      </c>
      <c r="S904" s="1">
        <f>_xlfn.NUMBERVALUE(tbl_data[[#This Row],[Price_USD]],".",",")</f>
        <v>103764.17</v>
      </c>
    </row>
    <row r="905" spans="1:19" x14ac:dyDescent="0.3">
      <c r="A905">
        <v>904</v>
      </c>
      <c r="B905" t="s">
        <v>76</v>
      </c>
      <c r="C905">
        <v>2019</v>
      </c>
      <c r="D905">
        <v>131688</v>
      </c>
      <c r="E905" t="s">
        <v>13</v>
      </c>
      <c r="F905" t="s">
        <v>14</v>
      </c>
      <c r="G905" t="s">
        <v>32</v>
      </c>
      <c r="H905">
        <v>801</v>
      </c>
      <c r="I905" t="s">
        <v>2541</v>
      </c>
      <c r="J905" t="s">
        <v>1293</v>
      </c>
      <c r="K905">
        <v>2</v>
      </c>
      <c r="L905" t="s">
        <v>2542</v>
      </c>
      <c r="M905" s="1" t="str">
        <f>TEXT(DATE(tbl_data[[#This Row],[Model_Year]],1,1),"yyyy")</f>
        <v>2019</v>
      </c>
      <c r="N905" s="1" t="str">
        <f>IF(tbl_data[[#This Row],[Kilometers_Driven]]&lt;50000,"&lt;50k",
IF(tbl_data[[#This Row],[Kilometers_Driven]]&lt;100000,"50k-100k",
IF(tbl_data[[#This Row],[Kilometers_Driven]]&lt;150000,"100k-150k","150k+")))</f>
        <v>100k-150k</v>
      </c>
      <c r="O905" s="1" t="str">
        <f>IF(tbl_data[[#This Row],[Price_USD]]&gt;=87089,"High",
IF(tbl_data[[#This Row],[Price_USD]]&gt;=56807,"Mid","Low"))</f>
        <v>High</v>
      </c>
      <c r="P905" s="1" t="str">
        <f>IF(tbl_data[[#This Row],[Transmission]]="Automatic","Auto","Manual")</f>
        <v>Manual</v>
      </c>
      <c r="Q905" s="1" t="str">
        <f>IFERROR(IF(VALUE(tbl_data[[#This Row],[Engine_CC]])=0,"",VALUE(tbl_data[[#This Row],[Price_USD]])/VALUE(tbl_data[[#This Row],[Engine_CC]])),"")</f>
        <v/>
      </c>
      <c r="R905" s="1" t="str">
        <f>TRIM(tbl_data[[#This Row],[Brand]])</f>
        <v>Honda</v>
      </c>
      <c r="S905" s="1">
        <f>_xlfn.NUMBERVALUE(tbl_data[[#This Row],[Price_USD]],".",",")</f>
        <v>21098.13</v>
      </c>
    </row>
    <row r="906" spans="1:19" x14ac:dyDescent="0.3">
      <c r="A906">
        <v>905</v>
      </c>
      <c r="B906" t="s">
        <v>30</v>
      </c>
      <c r="C906">
        <v>2019</v>
      </c>
      <c r="D906">
        <v>91661</v>
      </c>
      <c r="E906" t="s">
        <v>31</v>
      </c>
      <c r="F906" t="s">
        <v>21</v>
      </c>
      <c r="G906" t="s">
        <v>32</v>
      </c>
      <c r="H906">
        <v>1833</v>
      </c>
      <c r="I906" t="s">
        <v>2543</v>
      </c>
      <c r="J906" t="s">
        <v>1653</v>
      </c>
      <c r="K906">
        <v>4</v>
      </c>
      <c r="L906" t="s">
        <v>2544</v>
      </c>
      <c r="M906" s="1" t="str">
        <f>TEXT(DATE(tbl_data[[#This Row],[Model_Year]],1,1),"yyyy")</f>
        <v>2019</v>
      </c>
      <c r="N906" s="1" t="str">
        <f>IF(tbl_data[[#This Row],[Kilometers_Driven]]&lt;50000,"&lt;50k",
IF(tbl_data[[#This Row],[Kilometers_Driven]]&lt;100000,"50k-100k",
IF(tbl_data[[#This Row],[Kilometers_Driven]]&lt;150000,"100k-150k","150k+")))</f>
        <v>50k-100k</v>
      </c>
      <c r="O906" s="1" t="str">
        <f>IF(tbl_data[[#This Row],[Price_USD]]&gt;=87089,"High",
IF(tbl_data[[#This Row],[Price_USD]]&gt;=56807,"Mid","Low"))</f>
        <v>High</v>
      </c>
      <c r="P906" s="1" t="str">
        <f>IF(tbl_data[[#This Row],[Transmission]]="Automatic","Auto","Manual")</f>
        <v>Auto</v>
      </c>
      <c r="Q906" s="1" t="str">
        <f>IFERROR(IF(VALUE(tbl_data[[#This Row],[Engine_CC]])=0,"",VALUE(tbl_data[[#This Row],[Price_USD]])/VALUE(tbl_data[[#This Row],[Engine_CC]])),"")</f>
        <v/>
      </c>
      <c r="R906" s="1" t="str">
        <f>TRIM(tbl_data[[#This Row],[Brand]])</f>
        <v>Mercedes</v>
      </c>
      <c r="S906" s="1">
        <f>_xlfn.NUMBERVALUE(tbl_data[[#This Row],[Price_USD]],".",",")</f>
        <v>55831</v>
      </c>
    </row>
    <row r="907" spans="1:19" x14ac:dyDescent="0.3">
      <c r="A907">
        <v>906</v>
      </c>
      <c r="B907" t="s">
        <v>25</v>
      </c>
      <c r="C907">
        <v>2008</v>
      </c>
      <c r="D907">
        <v>77954</v>
      </c>
      <c r="E907" t="s">
        <v>13</v>
      </c>
      <c r="F907" t="s">
        <v>14</v>
      </c>
      <c r="G907" t="s">
        <v>15</v>
      </c>
      <c r="H907">
        <v>3281</v>
      </c>
      <c r="I907" t="s">
        <v>796</v>
      </c>
      <c r="J907" t="s">
        <v>2545</v>
      </c>
      <c r="K907">
        <v>4</v>
      </c>
      <c r="L907" t="s">
        <v>2546</v>
      </c>
      <c r="M907" s="1" t="str">
        <f>TEXT(DATE(tbl_data[[#This Row],[Model_Year]],1,1),"yyyy")</f>
        <v>2008</v>
      </c>
      <c r="N907" s="1" t="str">
        <f>IF(tbl_data[[#This Row],[Kilometers_Driven]]&lt;50000,"&lt;50k",
IF(tbl_data[[#This Row],[Kilometers_Driven]]&lt;100000,"50k-100k",
IF(tbl_data[[#This Row],[Kilometers_Driven]]&lt;150000,"100k-150k","150k+")))</f>
        <v>50k-100k</v>
      </c>
      <c r="O907" s="1" t="str">
        <f>IF(tbl_data[[#This Row],[Price_USD]]&gt;=87089,"High",
IF(tbl_data[[#This Row],[Price_USD]]&gt;=56807,"Mid","Low"))</f>
        <v>High</v>
      </c>
      <c r="P907" s="1" t="str">
        <f>IF(tbl_data[[#This Row],[Transmission]]="Automatic","Auto","Manual")</f>
        <v>Manual</v>
      </c>
      <c r="Q907" s="1" t="str">
        <f>IFERROR(IF(VALUE(tbl_data[[#This Row],[Engine_CC]])=0,"",VALUE(tbl_data[[#This Row],[Price_USD]])/VALUE(tbl_data[[#This Row],[Engine_CC]])),"")</f>
        <v/>
      </c>
      <c r="R907" s="1" t="str">
        <f>TRIM(tbl_data[[#This Row],[Brand]])</f>
        <v>Kia</v>
      </c>
      <c r="S907" s="1">
        <f>_xlfn.NUMBERVALUE(tbl_data[[#This Row],[Price_USD]],".",",")</f>
        <v>50738.35</v>
      </c>
    </row>
    <row r="908" spans="1:19" x14ac:dyDescent="0.3">
      <c r="A908">
        <v>907</v>
      </c>
      <c r="B908" t="s">
        <v>102</v>
      </c>
      <c r="C908">
        <v>2015</v>
      </c>
      <c r="D908">
        <v>27746</v>
      </c>
      <c r="E908" t="s">
        <v>31</v>
      </c>
      <c r="F908" t="s">
        <v>21</v>
      </c>
      <c r="G908" t="s">
        <v>26</v>
      </c>
      <c r="H908">
        <v>924</v>
      </c>
      <c r="I908" t="s">
        <v>2547</v>
      </c>
      <c r="J908" t="s">
        <v>2403</v>
      </c>
      <c r="K908">
        <v>7</v>
      </c>
      <c r="L908" t="s">
        <v>2548</v>
      </c>
      <c r="M908" s="1" t="str">
        <f>TEXT(DATE(tbl_data[[#This Row],[Model_Year]],1,1),"yyyy")</f>
        <v>2015</v>
      </c>
      <c r="N908" s="1" t="str">
        <f>IF(tbl_data[[#This Row],[Kilometers_Driven]]&lt;50000,"&lt;50k",
IF(tbl_data[[#This Row],[Kilometers_Driven]]&lt;100000,"50k-100k",
IF(tbl_data[[#This Row],[Kilometers_Driven]]&lt;150000,"100k-150k","150k+")))</f>
        <v>&lt;50k</v>
      </c>
      <c r="O908" s="1" t="str">
        <f>IF(tbl_data[[#This Row],[Price_USD]]&gt;=87089,"High",
IF(tbl_data[[#This Row],[Price_USD]]&gt;=56807,"Mid","Low"))</f>
        <v>High</v>
      </c>
      <c r="P908" s="1" t="str">
        <f>IF(tbl_data[[#This Row],[Transmission]]="Automatic","Auto","Manual")</f>
        <v>Auto</v>
      </c>
      <c r="Q908" s="1" t="str">
        <f>IFERROR(IF(VALUE(tbl_data[[#This Row],[Engine_CC]])=0,"",VALUE(tbl_data[[#This Row],[Price_USD]])/VALUE(tbl_data[[#This Row],[Engine_CC]])),"")</f>
        <v/>
      </c>
      <c r="R908" s="1" t="str">
        <f>TRIM(tbl_data[[#This Row],[Brand]])</f>
        <v>Nissan</v>
      </c>
      <c r="S908" s="1">
        <f>_xlfn.NUMBERVALUE(tbl_data[[#This Row],[Price_USD]],".",",")</f>
        <v>83433.38</v>
      </c>
    </row>
    <row r="909" spans="1:19" x14ac:dyDescent="0.3">
      <c r="A909">
        <v>908</v>
      </c>
      <c r="B909" t="s">
        <v>76</v>
      </c>
      <c r="C909">
        <v>2023</v>
      </c>
      <c r="D909">
        <v>72990</v>
      </c>
      <c r="E909" t="s">
        <v>13</v>
      </c>
      <c r="F909" t="s">
        <v>14</v>
      </c>
      <c r="G909" t="s">
        <v>26</v>
      </c>
      <c r="H909">
        <v>1904</v>
      </c>
      <c r="I909" t="s">
        <v>2549</v>
      </c>
      <c r="J909" t="s">
        <v>116</v>
      </c>
      <c r="K909">
        <v>5</v>
      </c>
      <c r="L909" t="s">
        <v>2550</v>
      </c>
      <c r="M909" s="1" t="str">
        <f>TEXT(DATE(tbl_data[[#This Row],[Model_Year]],1,1),"yyyy")</f>
        <v>2023</v>
      </c>
      <c r="N909" s="1" t="str">
        <f>IF(tbl_data[[#This Row],[Kilometers_Driven]]&lt;50000,"&lt;50k",
IF(tbl_data[[#This Row],[Kilometers_Driven]]&lt;100000,"50k-100k",
IF(tbl_data[[#This Row],[Kilometers_Driven]]&lt;150000,"100k-150k","150k+")))</f>
        <v>50k-100k</v>
      </c>
      <c r="O909" s="1" t="str">
        <f>IF(tbl_data[[#This Row],[Price_USD]]&gt;=87089,"High",
IF(tbl_data[[#This Row],[Price_USD]]&gt;=56807,"Mid","Low"))</f>
        <v>High</v>
      </c>
      <c r="P909" s="1" t="str">
        <f>IF(tbl_data[[#This Row],[Transmission]]="Automatic","Auto","Manual")</f>
        <v>Manual</v>
      </c>
      <c r="Q909" s="1" t="str">
        <f>IFERROR(IF(VALUE(tbl_data[[#This Row],[Engine_CC]])=0,"",VALUE(tbl_data[[#This Row],[Price_USD]])/VALUE(tbl_data[[#This Row],[Engine_CC]])),"")</f>
        <v/>
      </c>
      <c r="R909" s="1" t="str">
        <f>TRIM(tbl_data[[#This Row],[Brand]])</f>
        <v>Honda</v>
      </c>
      <c r="S909" s="1">
        <f>_xlfn.NUMBERVALUE(tbl_data[[#This Row],[Price_USD]],".",",")</f>
        <v>32234.49</v>
      </c>
    </row>
    <row r="910" spans="1:19" x14ac:dyDescent="0.3">
      <c r="A910">
        <v>909</v>
      </c>
      <c r="B910" t="s">
        <v>43</v>
      </c>
      <c r="C910">
        <v>2019</v>
      </c>
      <c r="D910">
        <v>63810</v>
      </c>
      <c r="E910" t="s">
        <v>44</v>
      </c>
      <c r="F910" t="s">
        <v>21</v>
      </c>
      <c r="G910" t="s">
        <v>32</v>
      </c>
      <c r="H910">
        <v>3499</v>
      </c>
      <c r="I910" t="s">
        <v>2551</v>
      </c>
      <c r="J910" t="s">
        <v>2552</v>
      </c>
      <c r="K910">
        <v>6</v>
      </c>
      <c r="L910" t="s">
        <v>2553</v>
      </c>
      <c r="M910" s="1" t="str">
        <f>TEXT(DATE(tbl_data[[#This Row],[Model_Year]],1,1),"yyyy")</f>
        <v>2019</v>
      </c>
      <c r="N910" s="1" t="str">
        <f>IF(tbl_data[[#This Row],[Kilometers_Driven]]&lt;50000,"&lt;50k",
IF(tbl_data[[#This Row],[Kilometers_Driven]]&lt;100000,"50k-100k",
IF(tbl_data[[#This Row],[Kilometers_Driven]]&lt;150000,"100k-150k","150k+")))</f>
        <v>50k-100k</v>
      </c>
      <c r="O910" s="1" t="str">
        <f>IF(tbl_data[[#This Row],[Price_USD]]&gt;=87089,"High",
IF(tbl_data[[#This Row],[Price_USD]]&gt;=56807,"Mid","Low"))</f>
        <v>High</v>
      </c>
      <c r="P910" s="1" t="str">
        <f>IF(tbl_data[[#This Row],[Transmission]]="Automatic","Auto","Manual")</f>
        <v>Auto</v>
      </c>
      <c r="Q910" s="1" t="str">
        <f>IFERROR(IF(VALUE(tbl_data[[#This Row],[Engine_CC]])=0,"",VALUE(tbl_data[[#This Row],[Price_USD]])/VALUE(tbl_data[[#This Row],[Engine_CC]])),"")</f>
        <v/>
      </c>
      <c r="R910" s="1" t="str">
        <f>TRIM(tbl_data[[#This Row],[Brand]])</f>
        <v>Ford</v>
      </c>
      <c r="S910" s="1">
        <f>_xlfn.NUMBERVALUE(tbl_data[[#This Row],[Price_USD]],".",",")</f>
        <v>77909.36</v>
      </c>
    </row>
    <row r="911" spans="1:19" x14ac:dyDescent="0.3">
      <c r="A911">
        <v>910</v>
      </c>
      <c r="B911" t="s">
        <v>43</v>
      </c>
      <c r="C911">
        <v>2008</v>
      </c>
      <c r="D911">
        <v>123362</v>
      </c>
      <c r="E911" t="s">
        <v>20</v>
      </c>
      <c r="F911" t="s">
        <v>14</v>
      </c>
      <c r="G911" t="s">
        <v>26</v>
      </c>
      <c r="H911">
        <v>2661</v>
      </c>
      <c r="I911" t="s">
        <v>2554</v>
      </c>
      <c r="J911" t="s">
        <v>2555</v>
      </c>
      <c r="K911">
        <v>7</v>
      </c>
      <c r="L911" t="s">
        <v>2556</v>
      </c>
      <c r="M911" s="1" t="str">
        <f>TEXT(DATE(tbl_data[[#This Row],[Model_Year]],1,1),"yyyy")</f>
        <v>2008</v>
      </c>
      <c r="N911" s="1" t="str">
        <f>IF(tbl_data[[#This Row],[Kilometers_Driven]]&lt;50000,"&lt;50k",
IF(tbl_data[[#This Row],[Kilometers_Driven]]&lt;100000,"50k-100k",
IF(tbl_data[[#This Row],[Kilometers_Driven]]&lt;150000,"100k-150k","150k+")))</f>
        <v>100k-150k</v>
      </c>
      <c r="O911" s="1" t="str">
        <f>IF(tbl_data[[#This Row],[Price_USD]]&gt;=87089,"High",
IF(tbl_data[[#This Row],[Price_USD]]&gt;=56807,"Mid","Low"))</f>
        <v>High</v>
      </c>
      <c r="P911" s="1" t="str">
        <f>IF(tbl_data[[#This Row],[Transmission]]="Automatic","Auto","Manual")</f>
        <v>Manual</v>
      </c>
      <c r="Q911" s="1" t="str">
        <f>IFERROR(IF(VALUE(tbl_data[[#This Row],[Engine_CC]])=0,"",VALUE(tbl_data[[#This Row],[Price_USD]])/VALUE(tbl_data[[#This Row],[Engine_CC]])),"")</f>
        <v/>
      </c>
      <c r="R911" s="1" t="str">
        <f>TRIM(tbl_data[[#This Row],[Brand]])</f>
        <v>Ford</v>
      </c>
      <c r="S911" s="1">
        <f>_xlfn.NUMBERVALUE(tbl_data[[#This Row],[Price_USD]],".",",")</f>
        <v>105666.24000000001</v>
      </c>
    </row>
    <row r="912" spans="1:19" x14ac:dyDescent="0.3">
      <c r="A912">
        <v>911</v>
      </c>
      <c r="B912" t="s">
        <v>92</v>
      </c>
      <c r="C912">
        <v>2017</v>
      </c>
      <c r="D912">
        <v>151295</v>
      </c>
      <c r="E912" t="s">
        <v>20</v>
      </c>
      <c r="F912" t="s">
        <v>14</v>
      </c>
      <c r="G912" t="s">
        <v>32</v>
      </c>
      <c r="H912">
        <v>3720</v>
      </c>
      <c r="I912" t="s">
        <v>2557</v>
      </c>
      <c r="J912" t="s">
        <v>2558</v>
      </c>
      <c r="K912">
        <v>2</v>
      </c>
      <c r="L912" t="s">
        <v>2559</v>
      </c>
      <c r="M912" s="1" t="str">
        <f>TEXT(DATE(tbl_data[[#This Row],[Model_Year]],1,1),"yyyy")</f>
        <v>2017</v>
      </c>
      <c r="N912" s="1" t="str">
        <f>IF(tbl_data[[#This Row],[Kilometers_Driven]]&lt;50000,"&lt;50k",
IF(tbl_data[[#This Row],[Kilometers_Driven]]&lt;100000,"50k-100k",
IF(tbl_data[[#This Row],[Kilometers_Driven]]&lt;150000,"100k-150k","150k+")))</f>
        <v>150k+</v>
      </c>
      <c r="O912" s="1" t="str">
        <f>IF(tbl_data[[#This Row],[Price_USD]]&gt;=87089,"High",
IF(tbl_data[[#This Row],[Price_USD]]&gt;=56807,"Mid","Low"))</f>
        <v>High</v>
      </c>
      <c r="P912" s="1" t="str">
        <f>IF(tbl_data[[#This Row],[Transmission]]="Automatic","Auto","Manual")</f>
        <v>Manual</v>
      </c>
      <c r="Q912" s="1" t="str">
        <f>IFERROR(IF(VALUE(tbl_data[[#This Row],[Engine_CC]])=0,"",VALUE(tbl_data[[#This Row],[Price_USD]])/VALUE(tbl_data[[#This Row],[Engine_CC]])),"")</f>
        <v/>
      </c>
      <c r="R912" s="1" t="str">
        <f>TRIM(tbl_data[[#This Row],[Brand]])</f>
        <v>Toyota</v>
      </c>
      <c r="S912" s="1">
        <f>_xlfn.NUMBERVALUE(tbl_data[[#This Row],[Price_USD]],".",",")</f>
        <v>51921.4</v>
      </c>
    </row>
    <row r="913" spans="1:19" x14ac:dyDescent="0.3">
      <c r="A913">
        <v>912</v>
      </c>
      <c r="B913" t="s">
        <v>25</v>
      </c>
      <c r="C913">
        <v>2023</v>
      </c>
      <c r="D913">
        <v>138669</v>
      </c>
      <c r="E913" t="s">
        <v>31</v>
      </c>
      <c r="F913" t="s">
        <v>21</v>
      </c>
      <c r="G913" t="s">
        <v>15</v>
      </c>
      <c r="H913">
        <v>928</v>
      </c>
      <c r="I913" t="s">
        <v>2560</v>
      </c>
      <c r="J913" t="s">
        <v>2561</v>
      </c>
      <c r="K913">
        <v>4</v>
      </c>
      <c r="L913" t="s">
        <v>2562</v>
      </c>
      <c r="M913" s="1" t="str">
        <f>TEXT(DATE(tbl_data[[#This Row],[Model_Year]],1,1),"yyyy")</f>
        <v>2023</v>
      </c>
      <c r="N913" s="1" t="str">
        <f>IF(tbl_data[[#This Row],[Kilometers_Driven]]&lt;50000,"&lt;50k",
IF(tbl_data[[#This Row],[Kilometers_Driven]]&lt;100000,"50k-100k",
IF(tbl_data[[#This Row],[Kilometers_Driven]]&lt;150000,"100k-150k","150k+")))</f>
        <v>100k-150k</v>
      </c>
      <c r="O913" s="1" t="str">
        <f>IF(tbl_data[[#This Row],[Price_USD]]&gt;=87089,"High",
IF(tbl_data[[#This Row],[Price_USD]]&gt;=56807,"Mid","Low"))</f>
        <v>High</v>
      </c>
      <c r="P913" s="1" t="str">
        <f>IF(tbl_data[[#This Row],[Transmission]]="Automatic","Auto","Manual")</f>
        <v>Auto</v>
      </c>
      <c r="Q913" s="1" t="str">
        <f>IFERROR(IF(VALUE(tbl_data[[#This Row],[Engine_CC]])=0,"",VALUE(tbl_data[[#This Row],[Price_USD]])/VALUE(tbl_data[[#This Row],[Engine_CC]])),"")</f>
        <v/>
      </c>
      <c r="R913" s="1" t="str">
        <f>TRIM(tbl_data[[#This Row],[Brand]])</f>
        <v>Kia</v>
      </c>
      <c r="S913" s="1">
        <f>_xlfn.NUMBERVALUE(tbl_data[[#This Row],[Price_USD]],".",",")</f>
        <v>109588.84</v>
      </c>
    </row>
    <row r="914" spans="1:19" x14ac:dyDescent="0.3">
      <c r="A914">
        <v>913</v>
      </c>
      <c r="B914" t="s">
        <v>69</v>
      </c>
      <c r="C914">
        <v>2006</v>
      </c>
      <c r="D914">
        <v>7659</v>
      </c>
      <c r="E914" t="s">
        <v>31</v>
      </c>
      <c r="F914" t="s">
        <v>14</v>
      </c>
      <c r="G914" t="s">
        <v>32</v>
      </c>
      <c r="H914">
        <v>1237</v>
      </c>
      <c r="I914" t="s">
        <v>2563</v>
      </c>
      <c r="J914" t="s">
        <v>2564</v>
      </c>
      <c r="K914">
        <v>5</v>
      </c>
      <c r="L914" t="s">
        <v>2565</v>
      </c>
      <c r="M914" s="1" t="str">
        <f>TEXT(DATE(tbl_data[[#This Row],[Model_Year]],1,1),"yyyy")</f>
        <v>2006</v>
      </c>
      <c r="N914" s="1" t="str">
        <f>IF(tbl_data[[#This Row],[Kilometers_Driven]]&lt;50000,"&lt;50k",
IF(tbl_data[[#This Row],[Kilometers_Driven]]&lt;100000,"50k-100k",
IF(tbl_data[[#This Row],[Kilometers_Driven]]&lt;150000,"100k-150k","150k+")))</f>
        <v>&lt;50k</v>
      </c>
      <c r="O914" s="1" t="str">
        <f>IF(tbl_data[[#This Row],[Price_USD]]&gt;=87089,"High",
IF(tbl_data[[#This Row],[Price_USD]]&gt;=56807,"Mid","Low"))</f>
        <v>High</v>
      </c>
      <c r="P914" s="1" t="str">
        <f>IF(tbl_data[[#This Row],[Transmission]]="Automatic","Auto","Manual")</f>
        <v>Manual</v>
      </c>
      <c r="Q914" s="1" t="str">
        <f>IFERROR(IF(VALUE(tbl_data[[#This Row],[Engine_CC]])=0,"",VALUE(tbl_data[[#This Row],[Price_USD]])/VALUE(tbl_data[[#This Row],[Engine_CC]])),"")</f>
        <v/>
      </c>
      <c r="R914" s="1" t="str">
        <f>TRIM(tbl_data[[#This Row],[Brand]])</f>
        <v>Hyundai</v>
      </c>
      <c r="S914" s="1">
        <f>_xlfn.NUMBERVALUE(tbl_data[[#This Row],[Price_USD]],".",",")</f>
        <v>119200.16</v>
      </c>
    </row>
    <row r="915" spans="1:19" x14ac:dyDescent="0.3">
      <c r="A915">
        <v>914</v>
      </c>
      <c r="B915" t="s">
        <v>25</v>
      </c>
      <c r="C915">
        <v>2018</v>
      </c>
      <c r="D915">
        <v>91516</v>
      </c>
      <c r="E915" t="s">
        <v>31</v>
      </c>
      <c r="F915" t="s">
        <v>14</v>
      </c>
      <c r="G915" t="s">
        <v>15</v>
      </c>
      <c r="H915">
        <v>3348</v>
      </c>
      <c r="I915" t="s">
        <v>2566</v>
      </c>
      <c r="J915" t="s">
        <v>2567</v>
      </c>
      <c r="K915">
        <v>7</v>
      </c>
      <c r="L915" t="s">
        <v>2568</v>
      </c>
      <c r="M915" s="1" t="str">
        <f>TEXT(DATE(tbl_data[[#This Row],[Model_Year]],1,1),"yyyy")</f>
        <v>2018</v>
      </c>
      <c r="N915" s="1" t="str">
        <f>IF(tbl_data[[#This Row],[Kilometers_Driven]]&lt;50000,"&lt;50k",
IF(tbl_data[[#This Row],[Kilometers_Driven]]&lt;100000,"50k-100k",
IF(tbl_data[[#This Row],[Kilometers_Driven]]&lt;150000,"100k-150k","150k+")))</f>
        <v>50k-100k</v>
      </c>
      <c r="O915" s="1" t="str">
        <f>IF(tbl_data[[#This Row],[Price_USD]]&gt;=87089,"High",
IF(tbl_data[[#This Row],[Price_USD]]&gt;=56807,"Mid","Low"))</f>
        <v>High</v>
      </c>
      <c r="P915" s="1" t="str">
        <f>IF(tbl_data[[#This Row],[Transmission]]="Automatic","Auto","Manual")</f>
        <v>Manual</v>
      </c>
      <c r="Q915" s="1" t="str">
        <f>IFERROR(IF(VALUE(tbl_data[[#This Row],[Engine_CC]])=0,"",VALUE(tbl_data[[#This Row],[Price_USD]])/VALUE(tbl_data[[#This Row],[Engine_CC]])),"")</f>
        <v/>
      </c>
      <c r="R915" s="1" t="str">
        <f>TRIM(tbl_data[[#This Row],[Brand]])</f>
        <v>Kia</v>
      </c>
      <c r="S915" s="1">
        <f>_xlfn.NUMBERVALUE(tbl_data[[#This Row],[Price_USD]],".",",")</f>
        <v>15412.77</v>
      </c>
    </row>
    <row r="916" spans="1:19" x14ac:dyDescent="0.3">
      <c r="A916">
        <v>915</v>
      </c>
      <c r="B916" t="s">
        <v>102</v>
      </c>
      <c r="C916">
        <v>2008</v>
      </c>
      <c r="D916">
        <v>79567</v>
      </c>
      <c r="E916" t="s">
        <v>44</v>
      </c>
      <c r="F916" t="s">
        <v>14</v>
      </c>
      <c r="G916" t="s">
        <v>32</v>
      </c>
      <c r="H916">
        <v>3929</v>
      </c>
      <c r="I916" t="s">
        <v>2569</v>
      </c>
      <c r="J916" t="s">
        <v>2570</v>
      </c>
      <c r="K916">
        <v>5</v>
      </c>
      <c r="L916" t="s">
        <v>2571</v>
      </c>
      <c r="M916" s="1" t="str">
        <f>TEXT(DATE(tbl_data[[#This Row],[Model_Year]],1,1),"yyyy")</f>
        <v>2008</v>
      </c>
      <c r="N916" s="1" t="str">
        <f>IF(tbl_data[[#This Row],[Kilometers_Driven]]&lt;50000,"&lt;50k",
IF(tbl_data[[#This Row],[Kilometers_Driven]]&lt;100000,"50k-100k",
IF(tbl_data[[#This Row],[Kilometers_Driven]]&lt;150000,"100k-150k","150k+")))</f>
        <v>50k-100k</v>
      </c>
      <c r="O916" s="1" t="str">
        <f>IF(tbl_data[[#This Row],[Price_USD]]&gt;=87089,"High",
IF(tbl_data[[#This Row],[Price_USD]]&gt;=56807,"Mid","Low"))</f>
        <v>High</v>
      </c>
      <c r="P916" s="1" t="str">
        <f>IF(tbl_data[[#This Row],[Transmission]]="Automatic","Auto","Manual")</f>
        <v>Manual</v>
      </c>
      <c r="Q916" s="1" t="str">
        <f>IFERROR(IF(VALUE(tbl_data[[#This Row],[Engine_CC]])=0,"",VALUE(tbl_data[[#This Row],[Price_USD]])/VALUE(tbl_data[[#This Row],[Engine_CC]])),"")</f>
        <v/>
      </c>
      <c r="R916" s="1" t="str">
        <f>TRIM(tbl_data[[#This Row],[Brand]])</f>
        <v>Nissan</v>
      </c>
      <c r="S916" s="1">
        <f>_xlfn.NUMBERVALUE(tbl_data[[#This Row],[Price_USD]],".",",")</f>
        <v>30267.22</v>
      </c>
    </row>
    <row r="917" spans="1:19" x14ac:dyDescent="0.3">
      <c r="A917">
        <v>916</v>
      </c>
      <c r="B917" t="s">
        <v>30</v>
      </c>
      <c r="C917">
        <v>2020</v>
      </c>
      <c r="D917">
        <v>20037</v>
      </c>
      <c r="E917" t="s">
        <v>13</v>
      </c>
      <c r="F917" t="s">
        <v>14</v>
      </c>
      <c r="G917" t="s">
        <v>26</v>
      </c>
      <c r="H917">
        <v>2021</v>
      </c>
      <c r="I917" t="s">
        <v>1687</v>
      </c>
      <c r="J917" t="s">
        <v>2274</v>
      </c>
      <c r="K917">
        <v>4</v>
      </c>
      <c r="L917" t="s">
        <v>2572</v>
      </c>
      <c r="M917" s="1" t="str">
        <f>TEXT(DATE(tbl_data[[#This Row],[Model_Year]],1,1),"yyyy")</f>
        <v>2020</v>
      </c>
      <c r="N917" s="1" t="str">
        <f>IF(tbl_data[[#This Row],[Kilometers_Driven]]&lt;50000,"&lt;50k",
IF(tbl_data[[#This Row],[Kilometers_Driven]]&lt;100000,"50k-100k",
IF(tbl_data[[#This Row],[Kilometers_Driven]]&lt;150000,"100k-150k","150k+")))</f>
        <v>&lt;50k</v>
      </c>
      <c r="O917" s="1" t="str">
        <f>IF(tbl_data[[#This Row],[Price_USD]]&gt;=87089,"High",
IF(tbl_data[[#This Row],[Price_USD]]&gt;=56807,"Mid","Low"))</f>
        <v>High</v>
      </c>
      <c r="P917" s="1" t="str">
        <f>IF(tbl_data[[#This Row],[Transmission]]="Automatic","Auto","Manual")</f>
        <v>Manual</v>
      </c>
      <c r="Q917" s="1" t="str">
        <f>IFERROR(IF(VALUE(tbl_data[[#This Row],[Engine_CC]])=0,"",VALUE(tbl_data[[#This Row],[Price_USD]])/VALUE(tbl_data[[#This Row],[Engine_CC]])),"")</f>
        <v/>
      </c>
      <c r="R917" s="1" t="str">
        <f>TRIM(tbl_data[[#This Row],[Brand]])</f>
        <v>Mercedes</v>
      </c>
      <c r="S917" s="1">
        <f>_xlfn.NUMBERVALUE(tbl_data[[#This Row],[Price_USD]],".",",")</f>
        <v>114194.43</v>
      </c>
    </row>
    <row r="918" spans="1:19" x14ac:dyDescent="0.3">
      <c r="A918">
        <v>917</v>
      </c>
      <c r="B918" t="s">
        <v>43</v>
      </c>
      <c r="C918">
        <v>2024</v>
      </c>
      <c r="D918">
        <v>131498</v>
      </c>
      <c r="E918" t="s">
        <v>44</v>
      </c>
      <c r="F918" t="s">
        <v>14</v>
      </c>
      <c r="G918" t="s">
        <v>26</v>
      </c>
      <c r="H918">
        <v>1701</v>
      </c>
      <c r="I918" t="s">
        <v>2573</v>
      </c>
      <c r="J918" t="s">
        <v>2574</v>
      </c>
      <c r="K918">
        <v>7</v>
      </c>
      <c r="L918" t="s">
        <v>2575</v>
      </c>
      <c r="M918" s="1" t="str">
        <f>TEXT(DATE(tbl_data[[#This Row],[Model_Year]],1,1),"yyyy")</f>
        <v>2024</v>
      </c>
      <c r="N918" s="1" t="str">
        <f>IF(tbl_data[[#This Row],[Kilometers_Driven]]&lt;50000,"&lt;50k",
IF(tbl_data[[#This Row],[Kilometers_Driven]]&lt;100000,"50k-100k",
IF(tbl_data[[#This Row],[Kilometers_Driven]]&lt;150000,"100k-150k","150k+")))</f>
        <v>100k-150k</v>
      </c>
      <c r="O918" s="1" t="str">
        <f>IF(tbl_data[[#This Row],[Price_USD]]&gt;=87089,"High",
IF(tbl_data[[#This Row],[Price_USD]]&gt;=56807,"Mid","Low"))</f>
        <v>High</v>
      </c>
      <c r="P918" s="1" t="str">
        <f>IF(tbl_data[[#This Row],[Transmission]]="Automatic","Auto","Manual")</f>
        <v>Manual</v>
      </c>
      <c r="Q918" s="1" t="str">
        <f>IFERROR(IF(VALUE(tbl_data[[#This Row],[Engine_CC]])=0,"",VALUE(tbl_data[[#This Row],[Price_USD]])/VALUE(tbl_data[[#This Row],[Engine_CC]])),"")</f>
        <v/>
      </c>
      <c r="R918" s="1" t="str">
        <f>TRIM(tbl_data[[#This Row],[Brand]])</f>
        <v>Ford</v>
      </c>
      <c r="S918" s="1">
        <f>_xlfn.NUMBERVALUE(tbl_data[[#This Row],[Price_USD]],".",",")</f>
        <v>115124.34</v>
      </c>
    </row>
    <row r="919" spans="1:19" x14ac:dyDescent="0.3">
      <c r="A919">
        <v>918</v>
      </c>
      <c r="B919" t="s">
        <v>30</v>
      </c>
      <c r="C919">
        <v>2018</v>
      </c>
      <c r="D919">
        <v>182810</v>
      </c>
      <c r="E919" t="s">
        <v>20</v>
      </c>
      <c r="F919" t="s">
        <v>14</v>
      </c>
      <c r="G919" t="s">
        <v>32</v>
      </c>
      <c r="H919">
        <v>3968</v>
      </c>
      <c r="I919" t="s">
        <v>2576</v>
      </c>
      <c r="J919" t="s">
        <v>2577</v>
      </c>
      <c r="K919">
        <v>7</v>
      </c>
      <c r="L919" t="s">
        <v>2578</v>
      </c>
      <c r="M919" s="1" t="str">
        <f>TEXT(DATE(tbl_data[[#This Row],[Model_Year]],1,1),"yyyy")</f>
        <v>2018</v>
      </c>
      <c r="N919" s="1" t="str">
        <f>IF(tbl_data[[#This Row],[Kilometers_Driven]]&lt;50000,"&lt;50k",
IF(tbl_data[[#This Row],[Kilometers_Driven]]&lt;100000,"50k-100k",
IF(tbl_data[[#This Row],[Kilometers_Driven]]&lt;150000,"100k-150k","150k+")))</f>
        <v>150k+</v>
      </c>
      <c r="O919" s="1" t="str">
        <f>IF(tbl_data[[#This Row],[Price_USD]]&gt;=87089,"High",
IF(tbl_data[[#This Row],[Price_USD]]&gt;=56807,"Mid","Low"))</f>
        <v>High</v>
      </c>
      <c r="P919" s="1" t="str">
        <f>IF(tbl_data[[#This Row],[Transmission]]="Automatic","Auto","Manual")</f>
        <v>Manual</v>
      </c>
      <c r="Q919" s="1" t="str">
        <f>IFERROR(IF(VALUE(tbl_data[[#This Row],[Engine_CC]])=0,"",VALUE(tbl_data[[#This Row],[Price_USD]])/VALUE(tbl_data[[#This Row],[Engine_CC]])),"")</f>
        <v/>
      </c>
      <c r="R919" s="1" t="str">
        <f>TRIM(tbl_data[[#This Row],[Brand]])</f>
        <v>Mercedes</v>
      </c>
      <c r="S919" s="1">
        <f>_xlfn.NUMBERVALUE(tbl_data[[#This Row],[Price_USD]],".",",")</f>
        <v>14431.75</v>
      </c>
    </row>
    <row r="920" spans="1:19" x14ac:dyDescent="0.3">
      <c r="A920">
        <v>919</v>
      </c>
      <c r="B920" t="s">
        <v>30</v>
      </c>
      <c r="C920">
        <v>2019</v>
      </c>
      <c r="D920">
        <v>17109</v>
      </c>
      <c r="E920" t="s">
        <v>31</v>
      </c>
      <c r="F920" t="s">
        <v>21</v>
      </c>
      <c r="G920" t="s">
        <v>26</v>
      </c>
      <c r="H920">
        <v>4718</v>
      </c>
      <c r="I920" t="s">
        <v>2579</v>
      </c>
      <c r="J920" t="s">
        <v>2580</v>
      </c>
      <c r="K920">
        <v>5</v>
      </c>
      <c r="L920" t="s">
        <v>2581</v>
      </c>
      <c r="M920" s="1" t="str">
        <f>TEXT(DATE(tbl_data[[#This Row],[Model_Year]],1,1),"yyyy")</f>
        <v>2019</v>
      </c>
      <c r="N920" s="1" t="str">
        <f>IF(tbl_data[[#This Row],[Kilometers_Driven]]&lt;50000,"&lt;50k",
IF(tbl_data[[#This Row],[Kilometers_Driven]]&lt;100000,"50k-100k",
IF(tbl_data[[#This Row],[Kilometers_Driven]]&lt;150000,"100k-150k","150k+")))</f>
        <v>&lt;50k</v>
      </c>
      <c r="O920" s="1" t="str">
        <f>IF(tbl_data[[#This Row],[Price_USD]]&gt;=87089,"High",
IF(tbl_data[[#This Row],[Price_USD]]&gt;=56807,"Mid","Low"))</f>
        <v>High</v>
      </c>
      <c r="P920" s="1" t="str">
        <f>IF(tbl_data[[#This Row],[Transmission]]="Automatic","Auto","Manual")</f>
        <v>Auto</v>
      </c>
      <c r="Q920" s="1" t="str">
        <f>IFERROR(IF(VALUE(tbl_data[[#This Row],[Engine_CC]])=0,"",VALUE(tbl_data[[#This Row],[Price_USD]])/VALUE(tbl_data[[#This Row],[Engine_CC]])),"")</f>
        <v/>
      </c>
      <c r="R920" s="1" t="str">
        <f>TRIM(tbl_data[[#This Row],[Brand]])</f>
        <v>Mercedes</v>
      </c>
      <c r="S920" s="1">
        <f>_xlfn.NUMBERVALUE(tbl_data[[#This Row],[Price_USD]],".",",")</f>
        <v>4754.82</v>
      </c>
    </row>
    <row r="921" spans="1:19" x14ac:dyDescent="0.3">
      <c r="A921">
        <v>920</v>
      </c>
      <c r="B921" t="s">
        <v>30</v>
      </c>
      <c r="C921">
        <v>2007</v>
      </c>
      <c r="D921">
        <v>27010</v>
      </c>
      <c r="E921" t="s">
        <v>13</v>
      </c>
      <c r="F921" t="s">
        <v>21</v>
      </c>
      <c r="G921" t="s">
        <v>26</v>
      </c>
      <c r="H921">
        <v>1867</v>
      </c>
      <c r="I921" t="s">
        <v>2582</v>
      </c>
      <c r="J921" t="s">
        <v>2583</v>
      </c>
      <c r="K921">
        <v>4</v>
      </c>
      <c r="L921" t="s">
        <v>2584</v>
      </c>
      <c r="M921" s="1" t="str">
        <f>TEXT(DATE(tbl_data[[#This Row],[Model_Year]],1,1),"yyyy")</f>
        <v>2007</v>
      </c>
      <c r="N921" s="1" t="str">
        <f>IF(tbl_data[[#This Row],[Kilometers_Driven]]&lt;50000,"&lt;50k",
IF(tbl_data[[#This Row],[Kilometers_Driven]]&lt;100000,"50k-100k",
IF(tbl_data[[#This Row],[Kilometers_Driven]]&lt;150000,"100k-150k","150k+")))</f>
        <v>&lt;50k</v>
      </c>
      <c r="O921" s="1" t="str">
        <f>IF(tbl_data[[#This Row],[Price_USD]]&gt;=87089,"High",
IF(tbl_data[[#This Row],[Price_USD]]&gt;=56807,"Mid","Low"))</f>
        <v>High</v>
      </c>
      <c r="P921" s="1" t="str">
        <f>IF(tbl_data[[#This Row],[Transmission]]="Automatic","Auto","Manual")</f>
        <v>Auto</v>
      </c>
      <c r="Q921" s="1" t="str">
        <f>IFERROR(IF(VALUE(tbl_data[[#This Row],[Engine_CC]])=0,"",VALUE(tbl_data[[#This Row],[Price_USD]])/VALUE(tbl_data[[#This Row],[Engine_CC]])),"")</f>
        <v/>
      </c>
      <c r="R921" s="1" t="str">
        <f>TRIM(tbl_data[[#This Row],[Brand]])</f>
        <v>Mercedes</v>
      </c>
      <c r="S921" s="1">
        <f>_xlfn.NUMBERVALUE(tbl_data[[#This Row],[Price_USD]],".",",")</f>
        <v>21848.7</v>
      </c>
    </row>
    <row r="922" spans="1:19" x14ac:dyDescent="0.3">
      <c r="A922">
        <v>921</v>
      </c>
      <c r="B922" t="s">
        <v>43</v>
      </c>
      <c r="C922">
        <v>2012</v>
      </c>
      <c r="D922">
        <v>13787</v>
      </c>
      <c r="E922" t="s">
        <v>20</v>
      </c>
      <c r="F922" t="s">
        <v>21</v>
      </c>
      <c r="G922" t="s">
        <v>26</v>
      </c>
      <c r="H922">
        <v>826</v>
      </c>
      <c r="I922" t="s">
        <v>2585</v>
      </c>
      <c r="J922" t="s">
        <v>937</v>
      </c>
      <c r="K922">
        <v>2</v>
      </c>
      <c r="L922" t="s">
        <v>2586</v>
      </c>
      <c r="M922" s="1" t="str">
        <f>TEXT(DATE(tbl_data[[#This Row],[Model_Year]],1,1),"yyyy")</f>
        <v>2012</v>
      </c>
      <c r="N922" s="1" t="str">
        <f>IF(tbl_data[[#This Row],[Kilometers_Driven]]&lt;50000,"&lt;50k",
IF(tbl_data[[#This Row],[Kilometers_Driven]]&lt;100000,"50k-100k",
IF(tbl_data[[#This Row],[Kilometers_Driven]]&lt;150000,"100k-150k","150k+")))</f>
        <v>&lt;50k</v>
      </c>
      <c r="O922" s="1" t="str">
        <f>IF(tbl_data[[#This Row],[Price_USD]]&gt;=87089,"High",
IF(tbl_data[[#This Row],[Price_USD]]&gt;=56807,"Mid","Low"))</f>
        <v>High</v>
      </c>
      <c r="P922" s="1" t="str">
        <f>IF(tbl_data[[#This Row],[Transmission]]="Automatic","Auto","Manual")</f>
        <v>Auto</v>
      </c>
      <c r="Q922" s="1" t="str">
        <f>IFERROR(IF(VALUE(tbl_data[[#This Row],[Engine_CC]])=0,"",VALUE(tbl_data[[#This Row],[Price_USD]])/VALUE(tbl_data[[#This Row],[Engine_CC]])),"")</f>
        <v/>
      </c>
      <c r="R922" s="1" t="str">
        <f>TRIM(tbl_data[[#This Row],[Brand]])</f>
        <v>Ford</v>
      </c>
      <c r="S922" s="1">
        <f>_xlfn.NUMBERVALUE(tbl_data[[#This Row],[Price_USD]],".",",")</f>
        <v>119533.5</v>
      </c>
    </row>
    <row r="923" spans="1:19" x14ac:dyDescent="0.3">
      <c r="A923">
        <v>922</v>
      </c>
      <c r="B923" t="s">
        <v>39</v>
      </c>
      <c r="C923">
        <v>2020</v>
      </c>
      <c r="D923">
        <v>144544</v>
      </c>
      <c r="E923" t="s">
        <v>20</v>
      </c>
      <c r="F923" t="s">
        <v>14</v>
      </c>
      <c r="G923" t="s">
        <v>15</v>
      </c>
      <c r="H923">
        <v>1347</v>
      </c>
      <c r="I923" t="s">
        <v>2587</v>
      </c>
      <c r="J923" t="s">
        <v>2588</v>
      </c>
      <c r="K923">
        <v>7</v>
      </c>
      <c r="L923" t="s">
        <v>2589</v>
      </c>
      <c r="M923" s="1" t="str">
        <f>TEXT(DATE(tbl_data[[#This Row],[Model_Year]],1,1),"yyyy")</f>
        <v>2020</v>
      </c>
      <c r="N923" s="1" t="str">
        <f>IF(tbl_data[[#This Row],[Kilometers_Driven]]&lt;50000,"&lt;50k",
IF(tbl_data[[#This Row],[Kilometers_Driven]]&lt;100000,"50k-100k",
IF(tbl_data[[#This Row],[Kilometers_Driven]]&lt;150000,"100k-150k","150k+")))</f>
        <v>100k-150k</v>
      </c>
      <c r="O923" s="1" t="str">
        <f>IF(tbl_data[[#This Row],[Price_USD]]&gt;=87089,"High",
IF(tbl_data[[#This Row],[Price_USD]]&gt;=56807,"Mid","Low"))</f>
        <v>High</v>
      </c>
      <c r="P923" s="1" t="str">
        <f>IF(tbl_data[[#This Row],[Transmission]]="Automatic","Auto","Manual")</f>
        <v>Manual</v>
      </c>
      <c r="Q923" s="1" t="str">
        <f>IFERROR(IF(VALUE(tbl_data[[#This Row],[Engine_CC]])=0,"",VALUE(tbl_data[[#This Row],[Price_USD]])/VALUE(tbl_data[[#This Row],[Engine_CC]])),"")</f>
        <v/>
      </c>
      <c r="R923" s="1" t="str">
        <f>TRIM(tbl_data[[#This Row],[Brand]])</f>
        <v>Volkswagen</v>
      </c>
      <c r="S923" s="1">
        <f>_xlfn.NUMBERVALUE(tbl_data[[#This Row],[Price_USD]],".",",")</f>
        <v>24059.96</v>
      </c>
    </row>
    <row r="924" spans="1:19" x14ac:dyDescent="0.3">
      <c r="A924">
        <v>923</v>
      </c>
      <c r="B924" t="s">
        <v>19</v>
      </c>
      <c r="C924">
        <v>2014</v>
      </c>
      <c r="D924">
        <v>159455</v>
      </c>
      <c r="E924" t="s">
        <v>20</v>
      </c>
      <c r="F924" t="s">
        <v>21</v>
      </c>
      <c r="G924" t="s">
        <v>26</v>
      </c>
      <c r="H924">
        <v>3468</v>
      </c>
      <c r="I924" t="s">
        <v>2590</v>
      </c>
      <c r="J924" t="s">
        <v>2591</v>
      </c>
      <c r="K924">
        <v>2</v>
      </c>
      <c r="L924" t="s">
        <v>2592</v>
      </c>
      <c r="M924" s="1" t="str">
        <f>TEXT(DATE(tbl_data[[#This Row],[Model_Year]],1,1),"yyyy")</f>
        <v>2014</v>
      </c>
      <c r="N924" s="1" t="str">
        <f>IF(tbl_data[[#This Row],[Kilometers_Driven]]&lt;50000,"&lt;50k",
IF(tbl_data[[#This Row],[Kilometers_Driven]]&lt;100000,"50k-100k",
IF(tbl_data[[#This Row],[Kilometers_Driven]]&lt;150000,"100k-150k","150k+")))</f>
        <v>150k+</v>
      </c>
      <c r="O924" s="1" t="str">
        <f>IF(tbl_data[[#This Row],[Price_USD]]&gt;=87089,"High",
IF(tbl_data[[#This Row],[Price_USD]]&gt;=56807,"Mid","Low"))</f>
        <v>High</v>
      </c>
      <c r="P924" s="1" t="str">
        <f>IF(tbl_data[[#This Row],[Transmission]]="Automatic","Auto","Manual")</f>
        <v>Auto</v>
      </c>
      <c r="Q924" s="1" t="str">
        <f>IFERROR(IF(VALUE(tbl_data[[#This Row],[Engine_CC]])=0,"",VALUE(tbl_data[[#This Row],[Price_USD]])/VALUE(tbl_data[[#This Row],[Engine_CC]])),"")</f>
        <v/>
      </c>
      <c r="R924" s="1" t="str">
        <f>TRIM(tbl_data[[#This Row],[Brand]])</f>
        <v>BMW</v>
      </c>
      <c r="S924" s="1">
        <f>_xlfn.NUMBERVALUE(tbl_data[[#This Row],[Price_USD]],".",",")</f>
        <v>61798.07</v>
      </c>
    </row>
    <row r="925" spans="1:19" x14ac:dyDescent="0.3">
      <c r="A925">
        <v>924</v>
      </c>
      <c r="B925" t="s">
        <v>102</v>
      </c>
      <c r="C925">
        <v>2008</v>
      </c>
      <c r="D925">
        <v>66709</v>
      </c>
      <c r="E925" t="s">
        <v>44</v>
      </c>
      <c r="F925" t="s">
        <v>14</v>
      </c>
      <c r="G925" t="s">
        <v>15</v>
      </c>
      <c r="H925">
        <v>1366</v>
      </c>
      <c r="I925" t="s">
        <v>2593</v>
      </c>
      <c r="J925" t="s">
        <v>1369</v>
      </c>
      <c r="K925">
        <v>4</v>
      </c>
      <c r="L925" t="s">
        <v>2594</v>
      </c>
      <c r="M925" s="1" t="str">
        <f>TEXT(DATE(tbl_data[[#This Row],[Model_Year]],1,1),"yyyy")</f>
        <v>2008</v>
      </c>
      <c r="N925" s="1" t="str">
        <f>IF(tbl_data[[#This Row],[Kilometers_Driven]]&lt;50000,"&lt;50k",
IF(tbl_data[[#This Row],[Kilometers_Driven]]&lt;100000,"50k-100k",
IF(tbl_data[[#This Row],[Kilometers_Driven]]&lt;150000,"100k-150k","150k+")))</f>
        <v>50k-100k</v>
      </c>
      <c r="O925" s="1" t="str">
        <f>IF(tbl_data[[#This Row],[Price_USD]]&gt;=87089,"High",
IF(tbl_data[[#This Row],[Price_USD]]&gt;=56807,"Mid","Low"))</f>
        <v>High</v>
      </c>
      <c r="P925" s="1" t="str">
        <f>IF(tbl_data[[#This Row],[Transmission]]="Automatic","Auto","Manual")</f>
        <v>Manual</v>
      </c>
      <c r="Q925" s="1" t="str">
        <f>IFERROR(IF(VALUE(tbl_data[[#This Row],[Engine_CC]])=0,"",VALUE(tbl_data[[#This Row],[Price_USD]])/VALUE(tbl_data[[#This Row],[Engine_CC]])),"")</f>
        <v/>
      </c>
      <c r="R925" s="1" t="str">
        <f>TRIM(tbl_data[[#This Row],[Brand]])</f>
        <v>Nissan</v>
      </c>
      <c r="S925" s="1">
        <f>_xlfn.NUMBERVALUE(tbl_data[[#This Row],[Price_USD]],".",",")</f>
        <v>102264.87</v>
      </c>
    </row>
    <row r="926" spans="1:19" x14ac:dyDescent="0.3">
      <c r="A926">
        <v>925</v>
      </c>
      <c r="B926" t="s">
        <v>39</v>
      </c>
      <c r="C926">
        <v>2022</v>
      </c>
      <c r="D926">
        <v>39518</v>
      </c>
      <c r="E926" t="s">
        <v>31</v>
      </c>
      <c r="F926" t="s">
        <v>14</v>
      </c>
      <c r="G926" t="s">
        <v>32</v>
      </c>
      <c r="H926">
        <v>1503</v>
      </c>
      <c r="I926" t="s">
        <v>2595</v>
      </c>
      <c r="J926" t="s">
        <v>2596</v>
      </c>
      <c r="K926">
        <v>7</v>
      </c>
      <c r="L926" t="s">
        <v>2597</v>
      </c>
      <c r="M926" s="1" t="str">
        <f>TEXT(DATE(tbl_data[[#This Row],[Model_Year]],1,1),"yyyy")</f>
        <v>2022</v>
      </c>
      <c r="N926" s="1" t="str">
        <f>IF(tbl_data[[#This Row],[Kilometers_Driven]]&lt;50000,"&lt;50k",
IF(tbl_data[[#This Row],[Kilometers_Driven]]&lt;100000,"50k-100k",
IF(tbl_data[[#This Row],[Kilometers_Driven]]&lt;150000,"100k-150k","150k+")))</f>
        <v>&lt;50k</v>
      </c>
      <c r="O926" s="1" t="str">
        <f>IF(tbl_data[[#This Row],[Price_USD]]&gt;=87089,"High",
IF(tbl_data[[#This Row],[Price_USD]]&gt;=56807,"Mid","Low"))</f>
        <v>High</v>
      </c>
      <c r="P926" s="1" t="str">
        <f>IF(tbl_data[[#This Row],[Transmission]]="Automatic","Auto","Manual")</f>
        <v>Manual</v>
      </c>
      <c r="Q926" s="1" t="str">
        <f>IFERROR(IF(VALUE(tbl_data[[#This Row],[Engine_CC]])=0,"",VALUE(tbl_data[[#This Row],[Price_USD]])/VALUE(tbl_data[[#This Row],[Engine_CC]])),"")</f>
        <v/>
      </c>
      <c r="R926" s="1" t="str">
        <f>TRIM(tbl_data[[#This Row],[Brand]])</f>
        <v>Volkswagen</v>
      </c>
      <c r="S926" s="1">
        <f>_xlfn.NUMBERVALUE(tbl_data[[#This Row],[Price_USD]],".",",")</f>
        <v>5386.99</v>
      </c>
    </row>
    <row r="927" spans="1:19" x14ac:dyDescent="0.3">
      <c r="A927">
        <v>926</v>
      </c>
      <c r="B927" t="s">
        <v>102</v>
      </c>
      <c r="C927">
        <v>2006</v>
      </c>
      <c r="D927">
        <v>58909</v>
      </c>
      <c r="E927" t="s">
        <v>20</v>
      </c>
      <c r="F927" t="s">
        <v>14</v>
      </c>
      <c r="G927" t="s">
        <v>26</v>
      </c>
      <c r="H927">
        <v>3940</v>
      </c>
      <c r="I927" t="s">
        <v>2191</v>
      </c>
      <c r="J927" t="s">
        <v>1005</v>
      </c>
      <c r="K927">
        <v>7</v>
      </c>
      <c r="L927" t="s">
        <v>2598</v>
      </c>
      <c r="M927" s="1" t="str">
        <f>TEXT(DATE(tbl_data[[#This Row],[Model_Year]],1,1),"yyyy")</f>
        <v>2006</v>
      </c>
      <c r="N927" s="1" t="str">
        <f>IF(tbl_data[[#This Row],[Kilometers_Driven]]&lt;50000,"&lt;50k",
IF(tbl_data[[#This Row],[Kilometers_Driven]]&lt;100000,"50k-100k",
IF(tbl_data[[#This Row],[Kilometers_Driven]]&lt;150000,"100k-150k","150k+")))</f>
        <v>50k-100k</v>
      </c>
      <c r="O927" s="1" t="str">
        <f>IF(tbl_data[[#This Row],[Price_USD]]&gt;=87089,"High",
IF(tbl_data[[#This Row],[Price_USD]]&gt;=56807,"Mid","Low"))</f>
        <v>High</v>
      </c>
      <c r="P927" s="1" t="str">
        <f>IF(tbl_data[[#This Row],[Transmission]]="Automatic","Auto","Manual")</f>
        <v>Manual</v>
      </c>
      <c r="Q927" s="1" t="str">
        <f>IFERROR(IF(VALUE(tbl_data[[#This Row],[Engine_CC]])=0,"",VALUE(tbl_data[[#This Row],[Price_USD]])/VALUE(tbl_data[[#This Row],[Engine_CC]])),"")</f>
        <v/>
      </c>
      <c r="R927" s="1" t="str">
        <f>TRIM(tbl_data[[#This Row],[Brand]])</f>
        <v>Nissan</v>
      </c>
      <c r="S927" s="1">
        <f>_xlfn.NUMBERVALUE(tbl_data[[#This Row],[Price_USD]],".",",")</f>
        <v>73725.210000000006</v>
      </c>
    </row>
    <row r="928" spans="1:19" x14ac:dyDescent="0.3">
      <c r="A928">
        <v>927</v>
      </c>
      <c r="B928" t="s">
        <v>76</v>
      </c>
      <c r="C928">
        <v>2021</v>
      </c>
      <c r="D928">
        <v>23351</v>
      </c>
      <c r="E928" t="s">
        <v>31</v>
      </c>
      <c r="F928" t="s">
        <v>14</v>
      </c>
      <c r="G928" t="s">
        <v>26</v>
      </c>
      <c r="H928">
        <v>2390</v>
      </c>
      <c r="I928" t="s">
        <v>2599</v>
      </c>
      <c r="J928" t="s">
        <v>946</v>
      </c>
      <c r="K928">
        <v>2</v>
      </c>
      <c r="L928" t="s">
        <v>2600</v>
      </c>
      <c r="M928" s="1" t="str">
        <f>TEXT(DATE(tbl_data[[#This Row],[Model_Year]],1,1),"yyyy")</f>
        <v>2021</v>
      </c>
      <c r="N928" s="1" t="str">
        <f>IF(tbl_data[[#This Row],[Kilometers_Driven]]&lt;50000,"&lt;50k",
IF(tbl_data[[#This Row],[Kilometers_Driven]]&lt;100000,"50k-100k",
IF(tbl_data[[#This Row],[Kilometers_Driven]]&lt;150000,"100k-150k","150k+")))</f>
        <v>&lt;50k</v>
      </c>
      <c r="O928" s="1" t="str">
        <f>IF(tbl_data[[#This Row],[Price_USD]]&gt;=87089,"High",
IF(tbl_data[[#This Row],[Price_USD]]&gt;=56807,"Mid","Low"))</f>
        <v>High</v>
      </c>
      <c r="P928" s="1" t="str">
        <f>IF(tbl_data[[#This Row],[Transmission]]="Automatic","Auto","Manual")</f>
        <v>Manual</v>
      </c>
      <c r="Q928" s="1" t="str">
        <f>IFERROR(IF(VALUE(tbl_data[[#This Row],[Engine_CC]])=0,"",VALUE(tbl_data[[#This Row],[Price_USD]])/VALUE(tbl_data[[#This Row],[Engine_CC]])),"")</f>
        <v/>
      </c>
      <c r="R928" s="1" t="str">
        <f>TRIM(tbl_data[[#This Row],[Brand]])</f>
        <v>Honda</v>
      </c>
      <c r="S928" s="1">
        <f>_xlfn.NUMBERVALUE(tbl_data[[#This Row],[Price_USD]],".",",")</f>
        <v>35411.980000000003</v>
      </c>
    </row>
    <row r="929" spans="1:19" x14ac:dyDescent="0.3">
      <c r="A929">
        <v>928</v>
      </c>
      <c r="B929" t="s">
        <v>25</v>
      </c>
      <c r="C929">
        <v>2017</v>
      </c>
      <c r="D929">
        <v>189402</v>
      </c>
      <c r="E929" t="s">
        <v>44</v>
      </c>
      <c r="F929" t="s">
        <v>21</v>
      </c>
      <c r="G929" t="s">
        <v>26</v>
      </c>
      <c r="H929">
        <v>1605</v>
      </c>
      <c r="I929" t="s">
        <v>2601</v>
      </c>
      <c r="J929" t="s">
        <v>2072</v>
      </c>
      <c r="K929">
        <v>6</v>
      </c>
      <c r="L929" t="s">
        <v>2602</v>
      </c>
      <c r="M929" s="1" t="str">
        <f>TEXT(DATE(tbl_data[[#This Row],[Model_Year]],1,1),"yyyy")</f>
        <v>2017</v>
      </c>
      <c r="N929" s="1" t="str">
        <f>IF(tbl_data[[#This Row],[Kilometers_Driven]]&lt;50000,"&lt;50k",
IF(tbl_data[[#This Row],[Kilometers_Driven]]&lt;100000,"50k-100k",
IF(tbl_data[[#This Row],[Kilometers_Driven]]&lt;150000,"100k-150k","150k+")))</f>
        <v>150k+</v>
      </c>
      <c r="O929" s="1" t="str">
        <f>IF(tbl_data[[#This Row],[Price_USD]]&gt;=87089,"High",
IF(tbl_data[[#This Row],[Price_USD]]&gt;=56807,"Mid","Low"))</f>
        <v>High</v>
      </c>
      <c r="P929" s="1" t="str">
        <f>IF(tbl_data[[#This Row],[Transmission]]="Automatic","Auto","Manual")</f>
        <v>Auto</v>
      </c>
      <c r="Q929" s="1" t="str">
        <f>IFERROR(IF(VALUE(tbl_data[[#This Row],[Engine_CC]])=0,"",VALUE(tbl_data[[#This Row],[Price_USD]])/VALUE(tbl_data[[#This Row],[Engine_CC]])),"")</f>
        <v/>
      </c>
      <c r="R929" s="1" t="str">
        <f>TRIM(tbl_data[[#This Row],[Brand]])</f>
        <v>Kia</v>
      </c>
      <c r="S929" s="1">
        <f>_xlfn.NUMBERVALUE(tbl_data[[#This Row],[Price_USD]],".",",")</f>
        <v>103893.19</v>
      </c>
    </row>
    <row r="930" spans="1:19" x14ac:dyDescent="0.3">
      <c r="A930">
        <v>929</v>
      </c>
      <c r="B930" t="s">
        <v>25</v>
      </c>
      <c r="C930">
        <v>2008</v>
      </c>
      <c r="D930">
        <v>20282</v>
      </c>
      <c r="E930" t="s">
        <v>20</v>
      </c>
      <c r="F930" t="s">
        <v>14</v>
      </c>
      <c r="G930" t="s">
        <v>32</v>
      </c>
      <c r="H930">
        <v>4591</v>
      </c>
      <c r="I930" t="s">
        <v>2603</v>
      </c>
      <c r="J930" t="s">
        <v>2604</v>
      </c>
      <c r="K930">
        <v>2</v>
      </c>
      <c r="L930" t="s">
        <v>2605</v>
      </c>
      <c r="M930" s="1" t="str">
        <f>TEXT(DATE(tbl_data[[#This Row],[Model_Year]],1,1),"yyyy")</f>
        <v>2008</v>
      </c>
      <c r="N930" s="1" t="str">
        <f>IF(tbl_data[[#This Row],[Kilometers_Driven]]&lt;50000,"&lt;50k",
IF(tbl_data[[#This Row],[Kilometers_Driven]]&lt;100000,"50k-100k",
IF(tbl_data[[#This Row],[Kilometers_Driven]]&lt;150000,"100k-150k","150k+")))</f>
        <v>&lt;50k</v>
      </c>
      <c r="O930" s="1" t="str">
        <f>IF(tbl_data[[#This Row],[Price_USD]]&gt;=87089,"High",
IF(tbl_data[[#This Row],[Price_USD]]&gt;=56807,"Mid","Low"))</f>
        <v>High</v>
      </c>
      <c r="P930" s="1" t="str">
        <f>IF(tbl_data[[#This Row],[Transmission]]="Automatic","Auto","Manual")</f>
        <v>Manual</v>
      </c>
      <c r="Q930" s="1" t="str">
        <f>IFERROR(IF(VALUE(tbl_data[[#This Row],[Engine_CC]])=0,"",VALUE(tbl_data[[#This Row],[Price_USD]])/VALUE(tbl_data[[#This Row],[Engine_CC]])),"")</f>
        <v/>
      </c>
      <c r="R930" s="1" t="str">
        <f>TRIM(tbl_data[[#This Row],[Brand]])</f>
        <v>Kia</v>
      </c>
      <c r="S930" s="1">
        <f>_xlfn.NUMBERVALUE(tbl_data[[#This Row],[Price_USD]],".",",")</f>
        <v>36164.949999999997</v>
      </c>
    </row>
    <row r="931" spans="1:19" x14ac:dyDescent="0.3">
      <c r="A931">
        <v>930</v>
      </c>
      <c r="B931" t="s">
        <v>12</v>
      </c>
      <c r="C931">
        <v>2015</v>
      </c>
      <c r="D931">
        <v>157850</v>
      </c>
      <c r="E931" t="s">
        <v>44</v>
      </c>
      <c r="F931" t="s">
        <v>21</v>
      </c>
      <c r="G931" t="s">
        <v>15</v>
      </c>
      <c r="H931">
        <v>2157</v>
      </c>
      <c r="I931" t="s">
        <v>2606</v>
      </c>
      <c r="J931" t="s">
        <v>2607</v>
      </c>
      <c r="K931">
        <v>2</v>
      </c>
      <c r="L931" t="s">
        <v>2608</v>
      </c>
      <c r="M931" s="1" t="str">
        <f>TEXT(DATE(tbl_data[[#This Row],[Model_Year]],1,1),"yyyy")</f>
        <v>2015</v>
      </c>
      <c r="N931" s="1" t="str">
        <f>IF(tbl_data[[#This Row],[Kilometers_Driven]]&lt;50000,"&lt;50k",
IF(tbl_data[[#This Row],[Kilometers_Driven]]&lt;100000,"50k-100k",
IF(tbl_data[[#This Row],[Kilometers_Driven]]&lt;150000,"100k-150k","150k+")))</f>
        <v>150k+</v>
      </c>
      <c r="O931" s="1" t="str">
        <f>IF(tbl_data[[#This Row],[Price_USD]]&gt;=87089,"High",
IF(tbl_data[[#This Row],[Price_USD]]&gt;=56807,"Mid","Low"))</f>
        <v>High</v>
      </c>
      <c r="P931" s="1" t="str">
        <f>IF(tbl_data[[#This Row],[Transmission]]="Automatic","Auto","Manual")</f>
        <v>Auto</v>
      </c>
      <c r="Q931" s="1" t="str">
        <f>IFERROR(IF(VALUE(tbl_data[[#This Row],[Engine_CC]])=0,"",VALUE(tbl_data[[#This Row],[Price_USD]])/VALUE(tbl_data[[#This Row],[Engine_CC]])),"")</f>
        <v/>
      </c>
      <c r="R931" s="1" t="str">
        <f>TRIM(tbl_data[[#This Row],[Brand]])</f>
        <v>Audi</v>
      </c>
      <c r="S931" s="1">
        <f>_xlfn.NUMBERVALUE(tbl_data[[#This Row],[Price_USD]],".",",")</f>
        <v>83350.42</v>
      </c>
    </row>
    <row r="932" spans="1:19" x14ac:dyDescent="0.3">
      <c r="A932">
        <v>931</v>
      </c>
      <c r="B932" t="s">
        <v>25</v>
      </c>
      <c r="C932">
        <v>2011</v>
      </c>
      <c r="D932">
        <v>160336</v>
      </c>
      <c r="E932" t="s">
        <v>44</v>
      </c>
      <c r="F932" t="s">
        <v>14</v>
      </c>
      <c r="G932" t="s">
        <v>15</v>
      </c>
      <c r="H932">
        <v>4025</v>
      </c>
      <c r="I932" t="s">
        <v>2463</v>
      </c>
      <c r="J932" t="s">
        <v>2609</v>
      </c>
      <c r="K932">
        <v>6</v>
      </c>
      <c r="L932" t="s">
        <v>2610</v>
      </c>
      <c r="M932" s="1" t="str">
        <f>TEXT(DATE(tbl_data[[#This Row],[Model_Year]],1,1),"yyyy")</f>
        <v>2011</v>
      </c>
      <c r="N932" s="1" t="str">
        <f>IF(tbl_data[[#This Row],[Kilometers_Driven]]&lt;50000,"&lt;50k",
IF(tbl_data[[#This Row],[Kilometers_Driven]]&lt;100000,"50k-100k",
IF(tbl_data[[#This Row],[Kilometers_Driven]]&lt;150000,"100k-150k","150k+")))</f>
        <v>150k+</v>
      </c>
      <c r="O932" s="1" t="str">
        <f>IF(tbl_data[[#This Row],[Price_USD]]&gt;=87089,"High",
IF(tbl_data[[#This Row],[Price_USD]]&gt;=56807,"Mid","Low"))</f>
        <v>High</v>
      </c>
      <c r="P932" s="1" t="str">
        <f>IF(tbl_data[[#This Row],[Transmission]]="Automatic","Auto","Manual")</f>
        <v>Manual</v>
      </c>
      <c r="Q932" s="1" t="str">
        <f>IFERROR(IF(VALUE(tbl_data[[#This Row],[Engine_CC]])=0,"",VALUE(tbl_data[[#This Row],[Price_USD]])/VALUE(tbl_data[[#This Row],[Engine_CC]])),"")</f>
        <v/>
      </c>
      <c r="R932" s="1" t="str">
        <f>TRIM(tbl_data[[#This Row],[Brand]])</f>
        <v>Kia</v>
      </c>
      <c r="S932" s="1">
        <f>_xlfn.NUMBERVALUE(tbl_data[[#This Row],[Price_USD]],".",",")</f>
        <v>81883.7</v>
      </c>
    </row>
    <row r="933" spans="1:19" x14ac:dyDescent="0.3">
      <c r="A933">
        <v>932</v>
      </c>
      <c r="B933" t="s">
        <v>43</v>
      </c>
      <c r="C933">
        <v>2016</v>
      </c>
      <c r="D933">
        <v>195747</v>
      </c>
      <c r="E933" t="s">
        <v>31</v>
      </c>
      <c r="F933" t="s">
        <v>21</v>
      </c>
      <c r="G933" t="s">
        <v>26</v>
      </c>
      <c r="H933">
        <v>4418</v>
      </c>
      <c r="I933" t="s">
        <v>2611</v>
      </c>
      <c r="J933" t="s">
        <v>2612</v>
      </c>
      <c r="K933">
        <v>4</v>
      </c>
      <c r="L933" t="s">
        <v>2613</v>
      </c>
      <c r="M933" s="1" t="str">
        <f>TEXT(DATE(tbl_data[[#This Row],[Model_Year]],1,1),"yyyy")</f>
        <v>2016</v>
      </c>
      <c r="N933" s="1" t="str">
        <f>IF(tbl_data[[#This Row],[Kilometers_Driven]]&lt;50000,"&lt;50k",
IF(tbl_data[[#This Row],[Kilometers_Driven]]&lt;100000,"50k-100k",
IF(tbl_data[[#This Row],[Kilometers_Driven]]&lt;150000,"100k-150k","150k+")))</f>
        <v>150k+</v>
      </c>
      <c r="O933" s="1" t="str">
        <f>IF(tbl_data[[#This Row],[Price_USD]]&gt;=87089,"High",
IF(tbl_data[[#This Row],[Price_USD]]&gt;=56807,"Mid","Low"))</f>
        <v>High</v>
      </c>
      <c r="P933" s="1" t="str">
        <f>IF(tbl_data[[#This Row],[Transmission]]="Automatic","Auto","Manual")</f>
        <v>Auto</v>
      </c>
      <c r="Q933" s="1" t="str">
        <f>IFERROR(IF(VALUE(tbl_data[[#This Row],[Engine_CC]])=0,"",VALUE(tbl_data[[#This Row],[Price_USD]])/VALUE(tbl_data[[#This Row],[Engine_CC]])),"")</f>
        <v/>
      </c>
      <c r="R933" s="1" t="str">
        <f>TRIM(tbl_data[[#This Row],[Brand]])</f>
        <v>Ford</v>
      </c>
      <c r="S933" s="1">
        <f>_xlfn.NUMBERVALUE(tbl_data[[#This Row],[Price_USD]],".",",")</f>
        <v>28914.75</v>
      </c>
    </row>
    <row r="934" spans="1:19" x14ac:dyDescent="0.3">
      <c r="A934">
        <v>933</v>
      </c>
      <c r="B934" t="s">
        <v>69</v>
      </c>
      <c r="C934">
        <v>2014</v>
      </c>
      <c r="D934">
        <v>10075</v>
      </c>
      <c r="E934" t="s">
        <v>20</v>
      </c>
      <c r="F934" t="s">
        <v>21</v>
      </c>
      <c r="G934" t="s">
        <v>32</v>
      </c>
      <c r="H934">
        <v>2926</v>
      </c>
      <c r="I934" t="s">
        <v>2614</v>
      </c>
      <c r="J934" t="s">
        <v>2615</v>
      </c>
      <c r="K934">
        <v>4</v>
      </c>
      <c r="L934" t="s">
        <v>2616</v>
      </c>
      <c r="M934" s="1" t="str">
        <f>TEXT(DATE(tbl_data[[#This Row],[Model_Year]],1,1),"yyyy")</f>
        <v>2014</v>
      </c>
      <c r="N934" s="1" t="str">
        <f>IF(tbl_data[[#This Row],[Kilometers_Driven]]&lt;50000,"&lt;50k",
IF(tbl_data[[#This Row],[Kilometers_Driven]]&lt;100000,"50k-100k",
IF(tbl_data[[#This Row],[Kilometers_Driven]]&lt;150000,"100k-150k","150k+")))</f>
        <v>&lt;50k</v>
      </c>
      <c r="O934" s="1" t="str">
        <f>IF(tbl_data[[#This Row],[Price_USD]]&gt;=87089,"High",
IF(tbl_data[[#This Row],[Price_USD]]&gt;=56807,"Mid","Low"))</f>
        <v>High</v>
      </c>
      <c r="P934" s="1" t="str">
        <f>IF(tbl_data[[#This Row],[Transmission]]="Automatic","Auto","Manual")</f>
        <v>Auto</v>
      </c>
      <c r="Q934" s="1" t="str">
        <f>IFERROR(IF(VALUE(tbl_data[[#This Row],[Engine_CC]])=0,"",VALUE(tbl_data[[#This Row],[Price_USD]])/VALUE(tbl_data[[#This Row],[Engine_CC]])),"")</f>
        <v/>
      </c>
      <c r="R934" s="1" t="str">
        <f>TRIM(tbl_data[[#This Row],[Brand]])</f>
        <v>Hyundai</v>
      </c>
      <c r="S934" s="1">
        <f>_xlfn.NUMBERVALUE(tbl_data[[#This Row],[Price_USD]],".",",")</f>
        <v>7071.51</v>
      </c>
    </row>
    <row r="935" spans="1:19" x14ac:dyDescent="0.3">
      <c r="A935">
        <v>934</v>
      </c>
      <c r="B935" t="s">
        <v>92</v>
      </c>
      <c r="C935">
        <v>2011</v>
      </c>
      <c r="D935">
        <v>184526</v>
      </c>
      <c r="E935" t="s">
        <v>44</v>
      </c>
      <c r="F935" t="s">
        <v>21</v>
      </c>
      <c r="G935" t="s">
        <v>32</v>
      </c>
      <c r="H935">
        <v>3260</v>
      </c>
      <c r="I935" t="s">
        <v>2617</v>
      </c>
      <c r="J935" t="s">
        <v>2618</v>
      </c>
      <c r="K935">
        <v>7</v>
      </c>
      <c r="L935" t="s">
        <v>2619</v>
      </c>
      <c r="M935" s="1" t="str">
        <f>TEXT(DATE(tbl_data[[#This Row],[Model_Year]],1,1),"yyyy")</f>
        <v>2011</v>
      </c>
      <c r="N935" s="1" t="str">
        <f>IF(tbl_data[[#This Row],[Kilometers_Driven]]&lt;50000,"&lt;50k",
IF(tbl_data[[#This Row],[Kilometers_Driven]]&lt;100000,"50k-100k",
IF(tbl_data[[#This Row],[Kilometers_Driven]]&lt;150000,"100k-150k","150k+")))</f>
        <v>150k+</v>
      </c>
      <c r="O935" s="1" t="str">
        <f>IF(tbl_data[[#This Row],[Price_USD]]&gt;=87089,"High",
IF(tbl_data[[#This Row],[Price_USD]]&gt;=56807,"Mid","Low"))</f>
        <v>High</v>
      </c>
      <c r="P935" s="1" t="str">
        <f>IF(tbl_data[[#This Row],[Transmission]]="Automatic","Auto","Manual")</f>
        <v>Auto</v>
      </c>
      <c r="Q935" s="1" t="str">
        <f>IFERROR(IF(VALUE(tbl_data[[#This Row],[Engine_CC]])=0,"",VALUE(tbl_data[[#This Row],[Price_USD]])/VALUE(tbl_data[[#This Row],[Engine_CC]])),"")</f>
        <v/>
      </c>
      <c r="R935" s="1" t="str">
        <f>TRIM(tbl_data[[#This Row],[Brand]])</f>
        <v>Toyota</v>
      </c>
      <c r="S935" s="1">
        <f>_xlfn.NUMBERVALUE(tbl_data[[#This Row],[Price_USD]],".",",")</f>
        <v>50882.2</v>
      </c>
    </row>
    <row r="936" spans="1:19" x14ac:dyDescent="0.3">
      <c r="A936">
        <v>935</v>
      </c>
      <c r="B936" t="s">
        <v>12</v>
      </c>
      <c r="C936">
        <v>2017</v>
      </c>
      <c r="D936">
        <v>33365</v>
      </c>
      <c r="E936" t="s">
        <v>20</v>
      </c>
      <c r="F936" t="s">
        <v>21</v>
      </c>
      <c r="G936" t="s">
        <v>32</v>
      </c>
      <c r="H936">
        <v>1345</v>
      </c>
      <c r="I936" t="s">
        <v>2620</v>
      </c>
      <c r="J936" t="s">
        <v>2621</v>
      </c>
      <c r="K936">
        <v>5</v>
      </c>
      <c r="L936" t="s">
        <v>2622</v>
      </c>
      <c r="M936" s="1" t="str">
        <f>TEXT(DATE(tbl_data[[#This Row],[Model_Year]],1,1),"yyyy")</f>
        <v>2017</v>
      </c>
      <c r="N936" s="1" t="str">
        <f>IF(tbl_data[[#This Row],[Kilometers_Driven]]&lt;50000,"&lt;50k",
IF(tbl_data[[#This Row],[Kilometers_Driven]]&lt;100000,"50k-100k",
IF(tbl_data[[#This Row],[Kilometers_Driven]]&lt;150000,"100k-150k","150k+")))</f>
        <v>&lt;50k</v>
      </c>
      <c r="O936" s="1" t="str">
        <f>IF(tbl_data[[#This Row],[Price_USD]]&gt;=87089,"High",
IF(tbl_data[[#This Row],[Price_USD]]&gt;=56807,"Mid","Low"))</f>
        <v>High</v>
      </c>
      <c r="P936" s="1" t="str">
        <f>IF(tbl_data[[#This Row],[Transmission]]="Automatic","Auto","Manual")</f>
        <v>Auto</v>
      </c>
      <c r="Q936" s="1" t="str">
        <f>IFERROR(IF(VALUE(tbl_data[[#This Row],[Engine_CC]])=0,"",VALUE(tbl_data[[#This Row],[Price_USD]])/VALUE(tbl_data[[#This Row],[Engine_CC]])),"")</f>
        <v/>
      </c>
      <c r="R936" s="1" t="str">
        <f>TRIM(tbl_data[[#This Row],[Brand]])</f>
        <v>Audi</v>
      </c>
      <c r="S936" s="1">
        <f>_xlfn.NUMBERVALUE(tbl_data[[#This Row],[Price_USD]],".",",")</f>
        <v>36835.599999999999</v>
      </c>
    </row>
    <row r="937" spans="1:19" x14ac:dyDescent="0.3">
      <c r="A937">
        <v>936</v>
      </c>
      <c r="B937" t="s">
        <v>92</v>
      </c>
      <c r="C937">
        <v>2011</v>
      </c>
      <c r="D937">
        <v>184272</v>
      </c>
      <c r="E937" t="s">
        <v>31</v>
      </c>
      <c r="F937" t="s">
        <v>21</v>
      </c>
      <c r="G937" t="s">
        <v>32</v>
      </c>
      <c r="H937">
        <v>3528</v>
      </c>
      <c r="I937" t="s">
        <v>2623</v>
      </c>
      <c r="J937" t="s">
        <v>2570</v>
      </c>
      <c r="K937">
        <v>5</v>
      </c>
      <c r="L937" t="s">
        <v>2624</v>
      </c>
      <c r="M937" s="1" t="str">
        <f>TEXT(DATE(tbl_data[[#This Row],[Model_Year]],1,1),"yyyy")</f>
        <v>2011</v>
      </c>
      <c r="N937" s="1" t="str">
        <f>IF(tbl_data[[#This Row],[Kilometers_Driven]]&lt;50000,"&lt;50k",
IF(tbl_data[[#This Row],[Kilometers_Driven]]&lt;100000,"50k-100k",
IF(tbl_data[[#This Row],[Kilometers_Driven]]&lt;150000,"100k-150k","150k+")))</f>
        <v>150k+</v>
      </c>
      <c r="O937" s="1" t="str">
        <f>IF(tbl_data[[#This Row],[Price_USD]]&gt;=87089,"High",
IF(tbl_data[[#This Row],[Price_USD]]&gt;=56807,"Mid","Low"))</f>
        <v>High</v>
      </c>
      <c r="P937" s="1" t="str">
        <f>IF(tbl_data[[#This Row],[Transmission]]="Automatic","Auto","Manual")</f>
        <v>Auto</v>
      </c>
      <c r="Q937" s="1" t="str">
        <f>IFERROR(IF(VALUE(tbl_data[[#This Row],[Engine_CC]])=0,"",VALUE(tbl_data[[#This Row],[Price_USD]])/VALUE(tbl_data[[#This Row],[Engine_CC]])),"")</f>
        <v/>
      </c>
      <c r="R937" s="1" t="str">
        <f>TRIM(tbl_data[[#This Row],[Brand]])</f>
        <v>Toyota</v>
      </c>
      <c r="S937" s="1">
        <f>_xlfn.NUMBERVALUE(tbl_data[[#This Row],[Price_USD]],".",",")</f>
        <v>97650.4</v>
      </c>
    </row>
    <row r="938" spans="1:19" x14ac:dyDescent="0.3">
      <c r="A938">
        <v>937</v>
      </c>
      <c r="B938" t="s">
        <v>102</v>
      </c>
      <c r="C938">
        <v>2021</v>
      </c>
      <c r="D938">
        <v>16002</v>
      </c>
      <c r="E938" t="s">
        <v>44</v>
      </c>
      <c r="F938" t="s">
        <v>21</v>
      </c>
      <c r="G938" t="s">
        <v>32</v>
      </c>
      <c r="H938">
        <v>4534</v>
      </c>
      <c r="I938" t="s">
        <v>2625</v>
      </c>
      <c r="J938" t="s">
        <v>2626</v>
      </c>
      <c r="K938">
        <v>7</v>
      </c>
      <c r="L938" t="s">
        <v>2627</v>
      </c>
      <c r="M938" s="1" t="str">
        <f>TEXT(DATE(tbl_data[[#This Row],[Model_Year]],1,1),"yyyy")</f>
        <v>2021</v>
      </c>
      <c r="N938" s="1" t="str">
        <f>IF(tbl_data[[#This Row],[Kilometers_Driven]]&lt;50000,"&lt;50k",
IF(tbl_data[[#This Row],[Kilometers_Driven]]&lt;100000,"50k-100k",
IF(tbl_data[[#This Row],[Kilometers_Driven]]&lt;150000,"100k-150k","150k+")))</f>
        <v>&lt;50k</v>
      </c>
      <c r="O938" s="1" t="str">
        <f>IF(tbl_data[[#This Row],[Price_USD]]&gt;=87089,"High",
IF(tbl_data[[#This Row],[Price_USD]]&gt;=56807,"Mid","Low"))</f>
        <v>High</v>
      </c>
      <c r="P938" s="1" t="str">
        <f>IF(tbl_data[[#This Row],[Transmission]]="Automatic","Auto","Manual")</f>
        <v>Auto</v>
      </c>
      <c r="Q938" s="1" t="str">
        <f>IFERROR(IF(VALUE(tbl_data[[#This Row],[Engine_CC]])=0,"",VALUE(tbl_data[[#This Row],[Price_USD]])/VALUE(tbl_data[[#This Row],[Engine_CC]])),"")</f>
        <v/>
      </c>
      <c r="R938" s="1" t="str">
        <f>TRIM(tbl_data[[#This Row],[Brand]])</f>
        <v>Nissan</v>
      </c>
      <c r="S938" s="1">
        <f>_xlfn.NUMBERVALUE(tbl_data[[#This Row],[Price_USD]],".",",")</f>
        <v>96642.61</v>
      </c>
    </row>
    <row r="939" spans="1:19" x14ac:dyDescent="0.3">
      <c r="A939">
        <v>938</v>
      </c>
      <c r="B939" t="s">
        <v>92</v>
      </c>
      <c r="C939">
        <v>2014</v>
      </c>
      <c r="D939">
        <v>18947</v>
      </c>
      <c r="E939" t="s">
        <v>31</v>
      </c>
      <c r="F939" t="s">
        <v>14</v>
      </c>
      <c r="G939" t="s">
        <v>15</v>
      </c>
      <c r="H939">
        <v>3362</v>
      </c>
      <c r="I939" t="s">
        <v>2628</v>
      </c>
      <c r="J939" t="s">
        <v>2629</v>
      </c>
      <c r="K939">
        <v>5</v>
      </c>
      <c r="L939" t="s">
        <v>2630</v>
      </c>
      <c r="M939" s="1" t="str">
        <f>TEXT(DATE(tbl_data[[#This Row],[Model_Year]],1,1),"yyyy")</f>
        <v>2014</v>
      </c>
      <c r="N939" s="1" t="str">
        <f>IF(tbl_data[[#This Row],[Kilometers_Driven]]&lt;50000,"&lt;50k",
IF(tbl_data[[#This Row],[Kilometers_Driven]]&lt;100000,"50k-100k",
IF(tbl_data[[#This Row],[Kilometers_Driven]]&lt;150000,"100k-150k","150k+")))</f>
        <v>&lt;50k</v>
      </c>
      <c r="O939" s="1" t="str">
        <f>IF(tbl_data[[#This Row],[Price_USD]]&gt;=87089,"High",
IF(tbl_data[[#This Row],[Price_USD]]&gt;=56807,"Mid","Low"))</f>
        <v>High</v>
      </c>
      <c r="P939" s="1" t="str">
        <f>IF(tbl_data[[#This Row],[Transmission]]="Automatic","Auto","Manual")</f>
        <v>Manual</v>
      </c>
      <c r="Q939" s="1" t="str">
        <f>IFERROR(IF(VALUE(tbl_data[[#This Row],[Engine_CC]])=0,"",VALUE(tbl_data[[#This Row],[Price_USD]])/VALUE(tbl_data[[#This Row],[Engine_CC]])),"")</f>
        <v/>
      </c>
      <c r="R939" s="1" t="str">
        <f>TRIM(tbl_data[[#This Row],[Brand]])</f>
        <v>Toyota</v>
      </c>
      <c r="S939" s="1">
        <f>_xlfn.NUMBERVALUE(tbl_data[[#This Row],[Price_USD]],".",",")</f>
        <v>56471.8</v>
      </c>
    </row>
    <row r="940" spans="1:19" x14ac:dyDescent="0.3">
      <c r="A940">
        <v>939</v>
      </c>
      <c r="B940" t="s">
        <v>92</v>
      </c>
      <c r="C940">
        <v>2014</v>
      </c>
      <c r="D940">
        <v>99840</v>
      </c>
      <c r="E940" t="s">
        <v>20</v>
      </c>
      <c r="F940" t="s">
        <v>21</v>
      </c>
      <c r="G940" t="s">
        <v>15</v>
      </c>
      <c r="H940">
        <v>2879</v>
      </c>
      <c r="I940" t="s">
        <v>2631</v>
      </c>
      <c r="J940" t="s">
        <v>110</v>
      </c>
      <c r="K940">
        <v>2</v>
      </c>
      <c r="L940" t="s">
        <v>2632</v>
      </c>
      <c r="M940" s="1" t="str">
        <f>TEXT(DATE(tbl_data[[#This Row],[Model_Year]],1,1),"yyyy")</f>
        <v>2014</v>
      </c>
      <c r="N940" s="1" t="str">
        <f>IF(tbl_data[[#This Row],[Kilometers_Driven]]&lt;50000,"&lt;50k",
IF(tbl_data[[#This Row],[Kilometers_Driven]]&lt;100000,"50k-100k",
IF(tbl_data[[#This Row],[Kilometers_Driven]]&lt;150000,"100k-150k","150k+")))</f>
        <v>50k-100k</v>
      </c>
      <c r="O940" s="1" t="str">
        <f>IF(tbl_data[[#This Row],[Price_USD]]&gt;=87089,"High",
IF(tbl_data[[#This Row],[Price_USD]]&gt;=56807,"Mid","Low"))</f>
        <v>High</v>
      </c>
      <c r="P940" s="1" t="str">
        <f>IF(tbl_data[[#This Row],[Transmission]]="Automatic","Auto","Manual")</f>
        <v>Auto</v>
      </c>
      <c r="Q940" s="1" t="str">
        <f>IFERROR(IF(VALUE(tbl_data[[#This Row],[Engine_CC]])=0,"",VALUE(tbl_data[[#This Row],[Price_USD]])/VALUE(tbl_data[[#This Row],[Engine_CC]])),"")</f>
        <v/>
      </c>
      <c r="R940" s="1" t="str">
        <f>TRIM(tbl_data[[#This Row],[Brand]])</f>
        <v>Toyota</v>
      </c>
      <c r="S940" s="1">
        <f>_xlfn.NUMBERVALUE(tbl_data[[#This Row],[Price_USD]],".",",")</f>
        <v>73961.929999999993</v>
      </c>
    </row>
    <row r="941" spans="1:19" x14ac:dyDescent="0.3">
      <c r="A941">
        <v>940</v>
      </c>
      <c r="B941" t="s">
        <v>12</v>
      </c>
      <c r="C941">
        <v>2008</v>
      </c>
      <c r="D941">
        <v>121219</v>
      </c>
      <c r="E941" t="s">
        <v>20</v>
      </c>
      <c r="F941" t="s">
        <v>14</v>
      </c>
      <c r="G941" t="s">
        <v>15</v>
      </c>
      <c r="H941">
        <v>3441</v>
      </c>
      <c r="I941" t="s">
        <v>2633</v>
      </c>
      <c r="J941" t="s">
        <v>2634</v>
      </c>
      <c r="K941">
        <v>2</v>
      </c>
      <c r="L941" t="s">
        <v>2635</v>
      </c>
      <c r="M941" s="1" t="str">
        <f>TEXT(DATE(tbl_data[[#This Row],[Model_Year]],1,1),"yyyy")</f>
        <v>2008</v>
      </c>
      <c r="N941" s="1" t="str">
        <f>IF(tbl_data[[#This Row],[Kilometers_Driven]]&lt;50000,"&lt;50k",
IF(tbl_data[[#This Row],[Kilometers_Driven]]&lt;100000,"50k-100k",
IF(tbl_data[[#This Row],[Kilometers_Driven]]&lt;150000,"100k-150k","150k+")))</f>
        <v>100k-150k</v>
      </c>
      <c r="O941" s="1" t="str">
        <f>IF(tbl_data[[#This Row],[Price_USD]]&gt;=87089,"High",
IF(tbl_data[[#This Row],[Price_USD]]&gt;=56807,"Mid","Low"))</f>
        <v>High</v>
      </c>
      <c r="P941" s="1" t="str">
        <f>IF(tbl_data[[#This Row],[Transmission]]="Automatic","Auto","Manual")</f>
        <v>Manual</v>
      </c>
      <c r="Q941" s="1" t="str">
        <f>IFERROR(IF(VALUE(tbl_data[[#This Row],[Engine_CC]])=0,"",VALUE(tbl_data[[#This Row],[Price_USD]])/VALUE(tbl_data[[#This Row],[Engine_CC]])),"")</f>
        <v/>
      </c>
      <c r="R941" s="1" t="str">
        <f>TRIM(tbl_data[[#This Row],[Brand]])</f>
        <v>Audi</v>
      </c>
      <c r="S941" s="1">
        <f>_xlfn.NUMBERVALUE(tbl_data[[#This Row],[Price_USD]],".",",")</f>
        <v>73698.36</v>
      </c>
    </row>
    <row r="942" spans="1:19" x14ac:dyDescent="0.3">
      <c r="A942">
        <v>941</v>
      </c>
      <c r="B942" t="s">
        <v>76</v>
      </c>
      <c r="C942">
        <v>2024</v>
      </c>
      <c r="D942">
        <v>83610</v>
      </c>
      <c r="E942" t="s">
        <v>31</v>
      </c>
      <c r="F942" t="s">
        <v>21</v>
      </c>
      <c r="G942" t="s">
        <v>26</v>
      </c>
      <c r="H942">
        <v>3914</v>
      </c>
      <c r="I942" t="s">
        <v>2282</v>
      </c>
      <c r="J942" t="s">
        <v>2636</v>
      </c>
      <c r="K942">
        <v>6</v>
      </c>
      <c r="L942" t="s">
        <v>2637</v>
      </c>
      <c r="M942" s="1" t="str">
        <f>TEXT(DATE(tbl_data[[#This Row],[Model_Year]],1,1),"yyyy")</f>
        <v>2024</v>
      </c>
      <c r="N942" s="1" t="str">
        <f>IF(tbl_data[[#This Row],[Kilometers_Driven]]&lt;50000,"&lt;50k",
IF(tbl_data[[#This Row],[Kilometers_Driven]]&lt;100000,"50k-100k",
IF(tbl_data[[#This Row],[Kilometers_Driven]]&lt;150000,"100k-150k","150k+")))</f>
        <v>50k-100k</v>
      </c>
      <c r="O942" s="1" t="str">
        <f>IF(tbl_data[[#This Row],[Price_USD]]&gt;=87089,"High",
IF(tbl_data[[#This Row],[Price_USD]]&gt;=56807,"Mid","Low"))</f>
        <v>High</v>
      </c>
      <c r="P942" s="1" t="str">
        <f>IF(tbl_data[[#This Row],[Transmission]]="Automatic","Auto","Manual")</f>
        <v>Auto</v>
      </c>
      <c r="Q942" s="1" t="str">
        <f>IFERROR(IF(VALUE(tbl_data[[#This Row],[Engine_CC]])=0,"",VALUE(tbl_data[[#This Row],[Price_USD]])/VALUE(tbl_data[[#This Row],[Engine_CC]])),"")</f>
        <v/>
      </c>
      <c r="R942" s="1" t="str">
        <f>TRIM(tbl_data[[#This Row],[Brand]])</f>
        <v>Honda</v>
      </c>
      <c r="S942" s="1">
        <f>_xlfn.NUMBERVALUE(tbl_data[[#This Row],[Price_USD]],".",",")</f>
        <v>99777.5</v>
      </c>
    </row>
    <row r="943" spans="1:19" x14ac:dyDescent="0.3">
      <c r="A943">
        <v>942</v>
      </c>
      <c r="B943" t="s">
        <v>30</v>
      </c>
      <c r="C943">
        <v>2008</v>
      </c>
      <c r="D943">
        <v>57142</v>
      </c>
      <c r="E943" t="s">
        <v>13</v>
      </c>
      <c r="F943" t="s">
        <v>14</v>
      </c>
      <c r="G943" t="s">
        <v>32</v>
      </c>
      <c r="H943">
        <v>2726</v>
      </c>
      <c r="I943" t="s">
        <v>2638</v>
      </c>
      <c r="J943" t="s">
        <v>2639</v>
      </c>
      <c r="K943">
        <v>6</v>
      </c>
      <c r="L943" t="s">
        <v>2640</v>
      </c>
      <c r="M943" s="1" t="str">
        <f>TEXT(DATE(tbl_data[[#This Row],[Model_Year]],1,1),"yyyy")</f>
        <v>2008</v>
      </c>
      <c r="N943" s="1" t="str">
        <f>IF(tbl_data[[#This Row],[Kilometers_Driven]]&lt;50000,"&lt;50k",
IF(tbl_data[[#This Row],[Kilometers_Driven]]&lt;100000,"50k-100k",
IF(tbl_data[[#This Row],[Kilometers_Driven]]&lt;150000,"100k-150k","150k+")))</f>
        <v>50k-100k</v>
      </c>
      <c r="O943" s="1" t="str">
        <f>IF(tbl_data[[#This Row],[Price_USD]]&gt;=87089,"High",
IF(tbl_data[[#This Row],[Price_USD]]&gt;=56807,"Mid","Low"))</f>
        <v>High</v>
      </c>
      <c r="P943" s="1" t="str">
        <f>IF(tbl_data[[#This Row],[Transmission]]="Automatic","Auto","Manual")</f>
        <v>Manual</v>
      </c>
      <c r="Q943" s="1" t="str">
        <f>IFERROR(IF(VALUE(tbl_data[[#This Row],[Engine_CC]])=0,"",VALUE(tbl_data[[#This Row],[Price_USD]])/VALUE(tbl_data[[#This Row],[Engine_CC]])),"")</f>
        <v/>
      </c>
      <c r="R943" s="1" t="str">
        <f>TRIM(tbl_data[[#This Row],[Brand]])</f>
        <v>Mercedes</v>
      </c>
      <c r="S943" s="1">
        <f>_xlfn.NUMBERVALUE(tbl_data[[#This Row],[Price_USD]],".",",")</f>
        <v>52725.279999999999</v>
      </c>
    </row>
    <row r="944" spans="1:19" x14ac:dyDescent="0.3">
      <c r="A944">
        <v>943</v>
      </c>
      <c r="B944" t="s">
        <v>25</v>
      </c>
      <c r="C944">
        <v>2011</v>
      </c>
      <c r="D944">
        <v>61307</v>
      </c>
      <c r="E944" t="s">
        <v>44</v>
      </c>
      <c r="F944" t="s">
        <v>21</v>
      </c>
      <c r="G944" t="s">
        <v>26</v>
      </c>
      <c r="H944">
        <v>1416</v>
      </c>
      <c r="I944" t="s">
        <v>2641</v>
      </c>
      <c r="J944" t="s">
        <v>2604</v>
      </c>
      <c r="K944">
        <v>7</v>
      </c>
      <c r="L944" t="s">
        <v>2642</v>
      </c>
      <c r="M944" s="1" t="str">
        <f>TEXT(DATE(tbl_data[[#This Row],[Model_Year]],1,1),"yyyy")</f>
        <v>2011</v>
      </c>
      <c r="N944" s="1" t="str">
        <f>IF(tbl_data[[#This Row],[Kilometers_Driven]]&lt;50000,"&lt;50k",
IF(tbl_data[[#This Row],[Kilometers_Driven]]&lt;100000,"50k-100k",
IF(tbl_data[[#This Row],[Kilometers_Driven]]&lt;150000,"100k-150k","150k+")))</f>
        <v>50k-100k</v>
      </c>
      <c r="O944" s="1" t="str">
        <f>IF(tbl_data[[#This Row],[Price_USD]]&gt;=87089,"High",
IF(tbl_data[[#This Row],[Price_USD]]&gt;=56807,"Mid","Low"))</f>
        <v>High</v>
      </c>
      <c r="P944" s="1" t="str">
        <f>IF(tbl_data[[#This Row],[Transmission]]="Automatic","Auto","Manual")</f>
        <v>Auto</v>
      </c>
      <c r="Q944" s="1" t="str">
        <f>IFERROR(IF(VALUE(tbl_data[[#This Row],[Engine_CC]])=0,"",VALUE(tbl_data[[#This Row],[Price_USD]])/VALUE(tbl_data[[#This Row],[Engine_CC]])),"")</f>
        <v/>
      </c>
      <c r="R944" s="1" t="str">
        <f>TRIM(tbl_data[[#This Row],[Brand]])</f>
        <v>Kia</v>
      </c>
      <c r="S944" s="1">
        <f>_xlfn.NUMBERVALUE(tbl_data[[#This Row],[Price_USD]],".",",")</f>
        <v>35227.26</v>
      </c>
    </row>
    <row r="945" spans="1:19" x14ac:dyDescent="0.3">
      <c r="A945">
        <v>944</v>
      </c>
      <c r="B945" t="s">
        <v>25</v>
      </c>
      <c r="C945">
        <v>2005</v>
      </c>
      <c r="D945">
        <v>140565</v>
      </c>
      <c r="E945" t="s">
        <v>20</v>
      </c>
      <c r="F945" t="s">
        <v>21</v>
      </c>
      <c r="G945" t="s">
        <v>32</v>
      </c>
      <c r="H945">
        <v>4444</v>
      </c>
      <c r="I945" t="s">
        <v>2643</v>
      </c>
      <c r="J945" t="s">
        <v>2644</v>
      </c>
      <c r="K945">
        <v>7</v>
      </c>
      <c r="L945" t="s">
        <v>2645</v>
      </c>
      <c r="M945" s="1" t="str">
        <f>TEXT(DATE(tbl_data[[#This Row],[Model_Year]],1,1),"yyyy")</f>
        <v>2005</v>
      </c>
      <c r="N945" s="1" t="str">
        <f>IF(tbl_data[[#This Row],[Kilometers_Driven]]&lt;50000,"&lt;50k",
IF(tbl_data[[#This Row],[Kilometers_Driven]]&lt;100000,"50k-100k",
IF(tbl_data[[#This Row],[Kilometers_Driven]]&lt;150000,"100k-150k","150k+")))</f>
        <v>100k-150k</v>
      </c>
      <c r="O945" s="1" t="str">
        <f>IF(tbl_data[[#This Row],[Price_USD]]&gt;=87089,"High",
IF(tbl_data[[#This Row],[Price_USD]]&gt;=56807,"Mid","Low"))</f>
        <v>High</v>
      </c>
      <c r="P945" s="1" t="str">
        <f>IF(tbl_data[[#This Row],[Transmission]]="Automatic","Auto","Manual")</f>
        <v>Auto</v>
      </c>
      <c r="Q945" s="1" t="str">
        <f>IFERROR(IF(VALUE(tbl_data[[#This Row],[Engine_CC]])=0,"",VALUE(tbl_data[[#This Row],[Price_USD]])/VALUE(tbl_data[[#This Row],[Engine_CC]])),"")</f>
        <v/>
      </c>
      <c r="R945" s="1" t="str">
        <f>TRIM(tbl_data[[#This Row],[Brand]])</f>
        <v>Kia</v>
      </c>
      <c r="S945" s="1">
        <f>_xlfn.NUMBERVALUE(tbl_data[[#This Row],[Price_USD]],".",",")</f>
        <v>34009.089999999997</v>
      </c>
    </row>
    <row r="946" spans="1:19" x14ac:dyDescent="0.3">
      <c r="A946">
        <v>945</v>
      </c>
      <c r="B946" t="s">
        <v>43</v>
      </c>
      <c r="C946">
        <v>2016</v>
      </c>
      <c r="D946">
        <v>55085</v>
      </c>
      <c r="E946" t="s">
        <v>20</v>
      </c>
      <c r="F946" t="s">
        <v>14</v>
      </c>
      <c r="G946" t="s">
        <v>15</v>
      </c>
      <c r="H946">
        <v>2003</v>
      </c>
      <c r="I946" t="s">
        <v>2646</v>
      </c>
      <c r="J946" t="s">
        <v>2647</v>
      </c>
      <c r="K946">
        <v>7</v>
      </c>
      <c r="L946" t="s">
        <v>2648</v>
      </c>
      <c r="M946" s="1" t="str">
        <f>TEXT(DATE(tbl_data[[#This Row],[Model_Year]],1,1),"yyyy")</f>
        <v>2016</v>
      </c>
      <c r="N946" s="1" t="str">
        <f>IF(tbl_data[[#This Row],[Kilometers_Driven]]&lt;50000,"&lt;50k",
IF(tbl_data[[#This Row],[Kilometers_Driven]]&lt;100000,"50k-100k",
IF(tbl_data[[#This Row],[Kilometers_Driven]]&lt;150000,"100k-150k","150k+")))</f>
        <v>50k-100k</v>
      </c>
      <c r="O946" s="1" t="str">
        <f>IF(tbl_data[[#This Row],[Price_USD]]&gt;=87089,"High",
IF(tbl_data[[#This Row],[Price_USD]]&gt;=56807,"Mid","Low"))</f>
        <v>High</v>
      </c>
      <c r="P946" s="1" t="str">
        <f>IF(tbl_data[[#This Row],[Transmission]]="Automatic","Auto","Manual")</f>
        <v>Manual</v>
      </c>
      <c r="Q946" s="1" t="str">
        <f>IFERROR(IF(VALUE(tbl_data[[#This Row],[Engine_CC]])=0,"",VALUE(tbl_data[[#This Row],[Price_USD]])/VALUE(tbl_data[[#This Row],[Engine_CC]])),"")</f>
        <v/>
      </c>
      <c r="R946" s="1" t="str">
        <f>TRIM(tbl_data[[#This Row],[Brand]])</f>
        <v>Ford</v>
      </c>
      <c r="S946" s="1">
        <f>_xlfn.NUMBERVALUE(tbl_data[[#This Row],[Price_USD]],".",",")</f>
        <v>65734.5</v>
      </c>
    </row>
    <row r="947" spans="1:19" x14ac:dyDescent="0.3">
      <c r="A947">
        <v>946</v>
      </c>
      <c r="B947" t="s">
        <v>12</v>
      </c>
      <c r="C947">
        <v>2017</v>
      </c>
      <c r="D947">
        <v>39228</v>
      </c>
      <c r="E947" t="s">
        <v>44</v>
      </c>
      <c r="F947" t="s">
        <v>21</v>
      </c>
      <c r="G947" t="s">
        <v>26</v>
      </c>
      <c r="H947">
        <v>2559</v>
      </c>
      <c r="I947" t="s">
        <v>501</v>
      </c>
      <c r="J947" t="s">
        <v>2649</v>
      </c>
      <c r="K947">
        <v>2</v>
      </c>
      <c r="L947" t="s">
        <v>2650</v>
      </c>
      <c r="M947" s="1" t="str">
        <f>TEXT(DATE(tbl_data[[#This Row],[Model_Year]],1,1),"yyyy")</f>
        <v>2017</v>
      </c>
      <c r="N947" s="1" t="str">
        <f>IF(tbl_data[[#This Row],[Kilometers_Driven]]&lt;50000,"&lt;50k",
IF(tbl_data[[#This Row],[Kilometers_Driven]]&lt;100000,"50k-100k",
IF(tbl_data[[#This Row],[Kilometers_Driven]]&lt;150000,"100k-150k","150k+")))</f>
        <v>&lt;50k</v>
      </c>
      <c r="O947" s="1" t="str">
        <f>IF(tbl_data[[#This Row],[Price_USD]]&gt;=87089,"High",
IF(tbl_data[[#This Row],[Price_USD]]&gt;=56807,"Mid","Low"))</f>
        <v>High</v>
      </c>
      <c r="P947" s="1" t="str">
        <f>IF(tbl_data[[#This Row],[Transmission]]="Automatic","Auto","Manual")</f>
        <v>Auto</v>
      </c>
      <c r="Q947" s="1" t="str">
        <f>IFERROR(IF(VALUE(tbl_data[[#This Row],[Engine_CC]])=0,"",VALUE(tbl_data[[#This Row],[Price_USD]])/VALUE(tbl_data[[#This Row],[Engine_CC]])),"")</f>
        <v/>
      </c>
      <c r="R947" s="1" t="str">
        <f>TRIM(tbl_data[[#This Row],[Brand]])</f>
        <v>Audi</v>
      </c>
      <c r="S947" s="1">
        <f>_xlfn.NUMBERVALUE(tbl_data[[#This Row],[Price_USD]],".",",")</f>
        <v>55550.34</v>
      </c>
    </row>
    <row r="948" spans="1:19" x14ac:dyDescent="0.3">
      <c r="A948">
        <v>947</v>
      </c>
      <c r="B948" t="s">
        <v>43</v>
      </c>
      <c r="C948">
        <v>2014</v>
      </c>
      <c r="D948">
        <v>187947</v>
      </c>
      <c r="E948" t="s">
        <v>31</v>
      </c>
      <c r="F948" t="s">
        <v>21</v>
      </c>
      <c r="G948" t="s">
        <v>15</v>
      </c>
      <c r="H948">
        <v>3365</v>
      </c>
      <c r="I948" t="s">
        <v>2651</v>
      </c>
      <c r="J948" t="s">
        <v>2652</v>
      </c>
      <c r="K948">
        <v>5</v>
      </c>
      <c r="L948" t="s">
        <v>2653</v>
      </c>
      <c r="M948" s="1" t="str">
        <f>TEXT(DATE(tbl_data[[#This Row],[Model_Year]],1,1),"yyyy")</f>
        <v>2014</v>
      </c>
      <c r="N948" s="1" t="str">
        <f>IF(tbl_data[[#This Row],[Kilometers_Driven]]&lt;50000,"&lt;50k",
IF(tbl_data[[#This Row],[Kilometers_Driven]]&lt;100000,"50k-100k",
IF(tbl_data[[#This Row],[Kilometers_Driven]]&lt;150000,"100k-150k","150k+")))</f>
        <v>150k+</v>
      </c>
      <c r="O948" s="1" t="str">
        <f>IF(tbl_data[[#This Row],[Price_USD]]&gt;=87089,"High",
IF(tbl_data[[#This Row],[Price_USD]]&gt;=56807,"Mid","Low"))</f>
        <v>High</v>
      </c>
      <c r="P948" s="1" t="str">
        <f>IF(tbl_data[[#This Row],[Transmission]]="Automatic","Auto","Manual")</f>
        <v>Auto</v>
      </c>
      <c r="Q948" s="1" t="str">
        <f>IFERROR(IF(VALUE(tbl_data[[#This Row],[Engine_CC]])=0,"",VALUE(tbl_data[[#This Row],[Price_USD]])/VALUE(tbl_data[[#This Row],[Engine_CC]])),"")</f>
        <v/>
      </c>
      <c r="R948" s="1" t="str">
        <f>TRIM(tbl_data[[#This Row],[Brand]])</f>
        <v>Ford</v>
      </c>
      <c r="S948" s="1">
        <f>_xlfn.NUMBERVALUE(tbl_data[[#This Row],[Price_USD]],".",",")</f>
        <v>54494.13</v>
      </c>
    </row>
    <row r="949" spans="1:19" x14ac:dyDescent="0.3">
      <c r="A949">
        <v>948</v>
      </c>
      <c r="B949" t="s">
        <v>69</v>
      </c>
      <c r="C949">
        <v>2019</v>
      </c>
      <c r="D949">
        <v>167727</v>
      </c>
      <c r="E949" t="s">
        <v>31</v>
      </c>
      <c r="F949" t="s">
        <v>21</v>
      </c>
      <c r="G949" t="s">
        <v>32</v>
      </c>
      <c r="H949">
        <v>3974</v>
      </c>
      <c r="I949" t="s">
        <v>2654</v>
      </c>
      <c r="J949" t="s">
        <v>674</v>
      </c>
      <c r="K949">
        <v>7</v>
      </c>
      <c r="L949" t="s">
        <v>2655</v>
      </c>
      <c r="M949" s="1" t="str">
        <f>TEXT(DATE(tbl_data[[#This Row],[Model_Year]],1,1),"yyyy")</f>
        <v>2019</v>
      </c>
      <c r="N949" s="1" t="str">
        <f>IF(tbl_data[[#This Row],[Kilometers_Driven]]&lt;50000,"&lt;50k",
IF(tbl_data[[#This Row],[Kilometers_Driven]]&lt;100000,"50k-100k",
IF(tbl_data[[#This Row],[Kilometers_Driven]]&lt;150000,"100k-150k","150k+")))</f>
        <v>150k+</v>
      </c>
      <c r="O949" s="1" t="str">
        <f>IF(tbl_data[[#This Row],[Price_USD]]&gt;=87089,"High",
IF(tbl_data[[#This Row],[Price_USD]]&gt;=56807,"Mid","Low"))</f>
        <v>High</v>
      </c>
      <c r="P949" s="1" t="str">
        <f>IF(tbl_data[[#This Row],[Transmission]]="Automatic","Auto","Manual")</f>
        <v>Auto</v>
      </c>
      <c r="Q949" s="1" t="str">
        <f>IFERROR(IF(VALUE(tbl_data[[#This Row],[Engine_CC]])=0,"",VALUE(tbl_data[[#This Row],[Price_USD]])/VALUE(tbl_data[[#This Row],[Engine_CC]])),"")</f>
        <v/>
      </c>
      <c r="R949" s="1" t="str">
        <f>TRIM(tbl_data[[#This Row],[Brand]])</f>
        <v>Hyundai</v>
      </c>
      <c r="S949" s="1">
        <f>_xlfn.NUMBERVALUE(tbl_data[[#This Row],[Price_USD]],".",",")</f>
        <v>13663.07</v>
      </c>
    </row>
    <row r="950" spans="1:19" x14ac:dyDescent="0.3">
      <c r="A950">
        <v>949</v>
      </c>
      <c r="B950" t="s">
        <v>69</v>
      </c>
      <c r="C950">
        <v>2017</v>
      </c>
      <c r="D950">
        <v>48472</v>
      </c>
      <c r="E950" t="s">
        <v>31</v>
      </c>
      <c r="F950" t="s">
        <v>14</v>
      </c>
      <c r="G950" t="s">
        <v>32</v>
      </c>
      <c r="H950">
        <v>3881</v>
      </c>
      <c r="I950" t="s">
        <v>1414</v>
      </c>
      <c r="J950" t="s">
        <v>2656</v>
      </c>
      <c r="K950">
        <v>7</v>
      </c>
      <c r="L950" t="s">
        <v>2657</v>
      </c>
      <c r="M950" s="1" t="str">
        <f>TEXT(DATE(tbl_data[[#This Row],[Model_Year]],1,1),"yyyy")</f>
        <v>2017</v>
      </c>
      <c r="N950" s="1" t="str">
        <f>IF(tbl_data[[#This Row],[Kilometers_Driven]]&lt;50000,"&lt;50k",
IF(tbl_data[[#This Row],[Kilometers_Driven]]&lt;100000,"50k-100k",
IF(tbl_data[[#This Row],[Kilometers_Driven]]&lt;150000,"100k-150k","150k+")))</f>
        <v>&lt;50k</v>
      </c>
      <c r="O950" s="1" t="str">
        <f>IF(tbl_data[[#This Row],[Price_USD]]&gt;=87089,"High",
IF(tbl_data[[#This Row],[Price_USD]]&gt;=56807,"Mid","Low"))</f>
        <v>High</v>
      </c>
      <c r="P950" s="1" t="str">
        <f>IF(tbl_data[[#This Row],[Transmission]]="Automatic","Auto","Manual")</f>
        <v>Manual</v>
      </c>
      <c r="Q950" s="1" t="str">
        <f>IFERROR(IF(VALUE(tbl_data[[#This Row],[Engine_CC]])=0,"",VALUE(tbl_data[[#This Row],[Price_USD]])/VALUE(tbl_data[[#This Row],[Engine_CC]])),"")</f>
        <v/>
      </c>
      <c r="R950" s="1" t="str">
        <f>TRIM(tbl_data[[#This Row],[Brand]])</f>
        <v>Hyundai</v>
      </c>
      <c r="S950" s="1">
        <f>_xlfn.NUMBERVALUE(tbl_data[[#This Row],[Price_USD]],".",",")</f>
        <v>87076.64</v>
      </c>
    </row>
    <row r="951" spans="1:19" x14ac:dyDescent="0.3">
      <c r="A951">
        <v>950</v>
      </c>
      <c r="B951" t="s">
        <v>43</v>
      </c>
      <c r="C951">
        <v>2013</v>
      </c>
      <c r="D951">
        <v>54437</v>
      </c>
      <c r="E951" t="s">
        <v>13</v>
      </c>
      <c r="F951" t="s">
        <v>21</v>
      </c>
      <c r="G951" t="s">
        <v>32</v>
      </c>
      <c r="H951">
        <v>3430</v>
      </c>
      <c r="I951" t="s">
        <v>2658</v>
      </c>
      <c r="J951" t="s">
        <v>1065</v>
      </c>
      <c r="K951">
        <v>2</v>
      </c>
      <c r="L951" t="s">
        <v>2659</v>
      </c>
      <c r="M951" s="1" t="str">
        <f>TEXT(DATE(tbl_data[[#This Row],[Model_Year]],1,1),"yyyy")</f>
        <v>2013</v>
      </c>
      <c r="N951" s="1" t="str">
        <f>IF(tbl_data[[#This Row],[Kilometers_Driven]]&lt;50000,"&lt;50k",
IF(tbl_data[[#This Row],[Kilometers_Driven]]&lt;100000,"50k-100k",
IF(tbl_data[[#This Row],[Kilometers_Driven]]&lt;150000,"100k-150k","150k+")))</f>
        <v>50k-100k</v>
      </c>
      <c r="O951" s="1" t="str">
        <f>IF(tbl_data[[#This Row],[Price_USD]]&gt;=87089,"High",
IF(tbl_data[[#This Row],[Price_USD]]&gt;=56807,"Mid","Low"))</f>
        <v>High</v>
      </c>
      <c r="P951" s="1" t="str">
        <f>IF(tbl_data[[#This Row],[Transmission]]="Automatic","Auto","Manual")</f>
        <v>Auto</v>
      </c>
      <c r="Q951" s="1" t="str">
        <f>IFERROR(IF(VALUE(tbl_data[[#This Row],[Engine_CC]])=0,"",VALUE(tbl_data[[#This Row],[Price_USD]])/VALUE(tbl_data[[#This Row],[Engine_CC]])),"")</f>
        <v/>
      </c>
      <c r="R951" s="1" t="str">
        <f>TRIM(tbl_data[[#This Row],[Brand]])</f>
        <v>Ford</v>
      </c>
      <c r="S951" s="1">
        <f>_xlfn.NUMBERVALUE(tbl_data[[#This Row],[Price_USD]],".",",")</f>
        <v>28007.19</v>
      </c>
    </row>
    <row r="952" spans="1:19" x14ac:dyDescent="0.3">
      <c r="A952">
        <v>951</v>
      </c>
      <c r="B952" t="s">
        <v>12</v>
      </c>
      <c r="C952">
        <v>2013</v>
      </c>
      <c r="D952">
        <v>185488</v>
      </c>
      <c r="E952" t="s">
        <v>13</v>
      </c>
      <c r="F952" t="s">
        <v>14</v>
      </c>
      <c r="G952" t="s">
        <v>15</v>
      </c>
      <c r="H952">
        <v>3961</v>
      </c>
      <c r="I952" t="s">
        <v>2660</v>
      </c>
      <c r="J952" t="s">
        <v>2661</v>
      </c>
      <c r="K952">
        <v>2</v>
      </c>
      <c r="L952" t="s">
        <v>2662</v>
      </c>
      <c r="M952" s="1" t="str">
        <f>TEXT(DATE(tbl_data[[#This Row],[Model_Year]],1,1),"yyyy")</f>
        <v>2013</v>
      </c>
      <c r="N952" s="1" t="str">
        <f>IF(tbl_data[[#This Row],[Kilometers_Driven]]&lt;50000,"&lt;50k",
IF(tbl_data[[#This Row],[Kilometers_Driven]]&lt;100000,"50k-100k",
IF(tbl_data[[#This Row],[Kilometers_Driven]]&lt;150000,"100k-150k","150k+")))</f>
        <v>150k+</v>
      </c>
      <c r="O952" s="1" t="str">
        <f>IF(tbl_data[[#This Row],[Price_USD]]&gt;=87089,"High",
IF(tbl_data[[#This Row],[Price_USD]]&gt;=56807,"Mid","Low"))</f>
        <v>High</v>
      </c>
      <c r="P952" s="1" t="str">
        <f>IF(tbl_data[[#This Row],[Transmission]]="Automatic","Auto","Manual")</f>
        <v>Manual</v>
      </c>
      <c r="Q952" s="1" t="str">
        <f>IFERROR(IF(VALUE(tbl_data[[#This Row],[Engine_CC]])=0,"",VALUE(tbl_data[[#This Row],[Price_USD]])/VALUE(tbl_data[[#This Row],[Engine_CC]])),"")</f>
        <v/>
      </c>
      <c r="R952" s="1" t="str">
        <f>TRIM(tbl_data[[#This Row],[Brand]])</f>
        <v>Audi</v>
      </c>
      <c r="S952" s="1">
        <f>_xlfn.NUMBERVALUE(tbl_data[[#This Row],[Price_USD]],".",",")</f>
        <v>26043.57</v>
      </c>
    </row>
    <row r="953" spans="1:19" x14ac:dyDescent="0.3">
      <c r="A953">
        <v>952</v>
      </c>
      <c r="B953" t="s">
        <v>43</v>
      </c>
      <c r="C953">
        <v>2019</v>
      </c>
      <c r="D953">
        <v>64711</v>
      </c>
      <c r="E953" t="s">
        <v>20</v>
      </c>
      <c r="F953" t="s">
        <v>21</v>
      </c>
      <c r="G953" t="s">
        <v>32</v>
      </c>
      <c r="H953">
        <v>1469</v>
      </c>
      <c r="I953" t="s">
        <v>2663</v>
      </c>
      <c r="J953" t="s">
        <v>2664</v>
      </c>
      <c r="K953">
        <v>2</v>
      </c>
      <c r="L953" t="s">
        <v>2665</v>
      </c>
      <c r="M953" s="1" t="str">
        <f>TEXT(DATE(tbl_data[[#This Row],[Model_Year]],1,1),"yyyy")</f>
        <v>2019</v>
      </c>
      <c r="N953" s="1" t="str">
        <f>IF(tbl_data[[#This Row],[Kilometers_Driven]]&lt;50000,"&lt;50k",
IF(tbl_data[[#This Row],[Kilometers_Driven]]&lt;100000,"50k-100k",
IF(tbl_data[[#This Row],[Kilometers_Driven]]&lt;150000,"100k-150k","150k+")))</f>
        <v>50k-100k</v>
      </c>
      <c r="O953" s="1" t="str">
        <f>IF(tbl_data[[#This Row],[Price_USD]]&gt;=87089,"High",
IF(tbl_data[[#This Row],[Price_USD]]&gt;=56807,"Mid","Low"))</f>
        <v>High</v>
      </c>
      <c r="P953" s="1" t="str">
        <f>IF(tbl_data[[#This Row],[Transmission]]="Automatic","Auto","Manual")</f>
        <v>Auto</v>
      </c>
      <c r="Q953" s="1" t="str">
        <f>IFERROR(IF(VALUE(tbl_data[[#This Row],[Engine_CC]])=0,"",VALUE(tbl_data[[#This Row],[Price_USD]])/VALUE(tbl_data[[#This Row],[Engine_CC]])),"")</f>
        <v/>
      </c>
      <c r="R953" s="1" t="str">
        <f>TRIM(tbl_data[[#This Row],[Brand]])</f>
        <v>Ford</v>
      </c>
      <c r="S953" s="1">
        <f>_xlfn.NUMBERVALUE(tbl_data[[#This Row],[Price_USD]],".",",")</f>
        <v>51292.72</v>
      </c>
    </row>
    <row r="954" spans="1:19" x14ac:dyDescent="0.3">
      <c r="A954">
        <v>953</v>
      </c>
      <c r="B954" t="s">
        <v>25</v>
      </c>
      <c r="C954">
        <v>2014</v>
      </c>
      <c r="D954">
        <v>142888</v>
      </c>
      <c r="E954" t="s">
        <v>31</v>
      </c>
      <c r="F954" t="s">
        <v>21</v>
      </c>
      <c r="G954" t="s">
        <v>15</v>
      </c>
      <c r="H954">
        <v>3968</v>
      </c>
      <c r="I954" t="s">
        <v>2666</v>
      </c>
      <c r="J954" t="s">
        <v>2667</v>
      </c>
      <c r="K954">
        <v>5</v>
      </c>
      <c r="L954" t="s">
        <v>2668</v>
      </c>
      <c r="M954" s="1" t="str">
        <f>TEXT(DATE(tbl_data[[#This Row],[Model_Year]],1,1),"yyyy")</f>
        <v>2014</v>
      </c>
      <c r="N954" s="1" t="str">
        <f>IF(tbl_data[[#This Row],[Kilometers_Driven]]&lt;50000,"&lt;50k",
IF(tbl_data[[#This Row],[Kilometers_Driven]]&lt;100000,"50k-100k",
IF(tbl_data[[#This Row],[Kilometers_Driven]]&lt;150000,"100k-150k","150k+")))</f>
        <v>100k-150k</v>
      </c>
      <c r="O954" s="1" t="str">
        <f>IF(tbl_data[[#This Row],[Price_USD]]&gt;=87089,"High",
IF(tbl_data[[#This Row],[Price_USD]]&gt;=56807,"Mid","Low"))</f>
        <v>High</v>
      </c>
      <c r="P954" s="1" t="str">
        <f>IF(tbl_data[[#This Row],[Transmission]]="Automatic","Auto","Manual")</f>
        <v>Auto</v>
      </c>
      <c r="Q954" s="1" t="str">
        <f>IFERROR(IF(VALUE(tbl_data[[#This Row],[Engine_CC]])=0,"",VALUE(tbl_data[[#This Row],[Price_USD]])/VALUE(tbl_data[[#This Row],[Engine_CC]])),"")</f>
        <v/>
      </c>
      <c r="R954" s="1" t="str">
        <f>TRIM(tbl_data[[#This Row],[Brand]])</f>
        <v>Kia</v>
      </c>
      <c r="S954" s="1">
        <f>_xlfn.NUMBERVALUE(tbl_data[[#This Row],[Price_USD]],".",",")</f>
        <v>29650.07</v>
      </c>
    </row>
    <row r="955" spans="1:19" x14ac:dyDescent="0.3">
      <c r="A955">
        <v>954</v>
      </c>
      <c r="B955" t="s">
        <v>39</v>
      </c>
      <c r="C955">
        <v>2014</v>
      </c>
      <c r="D955">
        <v>82175</v>
      </c>
      <c r="E955" t="s">
        <v>44</v>
      </c>
      <c r="F955" t="s">
        <v>14</v>
      </c>
      <c r="G955" t="s">
        <v>26</v>
      </c>
      <c r="H955">
        <v>2921</v>
      </c>
      <c r="I955" t="s">
        <v>2669</v>
      </c>
      <c r="J955" t="s">
        <v>2670</v>
      </c>
      <c r="K955">
        <v>7</v>
      </c>
      <c r="L955" t="s">
        <v>2671</v>
      </c>
      <c r="M955" s="1" t="str">
        <f>TEXT(DATE(tbl_data[[#This Row],[Model_Year]],1,1),"yyyy")</f>
        <v>2014</v>
      </c>
      <c r="N955" s="1" t="str">
        <f>IF(tbl_data[[#This Row],[Kilometers_Driven]]&lt;50000,"&lt;50k",
IF(tbl_data[[#This Row],[Kilometers_Driven]]&lt;100000,"50k-100k",
IF(tbl_data[[#This Row],[Kilometers_Driven]]&lt;150000,"100k-150k","150k+")))</f>
        <v>50k-100k</v>
      </c>
      <c r="O955" s="1" t="str">
        <f>IF(tbl_data[[#This Row],[Price_USD]]&gt;=87089,"High",
IF(tbl_data[[#This Row],[Price_USD]]&gt;=56807,"Mid","Low"))</f>
        <v>High</v>
      </c>
      <c r="P955" s="1" t="str">
        <f>IF(tbl_data[[#This Row],[Transmission]]="Automatic","Auto","Manual")</f>
        <v>Manual</v>
      </c>
      <c r="Q955" s="1" t="str">
        <f>IFERROR(IF(VALUE(tbl_data[[#This Row],[Engine_CC]])=0,"",VALUE(tbl_data[[#This Row],[Price_USD]])/VALUE(tbl_data[[#This Row],[Engine_CC]])),"")</f>
        <v/>
      </c>
      <c r="R955" s="1" t="str">
        <f>TRIM(tbl_data[[#This Row],[Brand]])</f>
        <v>Volkswagen</v>
      </c>
      <c r="S955" s="1">
        <f>_xlfn.NUMBERVALUE(tbl_data[[#This Row],[Price_USD]],".",",")</f>
        <v>71311.42</v>
      </c>
    </row>
    <row r="956" spans="1:19" x14ac:dyDescent="0.3">
      <c r="A956">
        <v>955</v>
      </c>
      <c r="B956" t="s">
        <v>19</v>
      </c>
      <c r="C956">
        <v>2012</v>
      </c>
      <c r="D956">
        <v>69307</v>
      </c>
      <c r="E956" t="s">
        <v>20</v>
      </c>
      <c r="F956" t="s">
        <v>21</v>
      </c>
      <c r="G956" t="s">
        <v>32</v>
      </c>
      <c r="H956">
        <v>4878</v>
      </c>
      <c r="I956" t="s">
        <v>2672</v>
      </c>
      <c r="J956" t="s">
        <v>271</v>
      </c>
      <c r="K956">
        <v>4</v>
      </c>
      <c r="L956" t="s">
        <v>2673</v>
      </c>
      <c r="M956" s="1" t="str">
        <f>TEXT(DATE(tbl_data[[#This Row],[Model_Year]],1,1),"yyyy")</f>
        <v>2012</v>
      </c>
      <c r="N956" s="1" t="str">
        <f>IF(tbl_data[[#This Row],[Kilometers_Driven]]&lt;50000,"&lt;50k",
IF(tbl_data[[#This Row],[Kilometers_Driven]]&lt;100000,"50k-100k",
IF(tbl_data[[#This Row],[Kilometers_Driven]]&lt;150000,"100k-150k","150k+")))</f>
        <v>50k-100k</v>
      </c>
      <c r="O956" s="1" t="str">
        <f>IF(tbl_data[[#This Row],[Price_USD]]&gt;=87089,"High",
IF(tbl_data[[#This Row],[Price_USD]]&gt;=56807,"Mid","Low"))</f>
        <v>High</v>
      </c>
      <c r="P956" s="1" t="str">
        <f>IF(tbl_data[[#This Row],[Transmission]]="Automatic","Auto","Manual")</f>
        <v>Auto</v>
      </c>
      <c r="Q956" s="1" t="str">
        <f>IFERROR(IF(VALUE(tbl_data[[#This Row],[Engine_CC]])=0,"",VALUE(tbl_data[[#This Row],[Price_USD]])/VALUE(tbl_data[[#This Row],[Engine_CC]])),"")</f>
        <v/>
      </c>
      <c r="R956" s="1" t="str">
        <f>TRIM(tbl_data[[#This Row],[Brand]])</f>
        <v>BMW</v>
      </c>
      <c r="S956" s="1">
        <f>_xlfn.NUMBERVALUE(tbl_data[[#This Row],[Price_USD]],".",",")</f>
        <v>46461.21</v>
      </c>
    </row>
    <row r="957" spans="1:19" x14ac:dyDescent="0.3">
      <c r="A957">
        <v>956</v>
      </c>
      <c r="B957" t="s">
        <v>92</v>
      </c>
      <c r="C957">
        <v>2020</v>
      </c>
      <c r="D957">
        <v>51733</v>
      </c>
      <c r="E957" t="s">
        <v>44</v>
      </c>
      <c r="F957" t="s">
        <v>21</v>
      </c>
      <c r="G957" t="s">
        <v>32</v>
      </c>
      <c r="H957">
        <v>4951</v>
      </c>
      <c r="I957" t="s">
        <v>2674</v>
      </c>
      <c r="J957" t="s">
        <v>2675</v>
      </c>
      <c r="K957">
        <v>4</v>
      </c>
      <c r="L957" t="s">
        <v>2676</v>
      </c>
      <c r="M957" s="1" t="str">
        <f>TEXT(DATE(tbl_data[[#This Row],[Model_Year]],1,1),"yyyy")</f>
        <v>2020</v>
      </c>
      <c r="N957" s="1" t="str">
        <f>IF(tbl_data[[#This Row],[Kilometers_Driven]]&lt;50000,"&lt;50k",
IF(tbl_data[[#This Row],[Kilometers_Driven]]&lt;100000,"50k-100k",
IF(tbl_data[[#This Row],[Kilometers_Driven]]&lt;150000,"100k-150k","150k+")))</f>
        <v>50k-100k</v>
      </c>
      <c r="O957" s="1" t="str">
        <f>IF(tbl_data[[#This Row],[Price_USD]]&gt;=87089,"High",
IF(tbl_data[[#This Row],[Price_USD]]&gt;=56807,"Mid","Low"))</f>
        <v>High</v>
      </c>
      <c r="P957" s="1" t="str">
        <f>IF(tbl_data[[#This Row],[Transmission]]="Automatic","Auto","Manual")</f>
        <v>Auto</v>
      </c>
      <c r="Q957" s="1" t="str">
        <f>IFERROR(IF(VALUE(tbl_data[[#This Row],[Engine_CC]])=0,"",VALUE(tbl_data[[#This Row],[Price_USD]])/VALUE(tbl_data[[#This Row],[Engine_CC]])),"")</f>
        <v/>
      </c>
      <c r="R957" s="1" t="str">
        <f>TRIM(tbl_data[[#This Row],[Brand]])</f>
        <v>Toyota</v>
      </c>
      <c r="S957" s="1">
        <f>_xlfn.NUMBERVALUE(tbl_data[[#This Row],[Price_USD]],".",",")</f>
        <v>55522.67</v>
      </c>
    </row>
    <row r="958" spans="1:19" x14ac:dyDescent="0.3">
      <c r="A958">
        <v>957</v>
      </c>
      <c r="B958" t="s">
        <v>19</v>
      </c>
      <c r="C958">
        <v>2021</v>
      </c>
      <c r="D958">
        <v>133202</v>
      </c>
      <c r="E958" t="s">
        <v>20</v>
      </c>
      <c r="F958" t="s">
        <v>14</v>
      </c>
      <c r="G958" t="s">
        <v>32</v>
      </c>
      <c r="H958">
        <v>1519</v>
      </c>
      <c r="I958" t="s">
        <v>2677</v>
      </c>
      <c r="J958" t="s">
        <v>2678</v>
      </c>
      <c r="K958">
        <v>7</v>
      </c>
      <c r="L958" t="s">
        <v>2679</v>
      </c>
      <c r="M958" s="1" t="str">
        <f>TEXT(DATE(tbl_data[[#This Row],[Model_Year]],1,1),"yyyy")</f>
        <v>2021</v>
      </c>
      <c r="N958" s="1" t="str">
        <f>IF(tbl_data[[#This Row],[Kilometers_Driven]]&lt;50000,"&lt;50k",
IF(tbl_data[[#This Row],[Kilometers_Driven]]&lt;100000,"50k-100k",
IF(tbl_data[[#This Row],[Kilometers_Driven]]&lt;150000,"100k-150k","150k+")))</f>
        <v>100k-150k</v>
      </c>
      <c r="O958" s="1" t="str">
        <f>IF(tbl_data[[#This Row],[Price_USD]]&gt;=87089,"High",
IF(tbl_data[[#This Row],[Price_USD]]&gt;=56807,"Mid","Low"))</f>
        <v>High</v>
      </c>
      <c r="P958" s="1" t="str">
        <f>IF(tbl_data[[#This Row],[Transmission]]="Automatic","Auto","Manual")</f>
        <v>Manual</v>
      </c>
      <c r="Q958" s="1" t="str">
        <f>IFERROR(IF(VALUE(tbl_data[[#This Row],[Engine_CC]])=0,"",VALUE(tbl_data[[#This Row],[Price_USD]])/VALUE(tbl_data[[#This Row],[Engine_CC]])),"")</f>
        <v/>
      </c>
      <c r="R958" s="1" t="str">
        <f>TRIM(tbl_data[[#This Row],[Brand]])</f>
        <v>BMW</v>
      </c>
      <c r="S958" s="1">
        <f>_xlfn.NUMBERVALUE(tbl_data[[#This Row],[Price_USD]],".",",")</f>
        <v>65848.81</v>
      </c>
    </row>
    <row r="959" spans="1:19" x14ac:dyDescent="0.3">
      <c r="A959">
        <v>958</v>
      </c>
      <c r="B959" t="s">
        <v>12</v>
      </c>
      <c r="C959">
        <v>2009</v>
      </c>
      <c r="D959">
        <v>100028</v>
      </c>
      <c r="E959" t="s">
        <v>13</v>
      </c>
      <c r="F959" t="s">
        <v>21</v>
      </c>
      <c r="G959" t="s">
        <v>26</v>
      </c>
      <c r="H959">
        <v>3400</v>
      </c>
      <c r="I959" t="s">
        <v>2680</v>
      </c>
      <c r="J959" t="s">
        <v>2681</v>
      </c>
      <c r="K959">
        <v>7</v>
      </c>
      <c r="L959" t="s">
        <v>2682</v>
      </c>
      <c r="M959" s="1" t="str">
        <f>TEXT(DATE(tbl_data[[#This Row],[Model_Year]],1,1),"yyyy")</f>
        <v>2009</v>
      </c>
      <c r="N959" s="1" t="str">
        <f>IF(tbl_data[[#This Row],[Kilometers_Driven]]&lt;50000,"&lt;50k",
IF(tbl_data[[#This Row],[Kilometers_Driven]]&lt;100000,"50k-100k",
IF(tbl_data[[#This Row],[Kilometers_Driven]]&lt;150000,"100k-150k","150k+")))</f>
        <v>100k-150k</v>
      </c>
      <c r="O959" s="1" t="str">
        <f>IF(tbl_data[[#This Row],[Price_USD]]&gt;=87089,"High",
IF(tbl_data[[#This Row],[Price_USD]]&gt;=56807,"Mid","Low"))</f>
        <v>High</v>
      </c>
      <c r="P959" s="1" t="str">
        <f>IF(tbl_data[[#This Row],[Transmission]]="Automatic","Auto","Manual")</f>
        <v>Auto</v>
      </c>
      <c r="Q959" s="1" t="str">
        <f>IFERROR(IF(VALUE(tbl_data[[#This Row],[Engine_CC]])=0,"",VALUE(tbl_data[[#This Row],[Price_USD]])/VALUE(tbl_data[[#This Row],[Engine_CC]])),"")</f>
        <v/>
      </c>
      <c r="R959" s="1" t="str">
        <f>TRIM(tbl_data[[#This Row],[Brand]])</f>
        <v>Audi</v>
      </c>
      <c r="S959" s="1">
        <f>_xlfn.NUMBERVALUE(tbl_data[[#This Row],[Price_USD]],".",",")</f>
        <v>26813.66</v>
      </c>
    </row>
    <row r="960" spans="1:19" x14ac:dyDescent="0.3">
      <c r="A960">
        <v>959</v>
      </c>
      <c r="B960" t="s">
        <v>19</v>
      </c>
      <c r="C960">
        <v>2008</v>
      </c>
      <c r="D960">
        <v>147312</v>
      </c>
      <c r="E960" t="s">
        <v>20</v>
      </c>
      <c r="F960" t="s">
        <v>14</v>
      </c>
      <c r="G960" t="s">
        <v>32</v>
      </c>
      <c r="H960">
        <v>4398</v>
      </c>
      <c r="I960" t="s">
        <v>2683</v>
      </c>
      <c r="J960" t="s">
        <v>348</v>
      </c>
      <c r="K960">
        <v>7</v>
      </c>
      <c r="L960" t="s">
        <v>2684</v>
      </c>
      <c r="M960" s="1" t="str">
        <f>TEXT(DATE(tbl_data[[#This Row],[Model_Year]],1,1),"yyyy")</f>
        <v>2008</v>
      </c>
      <c r="N960" s="1" t="str">
        <f>IF(tbl_data[[#This Row],[Kilometers_Driven]]&lt;50000,"&lt;50k",
IF(tbl_data[[#This Row],[Kilometers_Driven]]&lt;100000,"50k-100k",
IF(tbl_data[[#This Row],[Kilometers_Driven]]&lt;150000,"100k-150k","150k+")))</f>
        <v>100k-150k</v>
      </c>
      <c r="O960" s="1" t="str">
        <f>IF(tbl_data[[#This Row],[Price_USD]]&gt;=87089,"High",
IF(tbl_data[[#This Row],[Price_USD]]&gt;=56807,"Mid","Low"))</f>
        <v>High</v>
      </c>
      <c r="P960" s="1" t="str">
        <f>IF(tbl_data[[#This Row],[Transmission]]="Automatic","Auto","Manual")</f>
        <v>Manual</v>
      </c>
      <c r="Q960" s="1" t="str">
        <f>IFERROR(IF(VALUE(tbl_data[[#This Row],[Engine_CC]])=0,"",VALUE(tbl_data[[#This Row],[Price_USD]])/VALUE(tbl_data[[#This Row],[Engine_CC]])),"")</f>
        <v/>
      </c>
      <c r="R960" s="1" t="str">
        <f>TRIM(tbl_data[[#This Row],[Brand]])</f>
        <v>BMW</v>
      </c>
      <c r="S960" s="1">
        <f>_xlfn.NUMBERVALUE(tbl_data[[#This Row],[Price_USD]],".",",")</f>
        <v>21222.94</v>
      </c>
    </row>
    <row r="961" spans="1:19" x14ac:dyDescent="0.3">
      <c r="A961">
        <v>960</v>
      </c>
      <c r="B961" t="s">
        <v>69</v>
      </c>
      <c r="C961">
        <v>2022</v>
      </c>
      <c r="D961">
        <v>97493</v>
      </c>
      <c r="E961" t="s">
        <v>13</v>
      </c>
      <c r="F961" t="s">
        <v>14</v>
      </c>
      <c r="G961" t="s">
        <v>15</v>
      </c>
      <c r="H961">
        <v>1466</v>
      </c>
      <c r="I961" t="s">
        <v>2685</v>
      </c>
      <c r="J961" t="s">
        <v>2686</v>
      </c>
      <c r="K961">
        <v>7</v>
      </c>
      <c r="L961" t="s">
        <v>2687</v>
      </c>
      <c r="M961" s="1" t="str">
        <f>TEXT(DATE(tbl_data[[#This Row],[Model_Year]],1,1),"yyyy")</f>
        <v>2022</v>
      </c>
      <c r="N961" s="1" t="str">
        <f>IF(tbl_data[[#This Row],[Kilometers_Driven]]&lt;50000,"&lt;50k",
IF(tbl_data[[#This Row],[Kilometers_Driven]]&lt;100000,"50k-100k",
IF(tbl_data[[#This Row],[Kilometers_Driven]]&lt;150000,"100k-150k","150k+")))</f>
        <v>50k-100k</v>
      </c>
      <c r="O961" s="1" t="str">
        <f>IF(tbl_data[[#This Row],[Price_USD]]&gt;=87089,"High",
IF(tbl_data[[#This Row],[Price_USD]]&gt;=56807,"Mid","Low"))</f>
        <v>High</v>
      </c>
      <c r="P961" s="1" t="str">
        <f>IF(tbl_data[[#This Row],[Transmission]]="Automatic","Auto","Manual")</f>
        <v>Manual</v>
      </c>
      <c r="Q961" s="1" t="str">
        <f>IFERROR(IF(VALUE(tbl_data[[#This Row],[Engine_CC]])=0,"",VALUE(tbl_data[[#This Row],[Price_USD]])/VALUE(tbl_data[[#This Row],[Engine_CC]])),"")</f>
        <v/>
      </c>
      <c r="R961" s="1" t="str">
        <f>TRIM(tbl_data[[#This Row],[Brand]])</f>
        <v>Hyundai</v>
      </c>
      <c r="S961" s="1">
        <f>_xlfn.NUMBERVALUE(tbl_data[[#This Row],[Price_USD]],".",",")</f>
        <v>106009.36</v>
      </c>
    </row>
    <row r="962" spans="1:19" x14ac:dyDescent="0.3">
      <c r="A962">
        <v>961</v>
      </c>
      <c r="B962" t="s">
        <v>102</v>
      </c>
      <c r="C962">
        <v>2023</v>
      </c>
      <c r="D962">
        <v>130149</v>
      </c>
      <c r="E962" t="s">
        <v>20</v>
      </c>
      <c r="F962" t="s">
        <v>14</v>
      </c>
      <c r="G962" t="s">
        <v>15</v>
      </c>
      <c r="H962">
        <v>1083</v>
      </c>
      <c r="I962" t="s">
        <v>2688</v>
      </c>
      <c r="J962" t="s">
        <v>2689</v>
      </c>
      <c r="K962">
        <v>5</v>
      </c>
      <c r="L962" t="s">
        <v>2690</v>
      </c>
      <c r="M962" s="1" t="str">
        <f>TEXT(DATE(tbl_data[[#This Row],[Model_Year]],1,1),"yyyy")</f>
        <v>2023</v>
      </c>
      <c r="N962" s="1" t="str">
        <f>IF(tbl_data[[#This Row],[Kilometers_Driven]]&lt;50000,"&lt;50k",
IF(tbl_data[[#This Row],[Kilometers_Driven]]&lt;100000,"50k-100k",
IF(tbl_data[[#This Row],[Kilometers_Driven]]&lt;150000,"100k-150k","150k+")))</f>
        <v>100k-150k</v>
      </c>
      <c r="O962" s="1" t="str">
        <f>IF(tbl_data[[#This Row],[Price_USD]]&gt;=87089,"High",
IF(tbl_data[[#This Row],[Price_USD]]&gt;=56807,"Mid","Low"))</f>
        <v>High</v>
      </c>
      <c r="P962" s="1" t="str">
        <f>IF(tbl_data[[#This Row],[Transmission]]="Automatic","Auto","Manual")</f>
        <v>Manual</v>
      </c>
      <c r="Q962" s="1" t="str">
        <f>IFERROR(IF(VALUE(tbl_data[[#This Row],[Engine_CC]])=0,"",VALUE(tbl_data[[#This Row],[Price_USD]])/VALUE(tbl_data[[#This Row],[Engine_CC]])),"")</f>
        <v/>
      </c>
      <c r="R962" s="1" t="str">
        <f>TRIM(tbl_data[[#This Row],[Brand]])</f>
        <v>Nissan</v>
      </c>
      <c r="S962" s="1">
        <f>_xlfn.NUMBERVALUE(tbl_data[[#This Row],[Price_USD]],".",",")</f>
        <v>53745.67</v>
      </c>
    </row>
    <row r="963" spans="1:19" x14ac:dyDescent="0.3">
      <c r="A963">
        <v>962</v>
      </c>
      <c r="B963" t="s">
        <v>92</v>
      </c>
      <c r="C963">
        <v>2008</v>
      </c>
      <c r="D963">
        <v>168834</v>
      </c>
      <c r="E963" t="s">
        <v>31</v>
      </c>
      <c r="F963" t="s">
        <v>21</v>
      </c>
      <c r="G963" t="s">
        <v>32</v>
      </c>
      <c r="H963">
        <v>4703</v>
      </c>
      <c r="I963" t="s">
        <v>2691</v>
      </c>
      <c r="J963" t="s">
        <v>1581</v>
      </c>
      <c r="K963">
        <v>4</v>
      </c>
      <c r="L963" t="s">
        <v>2692</v>
      </c>
      <c r="M963" s="1" t="str">
        <f>TEXT(DATE(tbl_data[[#This Row],[Model_Year]],1,1),"yyyy")</f>
        <v>2008</v>
      </c>
      <c r="N963" s="1" t="str">
        <f>IF(tbl_data[[#This Row],[Kilometers_Driven]]&lt;50000,"&lt;50k",
IF(tbl_data[[#This Row],[Kilometers_Driven]]&lt;100000,"50k-100k",
IF(tbl_data[[#This Row],[Kilometers_Driven]]&lt;150000,"100k-150k","150k+")))</f>
        <v>150k+</v>
      </c>
      <c r="O963" s="1" t="str">
        <f>IF(tbl_data[[#This Row],[Price_USD]]&gt;=87089,"High",
IF(tbl_data[[#This Row],[Price_USD]]&gt;=56807,"Mid","Low"))</f>
        <v>High</v>
      </c>
      <c r="P963" s="1" t="str">
        <f>IF(tbl_data[[#This Row],[Transmission]]="Automatic","Auto","Manual")</f>
        <v>Auto</v>
      </c>
      <c r="Q963" s="1" t="str">
        <f>IFERROR(IF(VALUE(tbl_data[[#This Row],[Engine_CC]])=0,"",VALUE(tbl_data[[#This Row],[Price_USD]])/VALUE(tbl_data[[#This Row],[Engine_CC]])),"")</f>
        <v/>
      </c>
      <c r="R963" s="1" t="str">
        <f>TRIM(tbl_data[[#This Row],[Brand]])</f>
        <v>Toyota</v>
      </c>
      <c r="S963" s="1">
        <f>_xlfn.NUMBERVALUE(tbl_data[[#This Row],[Price_USD]],".",",")</f>
        <v>51214.95</v>
      </c>
    </row>
    <row r="964" spans="1:19" x14ac:dyDescent="0.3">
      <c r="A964">
        <v>963</v>
      </c>
      <c r="B964" t="s">
        <v>30</v>
      </c>
      <c r="C964">
        <v>2011</v>
      </c>
      <c r="D964">
        <v>13259</v>
      </c>
      <c r="E964" t="s">
        <v>44</v>
      </c>
      <c r="F964" t="s">
        <v>14</v>
      </c>
      <c r="G964" t="s">
        <v>32</v>
      </c>
      <c r="H964">
        <v>4365</v>
      </c>
      <c r="I964" t="s">
        <v>2219</v>
      </c>
      <c r="J964" t="s">
        <v>2693</v>
      </c>
      <c r="K964">
        <v>6</v>
      </c>
      <c r="L964" t="s">
        <v>2694</v>
      </c>
      <c r="M964" s="1" t="str">
        <f>TEXT(DATE(tbl_data[[#This Row],[Model_Year]],1,1),"yyyy")</f>
        <v>2011</v>
      </c>
      <c r="N964" s="1" t="str">
        <f>IF(tbl_data[[#This Row],[Kilometers_Driven]]&lt;50000,"&lt;50k",
IF(tbl_data[[#This Row],[Kilometers_Driven]]&lt;100000,"50k-100k",
IF(tbl_data[[#This Row],[Kilometers_Driven]]&lt;150000,"100k-150k","150k+")))</f>
        <v>&lt;50k</v>
      </c>
      <c r="O964" s="1" t="str">
        <f>IF(tbl_data[[#This Row],[Price_USD]]&gt;=87089,"High",
IF(tbl_data[[#This Row],[Price_USD]]&gt;=56807,"Mid","Low"))</f>
        <v>High</v>
      </c>
      <c r="P964" s="1" t="str">
        <f>IF(tbl_data[[#This Row],[Transmission]]="Automatic","Auto","Manual")</f>
        <v>Manual</v>
      </c>
      <c r="Q964" s="1" t="str">
        <f>IFERROR(IF(VALUE(tbl_data[[#This Row],[Engine_CC]])=0,"",VALUE(tbl_data[[#This Row],[Price_USD]])/VALUE(tbl_data[[#This Row],[Engine_CC]])),"")</f>
        <v/>
      </c>
      <c r="R964" s="1" t="str">
        <f>TRIM(tbl_data[[#This Row],[Brand]])</f>
        <v>Mercedes</v>
      </c>
      <c r="S964" s="1">
        <f>_xlfn.NUMBERVALUE(tbl_data[[#This Row],[Price_USD]],".",",")</f>
        <v>7166.62</v>
      </c>
    </row>
    <row r="965" spans="1:19" x14ac:dyDescent="0.3">
      <c r="A965">
        <v>964</v>
      </c>
      <c r="B965" t="s">
        <v>12</v>
      </c>
      <c r="C965">
        <v>2014</v>
      </c>
      <c r="D965">
        <v>186211</v>
      </c>
      <c r="E965" t="s">
        <v>31</v>
      </c>
      <c r="F965" t="s">
        <v>14</v>
      </c>
      <c r="G965" t="s">
        <v>26</v>
      </c>
      <c r="H965">
        <v>3034</v>
      </c>
      <c r="I965" t="s">
        <v>2695</v>
      </c>
      <c r="J965" t="s">
        <v>2696</v>
      </c>
      <c r="K965">
        <v>4</v>
      </c>
      <c r="L965" t="s">
        <v>2697</v>
      </c>
      <c r="M965" s="1" t="str">
        <f>TEXT(DATE(tbl_data[[#This Row],[Model_Year]],1,1),"yyyy")</f>
        <v>2014</v>
      </c>
      <c r="N965" s="1" t="str">
        <f>IF(tbl_data[[#This Row],[Kilometers_Driven]]&lt;50000,"&lt;50k",
IF(tbl_data[[#This Row],[Kilometers_Driven]]&lt;100000,"50k-100k",
IF(tbl_data[[#This Row],[Kilometers_Driven]]&lt;150000,"100k-150k","150k+")))</f>
        <v>150k+</v>
      </c>
      <c r="O965" s="1" t="str">
        <f>IF(tbl_data[[#This Row],[Price_USD]]&gt;=87089,"High",
IF(tbl_data[[#This Row],[Price_USD]]&gt;=56807,"Mid","Low"))</f>
        <v>High</v>
      </c>
      <c r="P965" s="1" t="str">
        <f>IF(tbl_data[[#This Row],[Transmission]]="Automatic","Auto","Manual")</f>
        <v>Manual</v>
      </c>
      <c r="Q965" s="1" t="str">
        <f>IFERROR(IF(VALUE(tbl_data[[#This Row],[Engine_CC]])=0,"",VALUE(tbl_data[[#This Row],[Price_USD]])/VALUE(tbl_data[[#This Row],[Engine_CC]])),"")</f>
        <v/>
      </c>
      <c r="R965" s="1" t="str">
        <f>TRIM(tbl_data[[#This Row],[Brand]])</f>
        <v>Audi</v>
      </c>
      <c r="S965" s="1">
        <f>_xlfn.NUMBERVALUE(tbl_data[[#This Row],[Price_USD]],".",",")</f>
        <v>61263.23</v>
      </c>
    </row>
    <row r="966" spans="1:19" x14ac:dyDescent="0.3">
      <c r="A966">
        <v>965</v>
      </c>
      <c r="B966" t="s">
        <v>92</v>
      </c>
      <c r="C966">
        <v>2022</v>
      </c>
      <c r="D966">
        <v>133775</v>
      </c>
      <c r="E966" t="s">
        <v>20</v>
      </c>
      <c r="F966" t="s">
        <v>21</v>
      </c>
      <c r="G966" t="s">
        <v>26</v>
      </c>
      <c r="H966">
        <v>2265</v>
      </c>
      <c r="I966" t="s">
        <v>2698</v>
      </c>
      <c r="J966" t="s">
        <v>2699</v>
      </c>
      <c r="K966">
        <v>4</v>
      </c>
      <c r="L966" t="s">
        <v>2700</v>
      </c>
      <c r="M966" s="1" t="str">
        <f>TEXT(DATE(tbl_data[[#This Row],[Model_Year]],1,1),"yyyy")</f>
        <v>2022</v>
      </c>
      <c r="N966" s="1" t="str">
        <f>IF(tbl_data[[#This Row],[Kilometers_Driven]]&lt;50000,"&lt;50k",
IF(tbl_data[[#This Row],[Kilometers_Driven]]&lt;100000,"50k-100k",
IF(tbl_data[[#This Row],[Kilometers_Driven]]&lt;150000,"100k-150k","150k+")))</f>
        <v>100k-150k</v>
      </c>
      <c r="O966" s="1" t="str">
        <f>IF(tbl_data[[#This Row],[Price_USD]]&gt;=87089,"High",
IF(tbl_data[[#This Row],[Price_USD]]&gt;=56807,"Mid","Low"))</f>
        <v>High</v>
      </c>
      <c r="P966" s="1" t="str">
        <f>IF(tbl_data[[#This Row],[Transmission]]="Automatic","Auto","Manual")</f>
        <v>Auto</v>
      </c>
      <c r="Q966" s="1" t="str">
        <f>IFERROR(IF(VALUE(tbl_data[[#This Row],[Engine_CC]])=0,"",VALUE(tbl_data[[#This Row],[Price_USD]])/VALUE(tbl_data[[#This Row],[Engine_CC]])),"")</f>
        <v/>
      </c>
      <c r="R966" s="1" t="str">
        <f>TRIM(tbl_data[[#This Row],[Brand]])</f>
        <v>Toyota</v>
      </c>
      <c r="S966" s="1">
        <f>_xlfn.NUMBERVALUE(tbl_data[[#This Row],[Price_USD]],".",",")</f>
        <v>67837.86</v>
      </c>
    </row>
    <row r="967" spans="1:19" x14ac:dyDescent="0.3">
      <c r="A967">
        <v>966</v>
      </c>
      <c r="B967" t="s">
        <v>19</v>
      </c>
      <c r="C967">
        <v>2023</v>
      </c>
      <c r="D967">
        <v>19849</v>
      </c>
      <c r="E967" t="s">
        <v>20</v>
      </c>
      <c r="F967" t="s">
        <v>14</v>
      </c>
      <c r="G967" t="s">
        <v>26</v>
      </c>
      <c r="H967">
        <v>929</v>
      </c>
      <c r="I967" t="s">
        <v>2430</v>
      </c>
      <c r="J967" t="s">
        <v>537</v>
      </c>
      <c r="K967">
        <v>2</v>
      </c>
      <c r="L967" t="s">
        <v>2701</v>
      </c>
      <c r="M967" s="1" t="str">
        <f>TEXT(DATE(tbl_data[[#This Row],[Model_Year]],1,1),"yyyy")</f>
        <v>2023</v>
      </c>
      <c r="N967" s="1" t="str">
        <f>IF(tbl_data[[#This Row],[Kilometers_Driven]]&lt;50000,"&lt;50k",
IF(tbl_data[[#This Row],[Kilometers_Driven]]&lt;100000,"50k-100k",
IF(tbl_data[[#This Row],[Kilometers_Driven]]&lt;150000,"100k-150k","150k+")))</f>
        <v>&lt;50k</v>
      </c>
      <c r="O967" s="1" t="str">
        <f>IF(tbl_data[[#This Row],[Price_USD]]&gt;=87089,"High",
IF(tbl_data[[#This Row],[Price_USD]]&gt;=56807,"Mid","Low"))</f>
        <v>High</v>
      </c>
      <c r="P967" s="1" t="str">
        <f>IF(tbl_data[[#This Row],[Transmission]]="Automatic","Auto","Manual")</f>
        <v>Manual</v>
      </c>
      <c r="Q967" s="1" t="str">
        <f>IFERROR(IF(VALUE(tbl_data[[#This Row],[Engine_CC]])=0,"",VALUE(tbl_data[[#This Row],[Price_USD]])/VALUE(tbl_data[[#This Row],[Engine_CC]])),"")</f>
        <v/>
      </c>
      <c r="R967" s="1" t="str">
        <f>TRIM(tbl_data[[#This Row],[Brand]])</f>
        <v>BMW</v>
      </c>
      <c r="S967" s="1">
        <f>_xlfn.NUMBERVALUE(tbl_data[[#This Row],[Price_USD]],".",",")</f>
        <v>68384.38</v>
      </c>
    </row>
    <row r="968" spans="1:19" x14ac:dyDescent="0.3">
      <c r="A968">
        <v>967</v>
      </c>
      <c r="B968" t="s">
        <v>69</v>
      </c>
      <c r="C968">
        <v>2008</v>
      </c>
      <c r="D968">
        <v>86768</v>
      </c>
      <c r="E968" t="s">
        <v>20</v>
      </c>
      <c r="F968" t="s">
        <v>21</v>
      </c>
      <c r="G968" t="s">
        <v>32</v>
      </c>
      <c r="H968">
        <v>2860</v>
      </c>
      <c r="I968" t="s">
        <v>2702</v>
      </c>
      <c r="J968" t="s">
        <v>2703</v>
      </c>
      <c r="K968">
        <v>7</v>
      </c>
      <c r="L968" t="s">
        <v>2704</v>
      </c>
      <c r="M968" s="1" t="str">
        <f>TEXT(DATE(tbl_data[[#This Row],[Model_Year]],1,1),"yyyy")</f>
        <v>2008</v>
      </c>
      <c r="N968" s="1" t="str">
        <f>IF(tbl_data[[#This Row],[Kilometers_Driven]]&lt;50000,"&lt;50k",
IF(tbl_data[[#This Row],[Kilometers_Driven]]&lt;100000,"50k-100k",
IF(tbl_data[[#This Row],[Kilometers_Driven]]&lt;150000,"100k-150k","150k+")))</f>
        <v>50k-100k</v>
      </c>
      <c r="O968" s="1" t="str">
        <f>IF(tbl_data[[#This Row],[Price_USD]]&gt;=87089,"High",
IF(tbl_data[[#This Row],[Price_USD]]&gt;=56807,"Mid","Low"))</f>
        <v>High</v>
      </c>
      <c r="P968" s="1" t="str">
        <f>IF(tbl_data[[#This Row],[Transmission]]="Automatic","Auto","Manual")</f>
        <v>Auto</v>
      </c>
      <c r="Q968" s="1" t="str">
        <f>IFERROR(IF(VALUE(tbl_data[[#This Row],[Engine_CC]])=0,"",VALUE(tbl_data[[#This Row],[Price_USD]])/VALUE(tbl_data[[#This Row],[Engine_CC]])),"")</f>
        <v/>
      </c>
      <c r="R968" s="1" t="str">
        <f>TRIM(tbl_data[[#This Row],[Brand]])</f>
        <v>Hyundai</v>
      </c>
      <c r="S968" s="1">
        <f>_xlfn.NUMBERVALUE(tbl_data[[#This Row],[Price_USD]],".",",")</f>
        <v>85722.65</v>
      </c>
    </row>
    <row r="969" spans="1:19" x14ac:dyDescent="0.3">
      <c r="A969">
        <v>968</v>
      </c>
      <c r="B969" t="s">
        <v>76</v>
      </c>
      <c r="C969">
        <v>2014</v>
      </c>
      <c r="D969">
        <v>111108</v>
      </c>
      <c r="E969" t="s">
        <v>13</v>
      </c>
      <c r="F969" t="s">
        <v>21</v>
      </c>
      <c r="G969" t="s">
        <v>26</v>
      </c>
      <c r="H969">
        <v>4472</v>
      </c>
      <c r="I969" t="s">
        <v>2705</v>
      </c>
      <c r="J969" t="s">
        <v>1323</v>
      </c>
      <c r="K969">
        <v>7</v>
      </c>
      <c r="L969" t="s">
        <v>2706</v>
      </c>
      <c r="M969" s="1" t="str">
        <f>TEXT(DATE(tbl_data[[#This Row],[Model_Year]],1,1),"yyyy")</f>
        <v>2014</v>
      </c>
      <c r="N969" s="1" t="str">
        <f>IF(tbl_data[[#This Row],[Kilometers_Driven]]&lt;50000,"&lt;50k",
IF(tbl_data[[#This Row],[Kilometers_Driven]]&lt;100000,"50k-100k",
IF(tbl_data[[#This Row],[Kilometers_Driven]]&lt;150000,"100k-150k","150k+")))</f>
        <v>100k-150k</v>
      </c>
      <c r="O969" s="1" t="str">
        <f>IF(tbl_data[[#This Row],[Price_USD]]&gt;=87089,"High",
IF(tbl_data[[#This Row],[Price_USD]]&gt;=56807,"Mid","Low"))</f>
        <v>High</v>
      </c>
      <c r="P969" s="1" t="str">
        <f>IF(tbl_data[[#This Row],[Transmission]]="Automatic","Auto","Manual")</f>
        <v>Auto</v>
      </c>
      <c r="Q969" s="1" t="str">
        <f>IFERROR(IF(VALUE(tbl_data[[#This Row],[Engine_CC]])=0,"",VALUE(tbl_data[[#This Row],[Price_USD]])/VALUE(tbl_data[[#This Row],[Engine_CC]])),"")</f>
        <v/>
      </c>
      <c r="R969" s="1" t="str">
        <f>TRIM(tbl_data[[#This Row],[Brand]])</f>
        <v>Honda</v>
      </c>
      <c r="S969" s="1">
        <f>_xlfn.NUMBERVALUE(tbl_data[[#This Row],[Price_USD]],".",",")</f>
        <v>23765.37</v>
      </c>
    </row>
    <row r="970" spans="1:19" x14ac:dyDescent="0.3">
      <c r="A970">
        <v>969</v>
      </c>
      <c r="B970" t="s">
        <v>39</v>
      </c>
      <c r="C970">
        <v>2005</v>
      </c>
      <c r="D970">
        <v>94709</v>
      </c>
      <c r="E970" t="s">
        <v>44</v>
      </c>
      <c r="F970" t="s">
        <v>21</v>
      </c>
      <c r="G970" t="s">
        <v>26</v>
      </c>
      <c r="H970">
        <v>3294</v>
      </c>
      <c r="I970" t="s">
        <v>2707</v>
      </c>
      <c r="J970" t="s">
        <v>2708</v>
      </c>
      <c r="K970">
        <v>7</v>
      </c>
      <c r="L970" t="s">
        <v>2709</v>
      </c>
      <c r="M970" s="1" t="str">
        <f>TEXT(DATE(tbl_data[[#This Row],[Model_Year]],1,1),"yyyy")</f>
        <v>2005</v>
      </c>
      <c r="N970" s="1" t="str">
        <f>IF(tbl_data[[#This Row],[Kilometers_Driven]]&lt;50000,"&lt;50k",
IF(tbl_data[[#This Row],[Kilometers_Driven]]&lt;100000,"50k-100k",
IF(tbl_data[[#This Row],[Kilometers_Driven]]&lt;150000,"100k-150k","150k+")))</f>
        <v>50k-100k</v>
      </c>
      <c r="O970" s="1" t="str">
        <f>IF(tbl_data[[#This Row],[Price_USD]]&gt;=87089,"High",
IF(tbl_data[[#This Row],[Price_USD]]&gt;=56807,"Mid","Low"))</f>
        <v>High</v>
      </c>
      <c r="P970" s="1" t="str">
        <f>IF(tbl_data[[#This Row],[Transmission]]="Automatic","Auto","Manual")</f>
        <v>Auto</v>
      </c>
      <c r="Q970" s="1" t="str">
        <f>IFERROR(IF(VALUE(tbl_data[[#This Row],[Engine_CC]])=0,"",VALUE(tbl_data[[#This Row],[Price_USD]])/VALUE(tbl_data[[#This Row],[Engine_CC]])),"")</f>
        <v/>
      </c>
      <c r="R970" s="1" t="str">
        <f>TRIM(tbl_data[[#This Row],[Brand]])</f>
        <v>Volkswagen</v>
      </c>
      <c r="S970" s="1">
        <f>_xlfn.NUMBERVALUE(tbl_data[[#This Row],[Price_USD]],".",",")</f>
        <v>32510.11</v>
      </c>
    </row>
    <row r="971" spans="1:19" x14ac:dyDescent="0.3">
      <c r="A971">
        <v>970</v>
      </c>
      <c r="B971" t="s">
        <v>30</v>
      </c>
      <c r="C971">
        <v>2022</v>
      </c>
      <c r="D971">
        <v>59869</v>
      </c>
      <c r="E971" t="s">
        <v>44</v>
      </c>
      <c r="F971" t="s">
        <v>21</v>
      </c>
      <c r="G971" t="s">
        <v>15</v>
      </c>
      <c r="H971">
        <v>1792</v>
      </c>
      <c r="I971" t="s">
        <v>2710</v>
      </c>
      <c r="J971" t="s">
        <v>2570</v>
      </c>
      <c r="K971">
        <v>2</v>
      </c>
      <c r="L971" t="s">
        <v>2711</v>
      </c>
      <c r="M971" s="1" t="str">
        <f>TEXT(DATE(tbl_data[[#This Row],[Model_Year]],1,1),"yyyy")</f>
        <v>2022</v>
      </c>
      <c r="N971" s="1" t="str">
        <f>IF(tbl_data[[#This Row],[Kilometers_Driven]]&lt;50000,"&lt;50k",
IF(tbl_data[[#This Row],[Kilometers_Driven]]&lt;100000,"50k-100k",
IF(tbl_data[[#This Row],[Kilometers_Driven]]&lt;150000,"100k-150k","150k+")))</f>
        <v>50k-100k</v>
      </c>
      <c r="O971" s="1" t="str">
        <f>IF(tbl_data[[#This Row],[Price_USD]]&gt;=87089,"High",
IF(tbl_data[[#This Row],[Price_USD]]&gt;=56807,"Mid","Low"))</f>
        <v>High</v>
      </c>
      <c r="P971" s="1" t="str">
        <f>IF(tbl_data[[#This Row],[Transmission]]="Automatic","Auto","Manual")</f>
        <v>Auto</v>
      </c>
      <c r="Q971" s="1" t="str">
        <f>IFERROR(IF(VALUE(tbl_data[[#This Row],[Engine_CC]])=0,"",VALUE(tbl_data[[#This Row],[Price_USD]])/VALUE(tbl_data[[#This Row],[Engine_CC]])),"")</f>
        <v/>
      </c>
      <c r="R971" s="1" t="str">
        <f>TRIM(tbl_data[[#This Row],[Brand]])</f>
        <v>Mercedes</v>
      </c>
      <c r="S971" s="1">
        <f>_xlfn.NUMBERVALUE(tbl_data[[#This Row],[Price_USD]],".",",")</f>
        <v>97855.46</v>
      </c>
    </row>
    <row r="972" spans="1:19" x14ac:dyDescent="0.3">
      <c r="A972">
        <v>971</v>
      </c>
      <c r="B972" t="s">
        <v>39</v>
      </c>
      <c r="C972">
        <v>2009</v>
      </c>
      <c r="D972">
        <v>131888</v>
      </c>
      <c r="E972" t="s">
        <v>20</v>
      </c>
      <c r="F972" t="s">
        <v>14</v>
      </c>
      <c r="G972" t="s">
        <v>26</v>
      </c>
      <c r="H972">
        <v>2921</v>
      </c>
      <c r="I972" t="s">
        <v>2712</v>
      </c>
      <c r="J972" t="s">
        <v>2713</v>
      </c>
      <c r="K972">
        <v>5</v>
      </c>
      <c r="L972" t="s">
        <v>2714</v>
      </c>
      <c r="M972" s="1" t="str">
        <f>TEXT(DATE(tbl_data[[#This Row],[Model_Year]],1,1),"yyyy")</f>
        <v>2009</v>
      </c>
      <c r="N972" s="1" t="str">
        <f>IF(tbl_data[[#This Row],[Kilometers_Driven]]&lt;50000,"&lt;50k",
IF(tbl_data[[#This Row],[Kilometers_Driven]]&lt;100000,"50k-100k",
IF(tbl_data[[#This Row],[Kilometers_Driven]]&lt;150000,"100k-150k","150k+")))</f>
        <v>100k-150k</v>
      </c>
      <c r="O972" s="1" t="str">
        <f>IF(tbl_data[[#This Row],[Price_USD]]&gt;=87089,"High",
IF(tbl_data[[#This Row],[Price_USD]]&gt;=56807,"Mid","Low"))</f>
        <v>High</v>
      </c>
      <c r="P972" s="1" t="str">
        <f>IF(tbl_data[[#This Row],[Transmission]]="Automatic","Auto","Manual")</f>
        <v>Manual</v>
      </c>
      <c r="Q972" s="1" t="str">
        <f>IFERROR(IF(VALUE(tbl_data[[#This Row],[Engine_CC]])=0,"",VALUE(tbl_data[[#This Row],[Price_USD]])/VALUE(tbl_data[[#This Row],[Engine_CC]])),"")</f>
        <v/>
      </c>
      <c r="R972" s="1" t="str">
        <f>TRIM(tbl_data[[#This Row],[Brand]])</f>
        <v>Volkswagen</v>
      </c>
      <c r="S972" s="1">
        <f>_xlfn.NUMBERVALUE(tbl_data[[#This Row],[Price_USD]],".",",")</f>
        <v>113818.96</v>
      </c>
    </row>
    <row r="973" spans="1:19" x14ac:dyDescent="0.3">
      <c r="A973">
        <v>972</v>
      </c>
      <c r="B973" t="s">
        <v>92</v>
      </c>
      <c r="C973">
        <v>2019</v>
      </c>
      <c r="D973">
        <v>68095</v>
      </c>
      <c r="E973" t="s">
        <v>20</v>
      </c>
      <c r="F973" t="s">
        <v>14</v>
      </c>
      <c r="G973" t="s">
        <v>15</v>
      </c>
      <c r="H973">
        <v>3384</v>
      </c>
      <c r="I973" t="s">
        <v>2715</v>
      </c>
      <c r="J973" t="s">
        <v>2716</v>
      </c>
      <c r="K973">
        <v>5</v>
      </c>
      <c r="L973" t="s">
        <v>2717</v>
      </c>
      <c r="M973" s="1" t="str">
        <f>TEXT(DATE(tbl_data[[#This Row],[Model_Year]],1,1),"yyyy")</f>
        <v>2019</v>
      </c>
      <c r="N973" s="1" t="str">
        <f>IF(tbl_data[[#This Row],[Kilometers_Driven]]&lt;50000,"&lt;50k",
IF(tbl_data[[#This Row],[Kilometers_Driven]]&lt;100000,"50k-100k",
IF(tbl_data[[#This Row],[Kilometers_Driven]]&lt;150000,"100k-150k","150k+")))</f>
        <v>50k-100k</v>
      </c>
      <c r="O973" s="1" t="str">
        <f>IF(tbl_data[[#This Row],[Price_USD]]&gt;=87089,"High",
IF(tbl_data[[#This Row],[Price_USD]]&gt;=56807,"Mid","Low"))</f>
        <v>High</v>
      </c>
      <c r="P973" s="1" t="str">
        <f>IF(tbl_data[[#This Row],[Transmission]]="Automatic","Auto","Manual")</f>
        <v>Manual</v>
      </c>
      <c r="Q973" s="1" t="str">
        <f>IFERROR(IF(VALUE(tbl_data[[#This Row],[Engine_CC]])=0,"",VALUE(tbl_data[[#This Row],[Price_USD]])/VALUE(tbl_data[[#This Row],[Engine_CC]])),"")</f>
        <v/>
      </c>
      <c r="R973" s="1" t="str">
        <f>TRIM(tbl_data[[#This Row],[Brand]])</f>
        <v>Toyota</v>
      </c>
      <c r="S973" s="1">
        <f>_xlfn.NUMBERVALUE(tbl_data[[#This Row],[Price_USD]],".",",")</f>
        <v>18904.13</v>
      </c>
    </row>
    <row r="974" spans="1:19" x14ac:dyDescent="0.3">
      <c r="A974">
        <v>973</v>
      </c>
      <c r="B974" t="s">
        <v>69</v>
      </c>
      <c r="C974">
        <v>2021</v>
      </c>
      <c r="D974">
        <v>122886</v>
      </c>
      <c r="E974" t="s">
        <v>13</v>
      </c>
      <c r="F974" t="s">
        <v>14</v>
      </c>
      <c r="G974" t="s">
        <v>15</v>
      </c>
      <c r="H974">
        <v>4996</v>
      </c>
      <c r="I974" t="s">
        <v>2718</v>
      </c>
      <c r="J974" t="s">
        <v>279</v>
      </c>
      <c r="K974">
        <v>6</v>
      </c>
      <c r="L974" t="s">
        <v>2719</v>
      </c>
      <c r="M974" s="1" t="str">
        <f>TEXT(DATE(tbl_data[[#This Row],[Model_Year]],1,1),"yyyy")</f>
        <v>2021</v>
      </c>
      <c r="N974" s="1" t="str">
        <f>IF(tbl_data[[#This Row],[Kilometers_Driven]]&lt;50000,"&lt;50k",
IF(tbl_data[[#This Row],[Kilometers_Driven]]&lt;100000,"50k-100k",
IF(tbl_data[[#This Row],[Kilometers_Driven]]&lt;150000,"100k-150k","150k+")))</f>
        <v>100k-150k</v>
      </c>
      <c r="O974" s="1" t="str">
        <f>IF(tbl_data[[#This Row],[Price_USD]]&gt;=87089,"High",
IF(tbl_data[[#This Row],[Price_USD]]&gt;=56807,"Mid","Low"))</f>
        <v>High</v>
      </c>
      <c r="P974" s="1" t="str">
        <f>IF(tbl_data[[#This Row],[Transmission]]="Automatic","Auto","Manual")</f>
        <v>Manual</v>
      </c>
      <c r="Q974" s="1" t="str">
        <f>IFERROR(IF(VALUE(tbl_data[[#This Row],[Engine_CC]])=0,"",VALUE(tbl_data[[#This Row],[Price_USD]])/VALUE(tbl_data[[#This Row],[Engine_CC]])),"")</f>
        <v/>
      </c>
      <c r="R974" s="1" t="str">
        <f>TRIM(tbl_data[[#This Row],[Brand]])</f>
        <v>Hyundai</v>
      </c>
      <c r="S974" s="1">
        <f>_xlfn.NUMBERVALUE(tbl_data[[#This Row],[Price_USD]],".",",")</f>
        <v>61225</v>
      </c>
    </row>
    <row r="975" spans="1:19" x14ac:dyDescent="0.3">
      <c r="A975">
        <v>974</v>
      </c>
      <c r="B975" t="s">
        <v>69</v>
      </c>
      <c r="C975">
        <v>2007</v>
      </c>
      <c r="D975">
        <v>75910</v>
      </c>
      <c r="E975" t="s">
        <v>31</v>
      </c>
      <c r="F975" t="s">
        <v>14</v>
      </c>
      <c r="G975" t="s">
        <v>26</v>
      </c>
      <c r="H975">
        <v>3023</v>
      </c>
      <c r="I975" t="s">
        <v>2720</v>
      </c>
      <c r="J975" t="s">
        <v>2721</v>
      </c>
      <c r="K975">
        <v>5</v>
      </c>
      <c r="L975" t="s">
        <v>2722</v>
      </c>
      <c r="M975" s="1" t="str">
        <f>TEXT(DATE(tbl_data[[#This Row],[Model_Year]],1,1),"yyyy")</f>
        <v>2007</v>
      </c>
      <c r="N975" s="1" t="str">
        <f>IF(tbl_data[[#This Row],[Kilometers_Driven]]&lt;50000,"&lt;50k",
IF(tbl_data[[#This Row],[Kilometers_Driven]]&lt;100000,"50k-100k",
IF(tbl_data[[#This Row],[Kilometers_Driven]]&lt;150000,"100k-150k","150k+")))</f>
        <v>50k-100k</v>
      </c>
      <c r="O975" s="1" t="str">
        <f>IF(tbl_data[[#This Row],[Price_USD]]&gt;=87089,"High",
IF(tbl_data[[#This Row],[Price_USD]]&gt;=56807,"Mid","Low"))</f>
        <v>High</v>
      </c>
      <c r="P975" s="1" t="str">
        <f>IF(tbl_data[[#This Row],[Transmission]]="Automatic","Auto","Manual")</f>
        <v>Manual</v>
      </c>
      <c r="Q975" s="1" t="str">
        <f>IFERROR(IF(VALUE(tbl_data[[#This Row],[Engine_CC]])=0,"",VALUE(tbl_data[[#This Row],[Price_USD]])/VALUE(tbl_data[[#This Row],[Engine_CC]])),"")</f>
        <v/>
      </c>
      <c r="R975" s="1" t="str">
        <f>TRIM(tbl_data[[#This Row],[Brand]])</f>
        <v>Hyundai</v>
      </c>
      <c r="S975" s="1">
        <f>_xlfn.NUMBERVALUE(tbl_data[[#This Row],[Price_USD]],".",",")</f>
        <v>28058.62</v>
      </c>
    </row>
    <row r="976" spans="1:19" x14ac:dyDescent="0.3">
      <c r="A976">
        <v>975</v>
      </c>
      <c r="B976" t="s">
        <v>19</v>
      </c>
      <c r="C976">
        <v>2016</v>
      </c>
      <c r="D976">
        <v>28567</v>
      </c>
      <c r="E976" t="s">
        <v>31</v>
      </c>
      <c r="F976" t="s">
        <v>14</v>
      </c>
      <c r="G976" t="s">
        <v>15</v>
      </c>
      <c r="H976">
        <v>3988</v>
      </c>
      <c r="I976" t="s">
        <v>2723</v>
      </c>
      <c r="J976" t="s">
        <v>2724</v>
      </c>
      <c r="K976">
        <v>5</v>
      </c>
      <c r="L976" t="s">
        <v>2725</v>
      </c>
      <c r="M976" s="1" t="str">
        <f>TEXT(DATE(tbl_data[[#This Row],[Model_Year]],1,1),"yyyy")</f>
        <v>2016</v>
      </c>
      <c r="N976" s="1" t="str">
        <f>IF(tbl_data[[#This Row],[Kilometers_Driven]]&lt;50000,"&lt;50k",
IF(tbl_data[[#This Row],[Kilometers_Driven]]&lt;100000,"50k-100k",
IF(tbl_data[[#This Row],[Kilometers_Driven]]&lt;150000,"100k-150k","150k+")))</f>
        <v>&lt;50k</v>
      </c>
      <c r="O976" s="1" t="str">
        <f>IF(tbl_data[[#This Row],[Price_USD]]&gt;=87089,"High",
IF(tbl_data[[#This Row],[Price_USD]]&gt;=56807,"Mid","Low"))</f>
        <v>High</v>
      </c>
      <c r="P976" s="1" t="str">
        <f>IF(tbl_data[[#This Row],[Transmission]]="Automatic","Auto","Manual")</f>
        <v>Manual</v>
      </c>
      <c r="Q976" s="1" t="str">
        <f>IFERROR(IF(VALUE(tbl_data[[#This Row],[Engine_CC]])=0,"",VALUE(tbl_data[[#This Row],[Price_USD]])/VALUE(tbl_data[[#This Row],[Engine_CC]])),"")</f>
        <v/>
      </c>
      <c r="R976" s="1" t="str">
        <f>TRIM(tbl_data[[#This Row],[Brand]])</f>
        <v>BMW</v>
      </c>
      <c r="S976" s="1">
        <f>_xlfn.NUMBERVALUE(tbl_data[[#This Row],[Price_USD]],".",",")</f>
        <v>10028.56</v>
      </c>
    </row>
    <row r="977" spans="1:19" x14ac:dyDescent="0.3">
      <c r="A977">
        <v>976</v>
      </c>
      <c r="B977" t="s">
        <v>25</v>
      </c>
      <c r="C977">
        <v>2006</v>
      </c>
      <c r="D977">
        <v>40292</v>
      </c>
      <c r="E977" t="s">
        <v>44</v>
      </c>
      <c r="F977" t="s">
        <v>21</v>
      </c>
      <c r="G977" t="s">
        <v>32</v>
      </c>
      <c r="H977">
        <v>4037</v>
      </c>
      <c r="I977" t="s">
        <v>2726</v>
      </c>
      <c r="J977" t="s">
        <v>2727</v>
      </c>
      <c r="K977">
        <v>7</v>
      </c>
      <c r="L977" t="s">
        <v>2728</v>
      </c>
      <c r="M977" s="1" t="str">
        <f>TEXT(DATE(tbl_data[[#This Row],[Model_Year]],1,1),"yyyy")</f>
        <v>2006</v>
      </c>
      <c r="N977" s="1" t="str">
        <f>IF(tbl_data[[#This Row],[Kilometers_Driven]]&lt;50000,"&lt;50k",
IF(tbl_data[[#This Row],[Kilometers_Driven]]&lt;100000,"50k-100k",
IF(tbl_data[[#This Row],[Kilometers_Driven]]&lt;150000,"100k-150k","150k+")))</f>
        <v>&lt;50k</v>
      </c>
      <c r="O977" s="1" t="str">
        <f>IF(tbl_data[[#This Row],[Price_USD]]&gt;=87089,"High",
IF(tbl_data[[#This Row],[Price_USD]]&gt;=56807,"Mid","Low"))</f>
        <v>High</v>
      </c>
      <c r="P977" s="1" t="str">
        <f>IF(tbl_data[[#This Row],[Transmission]]="Automatic","Auto","Manual")</f>
        <v>Auto</v>
      </c>
      <c r="Q977" s="1" t="str">
        <f>IFERROR(IF(VALUE(tbl_data[[#This Row],[Engine_CC]])=0,"",VALUE(tbl_data[[#This Row],[Price_USD]])/VALUE(tbl_data[[#This Row],[Engine_CC]])),"")</f>
        <v/>
      </c>
      <c r="R977" s="1" t="str">
        <f>TRIM(tbl_data[[#This Row],[Brand]])</f>
        <v>Kia</v>
      </c>
      <c r="S977" s="1">
        <f>_xlfn.NUMBERVALUE(tbl_data[[#This Row],[Price_USD]],".",",")</f>
        <v>41083.89</v>
      </c>
    </row>
    <row r="978" spans="1:19" x14ac:dyDescent="0.3">
      <c r="A978">
        <v>977</v>
      </c>
      <c r="B978" t="s">
        <v>19</v>
      </c>
      <c r="C978">
        <v>2005</v>
      </c>
      <c r="D978">
        <v>79813</v>
      </c>
      <c r="E978" t="s">
        <v>13</v>
      </c>
      <c r="F978" t="s">
        <v>14</v>
      </c>
      <c r="G978" t="s">
        <v>32</v>
      </c>
      <c r="H978">
        <v>4936</v>
      </c>
      <c r="I978" t="s">
        <v>2729</v>
      </c>
      <c r="J978" t="s">
        <v>2247</v>
      </c>
      <c r="K978">
        <v>4</v>
      </c>
      <c r="L978" t="s">
        <v>2730</v>
      </c>
      <c r="M978" s="1" t="str">
        <f>TEXT(DATE(tbl_data[[#This Row],[Model_Year]],1,1),"yyyy")</f>
        <v>2005</v>
      </c>
      <c r="N978" s="1" t="str">
        <f>IF(tbl_data[[#This Row],[Kilometers_Driven]]&lt;50000,"&lt;50k",
IF(tbl_data[[#This Row],[Kilometers_Driven]]&lt;100000,"50k-100k",
IF(tbl_data[[#This Row],[Kilometers_Driven]]&lt;150000,"100k-150k","150k+")))</f>
        <v>50k-100k</v>
      </c>
      <c r="O978" s="1" t="str">
        <f>IF(tbl_data[[#This Row],[Price_USD]]&gt;=87089,"High",
IF(tbl_data[[#This Row],[Price_USD]]&gt;=56807,"Mid","Low"))</f>
        <v>High</v>
      </c>
      <c r="P978" s="1" t="str">
        <f>IF(tbl_data[[#This Row],[Transmission]]="Automatic","Auto","Manual")</f>
        <v>Manual</v>
      </c>
      <c r="Q978" s="1" t="str">
        <f>IFERROR(IF(VALUE(tbl_data[[#This Row],[Engine_CC]])=0,"",VALUE(tbl_data[[#This Row],[Price_USD]])/VALUE(tbl_data[[#This Row],[Engine_CC]])),"")</f>
        <v/>
      </c>
      <c r="R978" s="1" t="str">
        <f>TRIM(tbl_data[[#This Row],[Brand]])</f>
        <v>BMW</v>
      </c>
      <c r="S978" s="1">
        <f>_xlfn.NUMBERVALUE(tbl_data[[#This Row],[Price_USD]],".",",")</f>
        <v>19811.45</v>
      </c>
    </row>
    <row r="979" spans="1:19" x14ac:dyDescent="0.3">
      <c r="A979">
        <v>978</v>
      </c>
      <c r="B979" t="s">
        <v>25</v>
      </c>
      <c r="C979">
        <v>2021</v>
      </c>
      <c r="D979">
        <v>102136</v>
      </c>
      <c r="E979" t="s">
        <v>20</v>
      </c>
      <c r="F979" t="s">
        <v>14</v>
      </c>
      <c r="G979" t="s">
        <v>26</v>
      </c>
      <c r="H979">
        <v>1143</v>
      </c>
      <c r="I979" t="s">
        <v>1486</v>
      </c>
      <c r="J979" t="s">
        <v>1667</v>
      </c>
      <c r="K979">
        <v>5</v>
      </c>
      <c r="L979" t="s">
        <v>2731</v>
      </c>
      <c r="M979" s="1" t="str">
        <f>TEXT(DATE(tbl_data[[#This Row],[Model_Year]],1,1),"yyyy")</f>
        <v>2021</v>
      </c>
      <c r="N979" s="1" t="str">
        <f>IF(tbl_data[[#This Row],[Kilometers_Driven]]&lt;50000,"&lt;50k",
IF(tbl_data[[#This Row],[Kilometers_Driven]]&lt;100000,"50k-100k",
IF(tbl_data[[#This Row],[Kilometers_Driven]]&lt;150000,"100k-150k","150k+")))</f>
        <v>100k-150k</v>
      </c>
      <c r="O979" s="1" t="str">
        <f>IF(tbl_data[[#This Row],[Price_USD]]&gt;=87089,"High",
IF(tbl_data[[#This Row],[Price_USD]]&gt;=56807,"Mid","Low"))</f>
        <v>High</v>
      </c>
      <c r="P979" s="1" t="str">
        <f>IF(tbl_data[[#This Row],[Transmission]]="Automatic","Auto","Manual")</f>
        <v>Manual</v>
      </c>
      <c r="Q979" s="1" t="str">
        <f>IFERROR(IF(VALUE(tbl_data[[#This Row],[Engine_CC]])=0,"",VALUE(tbl_data[[#This Row],[Price_USD]])/VALUE(tbl_data[[#This Row],[Engine_CC]])),"")</f>
        <v/>
      </c>
      <c r="R979" s="1" t="str">
        <f>TRIM(tbl_data[[#This Row],[Brand]])</f>
        <v>Kia</v>
      </c>
      <c r="S979" s="1">
        <f>_xlfn.NUMBERVALUE(tbl_data[[#This Row],[Price_USD]],".",",")</f>
        <v>86062.17</v>
      </c>
    </row>
    <row r="980" spans="1:19" x14ac:dyDescent="0.3">
      <c r="A980">
        <v>979</v>
      </c>
      <c r="B980" t="s">
        <v>25</v>
      </c>
      <c r="C980">
        <v>2020</v>
      </c>
      <c r="D980">
        <v>56631</v>
      </c>
      <c r="E980" t="s">
        <v>44</v>
      </c>
      <c r="F980" t="s">
        <v>14</v>
      </c>
      <c r="G980" t="s">
        <v>32</v>
      </c>
      <c r="H980">
        <v>3076</v>
      </c>
      <c r="I980" t="s">
        <v>1727</v>
      </c>
      <c r="J980" t="s">
        <v>2732</v>
      </c>
      <c r="K980">
        <v>5</v>
      </c>
      <c r="L980" t="s">
        <v>2733</v>
      </c>
      <c r="M980" s="1" t="str">
        <f>TEXT(DATE(tbl_data[[#This Row],[Model_Year]],1,1),"yyyy")</f>
        <v>2020</v>
      </c>
      <c r="N980" s="1" t="str">
        <f>IF(tbl_data[[#This Row],[Kilometers_Driven]]&lt;50000,"&lt;50k",
IF(tbl_data[[#This Row],[Kilometers_Driven]]&lt;100000,"50k-100k",
IF(tbl_data[[#This Row],[Kilometers_Driven]]&lt;150000,"100k-150k","150k+")))</f>
        <v>50k-100k</v>
      </c>
      <c r="O980" s="1" t="str">
        <f>IF(tbl_data[[#This Row],[Price_USD]]&gt;=87089,"High",
IF(tbl_data[[#This Row],[Price_USD]]&gt;=56807,"Mid","Low"))</f>
        <v>High</v>
      </c>
      <c r="P980" s="1" t="str">
        <f>IF(tbl_data[[#This Row],[Transmission]]="Automatic","Auto","Manual")</f>
        <v>Manual</v>
      </c>
      <c r="Q980" s="1" t="str">
        <f>IFERROR(IF(VALUE(tbl_data[[#This Row],[Engine_CC]])=0,"",VALUE(tbl_data[[#This Row],[Price_USD]])/VALUE(tbl_data[[#This Row],[Engine_CC]])),"")</f>
        <v/>
      </c>
      <c r="R980" s="1" t="str">
        <f>TRIM(tbl_data[[#This Row],[Brand]])</f>
        <v>Kia</v>
      </c>
      <c r="S980" s="1">
        <f>_xlfn.NUMBERVALUE(tbl_data[[#This Row],[Price_USD]],".",",")</f>
        <v>65445.87</v>
      </c>
    </row>
    <row r="981" spans="1:19" x14ac:dyDescent="0.3">
      <c r="A981">
        <v>980</v>
      </c>
      <c r="B981" t="s">
        <v>30</v>
      </c>
      <c r="C981">
        <v>2009</v>
      </c>
      <c r="D981">
        <v>14885</v>
      </c>
      <c r="E981" t="s">
        <v>13</v>
      </c>
      <c r="F981" t="s">
        <v>21</v>
      </c>
      <c r="G981" t="s">
        <v>15</v>
      </c>
      <c r="H981">
        <v>4001</v>
      </c>
      <c r="I981" t="s">
        <v>2734</v>
      </c>
      <c r="J981" t="s">
        <v>2096</v>
      </c>
      <c r="K981">
        <v>2</v>
      </c>
      <c r="L981" t="s">
        <v>2735</v>
      </c>
      <c r="M981" s="1" t="str">
        <f>TEXT(DATE(tbl_data[[#This Row],[Model_Year]],1,1),"yyyy")</f>
        <v>2009</v>
      </c>
      <c r="N981" s="1" t="str">
        <f>IF(tbl_data[[#This Row],[Kilometers_Driven]]&lt;50000,"&lt;50k",
IF(tbl_data[[#This Row],[Kilometers_Driven]]&lt;100000,"50k-100k",
IF(tbl_data[[#This Row],[Kilometers_Driven]]&lt;150000,"100k-150k","150k+")))</f>
        <v>&lt;50k</v>
      </c>
      <c r="O981" s="1" t="str">
        <f>IF(tbl_data[[#This Row],[Price_USD]]&gt;=87089,"High",
IF(tbl_data[[#This Row],[Price_USD]]&gt;=56807,"Mid","Low"))</f>
        <v>High</v>
      </c>
      <c r="P981" s="1" t="str">
        <f>IF(tbl_data[[#This Row],[Transmission]]="Automatic","Auto","Manual")</f>
        <v>Auto</v>
      </c>
      <c r="Q981" s="1" t="str">
        <f>IFERROR(IF(VALUE(tbl_data[[#This Row],[Engine_CC]])=0,"",VALUE(tbl_data[[#This Row],[Price_USD]])/VALUE(tbl_data[[#This Row],[Engine_CC]])),"")</f>
        <v/>
      </c>
      <c r="R981" s="1" t="str">
        <f>TRIM(tbl_data[[#This Row],[Brand]])</f>
        <v>Mercedes</v>
      </c>
      <c r="S981" s="1">
        <f>_xlfn.NUMBERVALUE(tbl_data[[#This Row],[Price_USD]],".",",")</f>
        <v>19828.63</v>
      </c>
    </row>
    <row r="982" spans="1:19" x14ac:dyDescent="0.3">
      <c r="A982">
        <v>981</v>
      </c>
      <c r="B982" t="s">
        <v>19</v>
      </c>
      <c r="C982">
        <v>2019</v>
      </c>
      <c r="D982">
        <v>195731</v>
      </c>
      <c r="E982" t="s">
        <v>31</v>
      </c>
      <c r="F982" t="s">
        <v>21</v>
      </c>
      <c r="G982" t="s">
        <v>32</v>
      </c>
      <c r="H982">
        <v>1688</v>
      </c>
      <c r="I982" t="s">
        <v>2186</v>
      </c>
      <c r="J982" t="s">
        <v>2736</v>
      </c>
      <c r="K982">
        <v>6</v>
      </c>
      <c r="L982" t="s">
        <v>2737</v>
      </c>
      <c r="M982" s="1" t="str">
        <f>TEXT(DATE(tbl_data[[#This Row],[Model_Year]],1,1),"yyyy")</f>
        <v>2019</v>
      </c>
      <c r="N982" s="1" t="str">
        <f>IF(tbl_data[[#This Row],[Kilometers_Driven]]&lt;50000,"&lt;50k",
IF(tbl_data[[#This Row],[Kilometers_Driven]]&lt;100000,"50k-100k",
IF(tbl_data[[#This Row],[Kilometers_Driven]]&lt;150000,"100k-150k","150k+")))</f>
        <v>150k+</v>
      </c>
      <c r="O982" s="1" t="str">
        <f>IF(tbl_data[[#This Row],[Price_USD]]&gt;=87089,"High",
IF(tbl_data[[#This Row],[Price_USD]]&gt;=56807,"Mid","Low"))</f>
        <v>High</v>
      </c>
      <c r="P982" s="1" t="str">
        <f>IF(tbl_data[[#This Row],[Transmission]]="Automatic","Auto","Manual")</f>
        <v>Auto</v>
      </c>
      <c r="Q982" s="1" t="str">
        <f>IFERROR(IF(VALUE(tbl_data[[#This Row],[Engine_CC]])=0,"",VALUE(tbl_data[[#This Row],[Price_USD]])/VALUE(tbl_data[[#This Row],[Engine_CC]])),"")</f>
        <v/>
      </c>
      <c r="R982" s="1" t="str">
        <f>TRIM(tbl_data[[#This Row],[Brand]])</f>
        <v>BMW</v>
      </c>
      <c r="S982" s="1">
        <f>_xlfn.NUMBERVALUE(tbl_data[[#This Row],[Price_USD]],".",",")</f>
        <v>4081.27</v>
      </c>
    </row>
    <row r="983" spans="1:19" x14ac:dyDescent="0.3">
      <c r="A983">
        <v>982</v>
      </c>
      <c r="B983" t="s">
        <v>76</v>
      </c>
      <c r="C983">
        <v>2007</v>
      </c>
      <c r="D983">
        <v>190378</v>
      </c>
      <c r="E983" t="s">
        <v>13</v>
      </c>
      <c r="F983" t="s">
        <v>14</v>
      </c>
      <c r="G983" t="s">
        <v>26</v>
      </c>
      <c r="H983">
        <v>2843</v>
      </c>
      <c r="I983" t="s">
        <v>2738</v>
      </c>
      <c r="J983" t="s">
        <v>2739</v>
      </c>
      <c r="K983">
        <v>2</v>
      </c>
      <c r="L983" t="s">
        <v>2740</v>
      </c>
      <c r="M983" s="1" t="str">
        <f>TEXT(DATE(tbl_data[[#This Row],[Model_Year]],1,1),"yyyy")</f>
        <v>2007</v>
      </c>
      <c r="N983" s="1" t="str">
        <f>IF(tbl_data[[#This Row],[Kilometers_Driven]]&lt;50000,"&lt;50k",
IF(tbl_data[[#This Row],[Kilometers_Driven]]&lt;100000,"50k-100k",
IF(tbl_data[[#This Row],[Kilometers_Driven]]&lt;150000,"100k-150k","150k+")))</f>
        <v>150k+</v>
      </c>
      <c r="O983" s="1" t="str">
        <f>IF(tbl_data[[#This Row],[Price_USD]]&gt;=87089,"High",
IF(tbl_data[[#This Row],[Price_USD]]&gt;=56807,"Mid","Low"))</f>
        <v>High</v>
      </c>
      <c r="P983" s="1" t="str">
        <f>IF(tbl_data[[#This Row],[Transmission]]="Automatic","Auto","Manual")</f>
        <v>Manual</v>
      </c>
      <c r="Q983" s="1" t="str">
        <f>IFERROR(IF(VALUE(tbl_data[[#This Row],[Engine_CC]])=0,"",VALUE(tbl_data[[#This Row],[Price_USD]])/VALUE(tbl_data[[#This Row],[Engine_CC]])),"")</f>
        <v/>
      </c>
      <c r="R983" s="1" t="str">
        <f>TRIM(tbl_data[[#This Row],[Brand]])</f>
        <v>Honda</v>
      </c>
      <c r="S983" s="1">
        <f>_xlfn.NUMBERVALUE(tbl_data[[#This Row],[Price_USD]],".",",")</f>
        <v>97554.37</v>
      </c>
    </row>
    <row r="984" spans="1:19" x14ac:dyDescent="0.3">
      <c r="A984">
        <v>983</v>
      </c>
      <c r="B984" t="s">
        <v>43</v>
      </c>
      <c r="C984">
        <v>2011</v>
      </c>
      <c r="D984">
        <v>71314</v>
      </c>
      <c r="E984" t="s">
        <v>31</v>
      </c>
      <c r="F984" t="s">
        <v>21</v>
      </c>
      <c r="G984" t="s">
        <v>26</v>
      </c>
      <c r="H984">
        <v>2141</v>
      </c>
      <c r="I984" t="s">
        <v>2741</v>
      </c>
      <c r="J984" t="s">
        <v>2742</v>
      </c>
      <c r="K984">
        <v>7</v>
      </c>
      <c r="L984" t="s">
        <v>2743</v>
      </c>
      <c r="M984" s="1" t="str">
        <f>TEXT(DATE(tbl_data[[#This Row],[Model_Year]],1,1),"yyyy")</f>
        <v>2011</v>
      </c>
      <c r="N984" s="1" t="str">
        <f>IF(tbl_data[[#This Row],[Kilometers_Driven]]&lt;50000,"&lt;50k",
IF(tbl_data[[#This Row],[Kilometers_Driven]]&lt;100000,"50k-100k",
IF(tbl_data[[#This Row],[Kilometers_Driven]]&lt;150000,"100k-150k","150k+")))</f>
        <v>50k-100k</v>
      </c>
      <c r="O984" s="1" t="str">
        <f>IF(tbl_data[[#This Row],[Price_USD]]&gt;=87089,"High",
IF(tbl_data[[#This Row],[Price_USD]]&gt;=56807,"Mid","Low"))</f>
        <v>High</v>
      </c>
      <c r="P984" s="1" t="str">
        <f>IF(tbl_data[[#This Row],[Transmission]]="Automatic","Auto","Manual")</f>
        <v>Auto</v>
      </c>
      <c r="Q984" s="1" t="str">
        <f>IFERROR(IF(VALUE(tbl_data[[#This Row],[Engine_CC]])=0,"",VALUE(tbl_data[[#This Row],[Price_USD]])/VALUE(tbl_data[[#This Row],[Engine_CC]])),"")</f>
        <v/>
      </c>
      <c r="R984" s="1" t="str">
        <f>TRIM(tbl_data[[#This Row],[Brand]])</f>
        <v>Ford</v>
      </c>
      <c r="S984" s="1">
        <f>_xlfn.NUMBERVALUE(tbl_data[[#This Row],[Price_USD]],".",",")</f>
        <v>23614.75</v>
      </c>
    </row>
    <row r="985" spans="1:19" x14ac:dyDescent="0.3">
      <c r="A985">
        <v>984</v>
      </c>
      <c r="B985" t="s">
        <v>43</v>
      </c>
      <c r="C985">
        <v>2015</v>
      </c>
      <c r="D985">
        <v>70087</v>
      </c>
      <c r="E985" t="s">
        <v>13</v>
      </c>
      <c r="F985" t="s">
        <v>14</v>
      </c>
      <c r="G985" t="s">
        <v>15</v>
      </c>
      <c r="H985">
        <v>4520</v>
      </c>
      <c r="I985" t="s">
        <v>2744</v>
      </c>
      <c r="J985" t="s">
        <v>2745</v>
      </c>
      <c r="K985">
        <v>4</v>
      </c>
      <c r="L985" t="s">
        <v>2746</v>
      </c>
      <c r="M985" s="1" t="str">
        <f>TEXT(DATE(tbl_data[[#This Row],[Model_Year]],1,1),"yyyy")</f>
        <v>2015</v>
      </c>
      <c r="N985" s="1" t="str">
        <f>IF(tbl_data[[#This Row],[Kilometers_Driven]]&lt;50000,"&lt;50k",
IF(tbl_data[[#This Row],[Kilometers_Driven]]&lt;100000,"50k-100k",
IF(tbl_data[[#This Row],[Kilometers_Driven]]&lt;150000,"100k-150k","150k+")))</f>
        <v>50k-100k</v>
      </c>
      <c r="O985" s="1" t="str">
        <f>IF(tbl_data[[#This Row],[Price_USD]]&gt;=87089,"High",
IF(tbl_data[[#This Row],[Price_USD]]&gt;=56807,"Mid","Low"))</f>
        <v>High</v>
      </c>
      <c r="P985" s="1" t="str">
        <f>IF(tbl_data[[#This Row],[Transmission]]="Automatic","Auto","Manual")</f>
        <v>Manual</v>
      </c>
      <c r="Q985" s="1" t="str">
        <f>IFERROR(IF(VALUE(tbl_data[[#This Row],[Engine_CC]])=0,"",VALUE(tbl_data[[#This Row],[Price_USD]])/VALUE(tbl_data[[#This Row],[Engine_CC]])),"")</f>
        <v/>
      </c>
      <c r="R985" s="1" t="str">
        <f>TRIM(tbl_data[[#This Row],[Brand]])</f>
        <v>Ford</v>
      </c>
      <c r="S985" s="1">
        <f>_xlfn.NUMBERVALUE(tbl_data[[#This Row],[Price_USD]],".",",")</f>
        <v>73927.350000000006</v>
      </c>
    </row>
    <row r="986" spans="1:19" x14ac:dyDescent="0.3">
      <c r="A986">
        <v>985</v>
      </c>
      <c r="B986" t="s">
        <v>19</v>
      </c>
      <c r="C986">
        <v>2014</v>
      </c>
      <c r="D986">
        <v>165237</v>
      </c>
      <c r="E986" t="s">
        <v>44</v>
      </c>
      <c r="F986" t="s">
        <v>14</v>
      </c>
      <c r="G986" t="s">
        <v>26</v>
      </c>
      <c r="H986">
        <v>3683</v>
      </c>
      <c r="I986" t="s">
        <v>2747</v>
      </c>
      <c r="J986" t="s">
        <v>2748</v>
      </c>
      <c r="K986">
        <v>6</v>
      </c>
      <c r="L986" t="s">
        <v>2749</v>
      </c>
      <c r="M986" s="1" t="str">
        <f>TEXT(DATE(tbl_data[[#This Row],[Model_Year]],1,1),"yyyy")</f>
        <v>2014</v>
      </c>
      <c r="N986" s="1" t="str">
        <f>IF(tbl_data[[#This Row],[Kilometers_Driven]]&lt;50000,"&lt;50k",
IF(tbl_data[[#This Row],[Kilometers_Driven]]&lt;100000,"50k-100k",
IF(tbl_data[[#This Row],[Kilometers_Driven]]&lt;150000,"100k-150k","150k+")))</f>
        <v>150k+</v>
      </c>
      <c r="O986" s="1" t="str">
        <f>IF(tbl_data[[#This Row],[Price_USD]]&gt;=87089,"High",
IF(tbl_data[[#This Row],[Price_USD]]&gt;=56807,"Mid","Low"))</f>
        <v>High</v>
      </c>
      <c r="P986" s="1" t="str">
        <f>IF(tbl_data[[#This Row],[Transmission]]="Automatic","Auto","Manual")</f>
        <v>Manual</v>
      </c>
      <c r="Q986" s="1" t="str">
        <f>IFERROR(IF(VALUE(tbl_data[[#This Row],[Engine_CC]])=0,"",VALUE(tbl_data[[#This Row],[Price_USD]])/VALUE(tbl_data[[#This Row],[Engine_CC]])),"")</f>
        <v/>
      </c>
      <c r="R986" s="1" t="str">
        <f>TRIM(tbl_data[[#This Row],[Brand]])</f>
        <v>BMW</v>
      </c>
      <c r="S986" s="1">
        <f>_xlfn.NUMBERVALUE(tbl_data[[#This Row],[Price_USD]],".",",")</f>
        <v>42419.86</v>
      </c>
    </row>
    <row r="987" spans="1:19" x14ac:dyDescent="0.3">
      <c r="A987">
        <v>986</v>
      </c>
      <c r="B987" t="s">
        <v>19</v>
      </c>
      <c r="C987">
        <v>2013</v>
      </c>
      <c r="D987">
        <v>195001</v>
      </c>
      <c r="E987" t="s">
        <v>31</v>
      </c>
      <c r="F987" t="s">
        <v>21</v>
      </c>
      <c r="G987" t="s">
        <v>32</v>
      </c>
      <c r="H987">
        <v>3215</v>
      </c>
      <c r="I987" t="s">
        <v>2750</v>
      </c>
      <c r="J987" t="s">
        <v>2013</v>
      </c>
      <c r="K987">
        <v>2</v>
      </c>
      <c r="L987" t="s">
        <v>2751</v>
      </c>
      <c r="M987" s="1" t="str">
        <f>TEXT(DATE(tbl_data[[#This Row],[Model_Year]],1,1),"yyyy")</f>
        <v>2013</v>
      </c>
      <c r="N987" s="1" t="str">
        <f>IF(tbl_data[[#This Row],[Kilometers_Driven]]&lt;50000,"&lt;50k",
IF(tbl_data[[#This Row],[Kilometers_Driven]]&lt;100000,"50k-100k",
IF(tbl_data[[#This Row],[Kilometers_Driven]]&lt;150000,"100k-150k","150k+")))</f>
        <v>150k+</v>
      </c>
      <c r="O987" s="1" t="str">
        <f>IF(tbl_data[[#This Row],[Price_USD]]&gt;=87089,"High",
IF(tbl_data[[#This Row],[Price_USD]]&gt;=56807,"Mid","Low"))</f>
        <v>High</v>
      </c>
      <c r="P987" s="1" t="str">
        <f>IF(tbl_data[[#This Row],[Transmission]]="Automatic","Auto","Manual")</f>
        <v>Auto</v>
      </c>
      <c r="Q987" s="1" t="str">
        <f>IFERROR(IF(VALUE(tbl_data[[#This Row],[Engine_CC]])=0,"",VALUE(tbl_data[[#This Row],[Price_USD]])/VALUE(tbl_data[[#This Row],[Engine_CC]])),"")</f>
        <v/>
      </c>
      <c r="R987" s="1" t="str">
        <f>TRIM(tbl_data[[#This Row],[Brand]])</f>
        <v>BMW</v>
      </c>
      <c r="S987" s="1">
        <f>_xlfn.NUMBERVALUE(tbl_data[[#This Row],[Price_USD]],".",",")</f>
        <v>71501.850000000006</v>
      </c>
    </row>
    <row r="988" spans="1:19" x14ac:dyDescent="0.3">
      <c r="A988">
        <v>987</v>
      </c>
      <c r="B988" t="s">
        <v>39</v>
      </c>
      <c r="C988">
        <v>2018</v>
      </c>
      <c r="D988">
        <v>100998</v>
      </c>
      <c r="E988" t="s">
        <v>44</v>
      </c>
      <c r="F988" t="s">
        <v>21</v>
      </c>
      <c r="G988" t="s">
        <v>26</v>
      </c>
      <c r="H988">
        <v>1917</v>
      </c>
      <c r="I988" t="s">
        <v>2752</v>
      </c>
      <c r="J988" t="s">
        <v>1240</v>
      </c>
      <c r="K988">
        <v>5</v>
      </c>
      <c r="L988" t="s">
        <v>2753</v>
      </c>
      <c r="M988" s="1" t="str">
        <f>TEXT(DATE(tbl_data[[#This Row],[Model_Year]],1,1),"yyyy")</f>
        <v>2018</v>
      </c>
      <c r="N988" s="1" t="str">
        <f>IF(tbl_data[[#This Row],[Kilometers_Driven]]&lt;50000,"&lt;50k",
IF(tbl_data[[#This Row],[Kilometers_Driven]]&lt;100000,"50k-100k",
IF(tbl_data[[#This Row],[Kilometers_Driven]]&lt;150000,"100k-150k","150k+")))</f>
        <v>100k-150k</v>
      </c>
      <c r="O988" s="1" t="str">
        <f>IF(tbl_data[[#This Row],[Price_USD]]&gt;=87089,"High",
IF(tbl_data[[#This Row],[Price_USD]]&gt;=56807,"Mid","Low"))</f>
        <v>High</v>
      </c>
      <c r="P988" s="1" t="str">
        <f>IF(tbl_data[[#This Row],[Transmission]]="Automatic","Auto","Manual")</f>
        <v>Auto</v>
      </c>
      <c r="Q988" s="1" t="str">
        <f>IFERROR(IF(VALUE(tbl_data[[#This Row],[Engine_CC]])=0,"",VALUE(tbl_data[[#This Row],[Price_USD]])/VALUE(tbl_data[[#This Row],[Engine_CC]])),"")</f>
        <v/>
      </c>
      <c r="R988" s="1" t="str">
        <f>TRIM(tbl_data[[#This Row],[Brand]])</f>
        <v>Volkswagen</v>
      </c>
      <c r="S988" s="1">
        <f>_xlfn.NUMBERVALUE(tbl_data[[#This Row],[Price_USD]],".",",")</f>
        <v>39931.47</v>
      </c>
    </row>
    <row r="989" spans="1:19" x14ac:dyDescent="0.3">
      <c r="A989">
        <v>988</v>
      </c>
      <c r="B989" t="s">
        <v>30</v>
      </c>
      <c r="C989">
        <v>2017</v>
      </c>
      <c r="D989">
        <v>54812</v>
      </c>
      <c r="E989" t="s">
        <v>44</v>
      </c>
      <c r="F989" t="s">
        <v>14</v>
      </c>
      <c r="G989" t="s">
        <v>15</v>
      </c>
      <c r="H989">
        <v>3801</v>
      </c>
      <c r="I989" t="s">
        <v>2754</v>
      </c>
      <c r="J989" t="s">
        <v>2755</v>
      </c>
      <c r="K989">
        <v>5</v>
      </c>
      <c r="L989" t="s">
        <v>2756</v>
      </c>
      <c r="M989" s="1" t="str">
        <f>TEXT(DATE(tbl_data[[#This Row],[Model_Year]],1,1),"yyyy")</f>
        <v>2017</v>
      </c>
      <c r="N989" s="1" t="str">
        <f>IF(tbl_data[[#This Row],[Kilometers_Driven]]&lt;50000,"&lt;50k",
IF(tbl_data[[#This Row],[Kilometers_Driven]]&lt;100000,"50k-100k",
IF(tbl_data[[#This Row],[Kilometers_Driven]]&lt;150000,"100k-150k","150k+")))</f>
        <v>50k-100k</v>
      </c>
      <c r="O989" s="1" t="str">
        <f>IF(tbl_data[[#This Row],[Price_USD]]&gt;=87089,"High",
IF(tbl_data[[#This Row],[Price_USD]]&gt;=56807,"Mid","Low"))</f>
        <v>High</v>
      </c>
      <c r="P989" s="1" t="str">
        <f>IF(tbl_data[[#This Row],[Transmission]]="Automatic","Auto","Manual")</f>
        <v>Manual</v>
      </c>
      <c r="Q989" s="1" t="str">
        <f>IFERROR(IF(VALUE(tbl_data[[#This Row],[Engine_CC]])=0,"",VALUE(tbl_data[[#This Row],[Price_USD]])/VALUE(tbl_data[[#This Row],[Engine_CC]])),"")</f>
        <v/>
      </c>
      <c r="R989" s="1" t="str">
        <f>TRIM(tbl_data[[#This Row],[Brand]])</f>
        <v>Mercedes</v>
      </c>
      <c r="S989" s="1">
        <f>_xlfn.NUMBERVALUE(tbl_data[[#This Row],[Price_USD]],".",",")</f>
        <v>13171.93</v>
      </c>
    </row>
    <row r="990" spans="1:19" x14ac:dyDescent="0.3">
      <c r="A990">
        <v>989</v>
      </c>
      <c r="B990" t="s">
        <v>19</v>
      </c>
      <c r="C990">
        <v>2006</v>
      </c>
      <c r="D990">
        <v>186572</v>
      </c>
      <c r="E990" t="s">
        <v>31</v>
      </c>
      <c r="F990" t="s">
        <v>14</v>
      </c>
      <c r="G990" t="s">
        <v>26</v>
      </c>
      <c r="H990">
        <v>2538</v>
      </c>
      <c r="I990" t="s">
        <v>2757</v>
      </c>
      <c r="J990" t="s">
        <v>1496</v>
      </c>
      <c r="K990">
        <v>6</v>
      </c>
      <c r="L990" t="s">
        <v>2758</v>
      </c>
      <c r="M990" s="1" t="str">
        <f>TEXT(DATE(tbl_data[[#This Row],[Model_Year]],1,1),"yyyy")</f>
        <v>2006</v>
      </c>
      <c r="N990" s="1" t="str">
        <f>IF(tbl_data[[#This Row],[Kilometers_Driven]]&lt;50000,"&lt;50k",
IF(tbl_data[[#This Row],[Kilometers_Driven]]&lt;100000,"50k-100k",
IF(tbl_data[[#This Row],[Kilometers_Driven]]&lt;150000,"100k-150k","150k+")))</f>
        <v>150k+</v>
      </c>
      <c r="O990" s="1" t="str">
        <f>IF(tbl_data[[#This Row],[Price_USD]]&gt;=87089,"High",
IF(tbl_data[[#This Row],[Price_USD]]&gt;=56807,"Mid","Low"))</f>
        <v>High</v>
      </c>
      <c r="P990" s="1" t="str">
        <f>IF(tbl_data[[#This Row],[Transmission]]="Automatic","Auto","Manual")</f>
        <v>Manual</v>
      </c>
      <c r="Q990" s="1" t="str">
        <f>IFERROR(IF(VALUE(tbl_data[[#This Row],[Engine_CC]])=0,"",VALUE(tbl_data[[#This Row],[Price_USD]])/VALUE(tbl_data[[#This Row],[Engine_CC]])),"")</f>
        <v/>
      </c>
      <c r="R990" s="1" t="str">
        <f>TRIM(tbl_data[[#This Row],[Brand]])</f>
        <v>BMW</v>
      </c>
      <c r="S990" s="1">
        <f>_xlfn.NUMBERVALUE(tbl_data[[#This Row],[Price_USD]],".",",")</f>
        <v>29085.15</v>
      </c>
    </row>
    <row r="991" spans="1:19" x14ac:dyDescent="0.3">
      <c r="A991">
        <v>990</v>
      </c>
      <c r="B991" t="s">
        <v>39</v>
      </c>
      <c r="C991">
        <v>2007</v>
      </c>
      <c r="D991">
        <v>63643</v>
      </c>
      <c r="E991" t="s">
        <v>31</v>
      </c>
      <c r="F991" t="s">
        <v>21</v>
      </c>
      <c r="G991" t="s">
        <v>32</v>
      </c>
      <c r="H991">
        <v>2164</v>
      </c>
      <c r="I991" t="s">
        <v>2759</v>
      </c>
      <c r="J991" t="s">
        <v>564</v>
      </c>
      <c r="K991">
        <v>5</v>
      </c>
      <c r="L991" t="s">
        <v>2760</v>
      </c>
      <c r="M991" s="1" t="str">
        <f>TEXT(DATE(tbl_data[[#This Row],[Model_Year]],1,1),"yyyy")</f>
        <v>2007</v>
      </c>
      <c r="N991" s="1" t="str">
        <f>IF(tbl_data[[#This Row],[Kilometers_Driven]]&lt;50000,"&lt;50k",
IF(tbl_data[[#This Row],[Kilometers_Driven]]&lt;100000,"50k-100k",
IF(tbl_data[[#This Row],[Kilometers_Driven]]&lt;150000,"100k-150k","150k+")))</f>
        <v>50k-100k</v>
      </c>
      <c r="O991" s="1" t="str">
        <f>IF(tbl_data[[#This Row],[Price_USD]]&gt;=87089,"High",
IF(tbl_data[[#This Row],[Price_USD]]&gt;=56807,"Mid","Low"))</f>
        <v>High</v>
      </c>
      <c r="P991" s="1" t="str">
        <f>IF(tbl_data[[#This Row],[Transmission]]="Automatic","Auto","Manual")</f>
        <v>Auto</v>
      </c>
      <c r="Q991" s="1" t="str">
        <f>IFERROR(IF(VALUE(tbl_data[[#This Row],[Engine_CC]])=0,"",VALUE(tbl_data[[#This Row],[Price_USD]])/VALUE(tbl_data[[#This Row],[Engine_CC]])),"")</f>
        <v/>
      </c>
      <c r="R991" s="1" t="str">
        <f>TRIM(tbl_data[[#This Row],[Brand]])</f>
        <v>Volkswagen</v>
      </c>
      <c r="S991" s="1">
        <f>_xlfn.NUMBERVALUE(tbl_data[[#This Row],[Price_USD]],".",",")</f>
        <v>25002.85</v>
      </c>
    </row>
    <row r="992" spans="1:19" x14ac:dyDescent="0.3">
      <c r="A992">
        <v>991</v>
      </c>
      <c r="B992" t="s">
        <v>25</v>
      </c>
      <c r="C992">
        <v>2011</v>
      </c>
      <c r="D992">
        <v>49900</v>
      </c>
      <c r="E992" t="s">
        <v>20</v>
      </c>
      <c r="F992" t="s">
        <v>14</v>
      </c>
      <c r="G992" t="s">
        <v>15</v>
      </c>
      <c r="H992">
        <v>3508</v>
      </c>
      <c r="I992" t="s">
        <v>207</v>
      </c>
      <c r="J992" t="s">
        <v>2280</v>
      </c>
      <c r="K992">
        <v>2</v>
      </c>
      <c r="L992" t="s">
        <v>2761</v>
      </c>
      <c r="M992" s="1" t="str">
        <f>TEXT(DATE(tbl_data[[#This Row],[Model_Year]],1,1),"yyyy")</f>
        <v>2011</v>
      </c>
      <c r="N992" s="1" t="str">
        <f>IF(tbl_data[[#This Row],[Kilometers_Driven]]&lt;50000,"&lt;50k",
IF(tbl_data[[#This Row],[Kilometers_Driven]]&lt;100000,"50k-100k",
IF(tbl_data[[#This Row],[Kilometers_Driven]]&lt;150000,"100k-150k","150k+")))</f>
        <v>&lt;50k</v>
      </c>
      <c r="O992" s="1" t="str">
        <f>IF(tbl_data[[#This Row],[Price_USD]]&gt;=87089,"High",
IF(tbl_data[[#This Row],[Price_USD]]&gt;=56807,"Mid","Low"))</f>
        <v>High</v>
      </c>
      <c r="P992" s="1" t="str">
        <f>IF(tbl_data[[#This Row],[Transmission]]="Automatic","Auto","Manual")</f>
        <v>Manual</v>
      </c>
      <c r="Q992" s="1" t="str">
        <f>IFERROR(IF(VALUE(tbl_data[[#This Row],[Engine_CC]])=0,"",VALUE(tbl_data[[#This Row],[Price_USD]])/VALUE(tbl_data[[#This Row],[Engine_CC]])),"")</f>
        <v/>
      </c>
      <c r="R992" s="1" t="str">
        <f>TRIM(tbl_data[[#This Row],[Brand]])</f>
        <v>Kia</v>
      </c>
      <c r="S992" s="1">
        <f>_xlfn.NUMBERVALUE(tbl_data[[#This Row],[Price_USD]],".",",")</f>
        <v>53078.26</v>
      </c>
    </row>
    <row r="993" spans="1:19" x14ac:dyDescent="0.3">
      <c r="A993">
        <v>992</v>
      </c>
      <c r="B993" t="s">
        <v>69</v>
      </c>
      <c r="C993">
        <v>2022</v>
      </c>
      <c r="D993">
        <v>179018</v>
      </c>
      <c r="E993" t="s">
        <v>20</v>
      </c>
      <c r="F993" t="s">
        <v>21</v>
      </c>
      <c r="G993" t="s">
        <v>32</v>
      </c>
      <c r="H993">
        <v>1724</v>
      </c>
      <c r="I993" t="s">
        <v>2762</v>
      </c>
      <c r="J993" t="s">
        <v>692</v>
      </c>
      <c r="K993">
        <v>2</v>
      </c>
      <c r="L993" t="s">
        <v>2763</v>
      </c>
      <c r="M993" s="1" t="str">
        <f>TEXT(DATE(tbl_data[[#This Row],[Model_Year]],1,1),"yyyy")</f>
        <v>2022</v>
      </c>
      <c r="N993" s="1" t="str">
        <f>IF(tbl_data[[#This Row],[Kilometers_Driven]]&lt;50000,"&lt;50k",
IF(tbl_data[[#This Row],[Kilometers_Driven]]&lt;100000,"50k-100k",
IF(tbl_data[[#This Row],[Kilometers_Driven]]&lt;150000,"100k-150k","150k+")))</f>
        <v>150k+</v>
      </c>
      <c r="O993" s="1" t="str">
        <f>IF(tbl_data[[#This Row],[Price_USD]]&gt;=87089,"High",
IF(tbl_data[[#This Row],[Price_USD]]&gt;=56807,"Mid","Low"))</f>
        <v>High</v>
      </c>
      <c r="P993" s="1" t="str">
        <f>IF(tbl_data[[#This Row],[Transmission]]="Automatic","Auto","Manual")</f>
        <v>Auto</v>
      </c>
      <c r="Q993" s="1" t="str">
        <f>IFERROR(IF(VALUE(tbl_data[[#This Row],[Engine_CC]])=0,"",VALUE(tbl_data[[#This Row],[Price_USD]])/VALUE(tbl_data[[#This Row],[Engine_CC]])),"")</f>
        <v/>
      </c>
      <c r="R993" s="1" t="str">
        <f>TRIM(tbl_data[[#This Row],[Brand]])</f>
        <v>Hyundai</v>
      </c>
      <c r="S993" s="1">
        <f>_xlfn.NUMBERVALUE(tbl_data[[#This Row],[Price_USD]],".",",")</f>
        <v>80019.199999999997</v>
      </c>
    </row>
    <row r="994" spans="1:19" x14ac:dyDescent="0.3">
      <c r="A994">
        <v>993</v>
      </c>
      <c r="B994" t="s">
        <v>69</v>
      </c>
      <c r="C994">
        <v>2007</v>
      </c>
      <c r="D994">
        <v>143923</v>
      </c>
      <c r="E994" t="s">
        <v>20</v>
      </c>
      <c r="F994" t="s">
        <v>14</v>
      </c>
      <c r="G994" t="s">
        <v>15</v>
      </c>
      <c r="H994">
        <v>951</v>
      </c>
      <c r="I994" t="s">
        <v>2764</v>
      </c>
      <c r="J994" t="s">
        <v>1045</v>
      </c>
      <c r="K994">
        <v>5</v>
      </c>
      <c r="L994" t="s">
        <v>2765</v>
      </c>
      <c r="M994" s="1" t="str">
        <f>TEXT(DATE(tbl_data[[#This Row],[Model_Year]],1,1),"yyyy")</f>
        <v>2007</v>
      </c>
      <c r="N994" s="1" t="str">
        <f>IF(tbl_data[[#This Row],[Kilometers_Driven]]&lt;50000,"&lt;50k",
IF(tbl_data[[#This Row],[Kilometers_Driven]]&lt;100000,"50k-100k",
IF(tbl_data[[#This Row],[Kilometers_Driven]]&lt;150000,"100k-150k","150k+")))</f>
        <v>100k-150k</v>
      </c>
      <c r="O994" s="1" t="str">
        <f>IF(tbl_data[[#This Row],[Price_USD]]&gt;=87089,"High",
IF(tbl_data[[#This Row],[Price_USD]]&gt;=56807,"Mid","Low"))</f>
        <v>High</v>
      </c>
      <c r="P994" s="1" t="str">
        <f>IF(tbl_data[[#This Row],[Transmission]]="Automatic","Auto","Manual")</f>
        <v>Manual</v>
      </c>
      <c r="Q994" s="1" t="str">
        <f>IFERROR(IF(VALUE(tbl_data[[#This Row],[Engine_CC]])=0,"",VALUE(tbl_data[[#This Row],[Price_USD]])/VALUE(tbl_data[[#This Row],[Engine_CC]])),"")</f>
        <v/>
      </c>
      <c r="R994" s="1" t="str">
        <f>TRIM(tbl_data[[#This Row],[Brand]])</f>
        <v>Hyundai</v>
      </c>
      <c r="S994" s="1">
        <f>_xlfn.NUMBERVALUE(tbl_data[[#This Row],[Price_USD]],".",",")</f>
        <v>33865.31</v>
      </c>
    </row>
    <row r="995" spans="1:19" x14ac:dyDescent="0.3">
      <c r="A995">
        <v>994</v>
      </c>
      <c r="B995" t="s">
        <v>25</v>
      </c>
      <c r="C995">
        <v>2014</v>
      </c>
      <c r="D995">
        <v>21288</v>
      </c>
      <c r="E995" t="s">
        <v>44</v>
      </c>
      <c r="F995" t="s">
        <v>21</v>
      </c>
      <c r="G995" t="s">
        <v>26</v>
      </c>
      <c r="H995">
        <v>1385</v>
      </c>
      <c r="I995" t="s">
        <v>2766</v>
      </c>
      <c r="J995" t="s">
        <v>2767</v>
      </c>
      <c r="K995">
        <v>5</v>
      </c>
      <c r="L995" t="s">
        <v>2768</v>
      </c>
      <c r="M995" s="1" t="str">
        <f>TEXT(DATE(tbl_data[[#This Row],[Model_Year]],1,1),"yyyy")</f>
        <v>2014</v>
      </c>
      <c r="N995" s="1" t="str">
        <f>IF(tbl_data[[#This Row],[Kilometers_Driven]]&lt;50000,"&lt;50k",
IF(tbl_data[[#This Row],[Kilometers_Driven]]&lt;100000,"50k-100k",
IF(tbl_data[[#This Row],[Kilometers_Driven]]&lt;150000,"100k-150k","150k+")))</f>
        <v>&lt;50k</v>
      </c>
      <c r="O995" s="1" t="str">
        <f>IF(tbl_data[[#This Row],[Price_USD]]&gt;=87089,"High",
IF(tbl_data[[#This Row],[Price_USD]]&gt;=56807,"Mid","Low"))</f>
        <v>High</v>
      </c>
      <c r="P995" s="1" t="str">
        <f>IF(tbl_data[[#This Row],[Transmission]]="Automatic","Auto","Manual")</f>
        <v>Auto</v>
      </c>
      <c r="Q995" s="1" t="str">
        <f>IFERROR(IF(VALUE(tbl_data[[#This Row],[Engine_CC]])=0,"",VALUE(tbl_data[[#This Row],[Price_USD]])/VALUE(tbl_data[[#This Row],[Engine_CC]])),"")</f>
        <v/>
      </c>
      <c r="R995" s="1" t="str">
        <f>TRIM(tbl_data[[#This Row],[Brand]])</f>
        <v>Kia</v>
      </c>
      <c r="S995" s="1">
        <f>_xlfn.NUMBERVALUE(tbl_data[[#This Row],[Price_USD]],".",",")</f>
        <v>4412.18</v>
      </c>
    </row>
    <row r="996" spans="1:19" x14ac:dyDescent="0.3">
      <c r="A996">
        <v>995</v>
      </c>
      <c r="B996" t="s">
        <v>12</v>
      </c>
      <c r="C996">
        <v>2011</v>
      </c>
      <c r="D996">
        <v>77692</v>
      </c>
      <c r="E996" t="s">
        <v>44</v>
      </c>
      <c r="F996" t="s">
        <v>14</v>
      </c>
      <c r="G996" t="s">
        <v>15</v>
      </c>
      <c r="H996">
        <v>1712</v>
      </c>
      <c r="I996" t="s">
        <v>2769</v>
      </c>
      <c r="J996" t="s">
        <v>2770</v>
      </c>
      <c r="K996">
        <v>7</v>
      </c>
      <c r="L996" t="s">
        <v>2771</v>
      </c>
      <c r="M996" s="1" t="str">
        <f>TEXT(DATE(tbl_data[[#This Row],[Model_Year]],1,1),"yyyy")</f>
        <v>2011</v>
      </c>
      <c r="N996" s="1" t="str">
        <f>IF(tbl_data[[#This Row],[Kilometers_Driven]]&lt;50000,"&lt;50k",
IF(tbl_data[[#This Row],[Kilometers_Driven]]&lt;100000,"50k-100k",
IF(tbl_data[[#This Row],[Kilometers_Driven]]&lt;150000,"100k-150k","150k+")))</f>
        <v>50k-100k</v>
      </c>
      <c r="O996" s="1" t="str">
        <f>IF(tbl_data[[#This Row],[Price_USD]]&gt;=87089,"High",
IF(tbl_data[[#This Row],[Price_USD]]&gt;=56807,"Mid","Low"))</f>
        <v>High</v>
      </c>
      <c r="P996" s="1" t="str">
        <f>IF(tbl_data[[#This Row],[Transmission]]="Automatic","Auto","Manual")</f>
        <v>Manual</v>
      </c>
      <c r="Q996" s="1" t="str">
        <f>IFERROR(IF(VALUE(tbl_data[[#This Row],[Engine_CC]])=0,"",VALUE(tbl_data[[#This Row],[Price_USD]])/VALUE(tbl_data[[#This Row],[Engine_CC]])),"")</f>
        <v/>
      </c>
      <c r="R996" s="1" t="str">
        <f>TRIM(tbl_data[[#This Row],[Brand]])</f>
        <v>Audi</v>
      </c>
      <c r="S996" s="1">
        <f>_xlfn.NUMBERVALUE(tbl_data[[#This Row],[Price_USD]],".",",")</f>
        <v>63715.67</v>
      </c>
    </row>
    <row r="997" spans="1:19" x14ac:dyDescent="0.3">
      <c r="A997">
        <v>996</v>
      </c>
      <c r="B997" t="s">
        <v>39</v>
      </c>
      <c r="C997">
        <v>2013</v>
      </c>
      <c r="D997">
        <v>143440</v>
      </c>
      <c r="E997" t="s">
        <v>20</v>
      </c>
      <c r="F997" t="s">
        <v>14</v>
      </c>
      <c r="G997" t="s">
        <v>15</v>
      </c>
      <c r="H997">
        <v>3121</v>
      </c>
      <c r="I997" t="s">
        <v>2772</v>
      </c>
      <c r="J997" t="s">
        <v>2773</v>
      </c>
      <c r="K997">
        <v>4</v>
      </c>
      <c r="L997" t="s">
        <v>2774</v>
      </c>
      <c r="M997" s="1" t="str">
        <f>TEXT(DATE(tbl_data[[#This Row],[Model_Year]],1,1),"yyyy")</f>
        <v>2013</v>
      </c>
      <c r="N997" s="1" t="str">
        <f>IF(tbl_data[[#This Row],[Kilometers_Driven]]&lt;50000,"&lt;50k",
IF(tbl_data[[#This Row],[Kilometers_Driven]]&lt;100000,"50k-100k",
IF(tbl_data[[#This Row],[Kilometers_Driven]]&lt;150000,"100k-150k","150k+")))</f>
        <v>100k-150k</v>
      </c>
      <c r="O997" s="1" t="str">
        <f>IF(tbl_data[[#This Row],[Price_USD]]&gt;=87089,"High",
IF(tbl_data[[#This Row],[Price_USD]]&gt;=56807,"Mid","Low"))</f>
        <v>High</v>
      </c>
      <c r="P997" s="1" t="str">
        <f>IF(tbl_data[[#This Row],[Transmission]]="Automatic","Auto","Manual")</f>
        <v>Manual</v>
      </c>
      <c r="Q997" s="1" t="str">
        <f>IFERROR(IF(VALUE(tbl_data[[#This Row],[Engine_CC]])=0,"",VALUE(tbl_data[[#This Row],[Price_USD]])/VALUE(tbl_data[[#This Row],[Engine_CC]])),"")</f>
        <v/>
      </c>
      <c r="R997" s="1" t="str">
        <f>TRIM(tbl_data[[#This Row],[Brand]])</f>
        <v>Volkswagen</v>
      </c>
      <c r="S997" s="1">
        <f>_xlfn.NUMBERVALUE(tbl_data[[#This Row],[Price_USD]],".",",")</f>
        <v>73873.86</v>
      </c>
    </row>
    <row r="998" spans="1:19" x14ac:dyDescent="0.3">
      <c r="A998">
        <v>997</v>
      </c>
      <c r="B998" t="s">
        <v>39</v>
      </c>
      <c r="C998">
        <v>2021</v>
      </c>
      <c r="D998">
        <v>90436</v>
      </c>
      <c r="E998" t="s">
        <v>44</v>
      </c>
      <c r="F998" t="s">
        <v>21</v>
      </c>
      <c r="G998" t="s">
        <v>26</v>
      </c>
      <c r="H998">
        <v>1295</v>
      </c>
      <c r="I998" t="s">
        <v>1854</v>
      </c>
      <c r="J998" t="s">
        <v>2775</v>
      </c>
      <c r="K998">
        <v>6</v>
      </c>
      <c r="L998" t="s">
        <v>2776</v>
      </c>
      <c r="M998" s="1" t="str">
        <f>TEXT(DATE(tbl_data[[#This Row],[Model_Year]],1,1),"yyyy")</f>
        <v>2021</v>
      </c>
      <c r="N998" s="1" t="str">
        <f>IF(tbl_data[[#This Row],[Kilometers_Driven]]&lt;50000,"&lt;50k",
IF(tbl_data[[#This Row],[Kilometers_Driven]]&lt;100000,"50k-100k",
IF(tbl_data[[#This Row],[Kilometers_Driven]]&lt;150000,"100k-150k","150k+")))</f>
        <v>50k-100k</v>
      </c>
      <c r="O998" s="1" t="str">
        <f>IF(tbl_data[[#This Row],[Price_USD]]&gt;=87089,"High",
IF(tbl_data[[#This Row],[Price_USD]]&gt;=56807,"Mid","Low"))</f>
        <v>High</v>
      </c>
      <c r="P998" s="1" t="str">
        <f>IF(tbl_data[[#This Row],[Transmission]]="Automatic","Auto","Manual")</f>
        <v>Auto</v>
      </c>
      <c r="Q998" s="1" t="str">
        <f>IFERROR(IF(VALUE(tbl_data[[#This Row],[Engine_CC]])=0,"",VALUE(tbl_data[[#This Row],[Price_USD]])/VALUE(tbl_data[[#This Row],[Engine_CC]])),"")</f>
        <v/>
      </c>
      <c r="R998" s="1" t="str">
        <f>TRIM(tbl_data[[#This Row],[Brand]])</f>
        <v>Volkswagen</v>
      </c>
      <c r="S998" s="1">
        <f>_xlfn.NUMBERVALUE(tbl_data[[#This Row],[Price_USD]],".",",")</f>
        <v>115655.85</v>
      </c>
    </row>
    <row r="999" spans="1:19" x14ac:dyDescent="0.3">
      <c r="A999">
        <v>998</v>
      </c>
      <c r="B999" t="s">
        <v>25</v>
      </c>
      <c r="C999">
        <v>2015</v>
      </c>
      <c r="D999">
        <v>51403</v>
      </c>
      <c r="E999" t="s">
        <v>44</v>
      </c>
      <c r="F999" t="s">
        <v>14</v>
      </c>
      <c r="G999" t="s">
        <v>32</v>
      </c>
      <c r="H999">
        <v>4595</v>
      </c>
      <c r="I999" t="s">
        <v>2777</v>
      </c>
      <c r="J999" t="s">
        <v>2552</v>
      </c>
      <c r="K999">
        <v>2</v>
      </c>
      <c r="L999" t="s">
        <v>2778</v>
      </c>
      <c r="M999" s="1" t="str">
        <f>TEXT(DATE(tbl_data[[#This Row],[Model_Year]],1,1),"yyyy")</f>
        <v>2015</v>
      </c>
      <c r="N999" s="1" t="str">
        <f>IF(tbl_data[[#This Row],[Kilometers_Driven]]&lt;50000,"&lt;50k",
IF(tbl_data[[#This Row],[Kilometers_Driven]]&lt;100000,"50k-100k",
IF(tbl_data[[#This Row],[Kilometers_Driven]]&lt;150000,"100k-150k","150k+")))</f>
        <v>50k-100k</v>
      </c>
      <c r="O999" s="1" t="str">
        <f>IF(tbl_data[[#This Row],[Price_USD]]&gt;=87089,"High",
IF(tbl_data[[#This Row],[Price_USD]]&gt;=56807,"Mid","Low"))</f>
        <v>High</v>
      </c>
      <c r="P999" s="1" t="str">
        <f>IF(tbl_data[[#This Row],[Transmission]]="Automatic","Auto","Manual")</f>
        <v>Manual</v>
      </c>
      <c r="Q999" s="1" t="str">
        <f>IFERROR(IF(VALUE(tbl_data[[#This Row],[Engine_CC]])=0,"",VALUE(tbl_data[[#This Row],[Price_USD]])/VALUE(tbl_data[[#This Row],[Engine_CC]])),"")</f>
        <v/>
      </c>
      <c r="R999" s="1" t="str">
        <f>TRIM(tbl_data[[#This Row],[Brand]])</f>
        <v>Kia</v>
      </c>
      <c r="S999" s="1">
        <f>_xlfn.NUMBERVALUE(tbl_data[[#This Row],[Price_USD]],".",",")</f>
        <v>71968.08</v>
      </c>
    </row>
    <row r="1000" spans="1:19" x14ac:dyDescent="0.3">
      <c r="A1000">
        <v>999</v>
      </c>
      <c r="B1000" t="s">
        <v>76</v>
      </c>
      <c r="C1000">
        <v>2011</v>
      </c>
      <c r="D1000">
        <v>96170</v>
      </c>
      <c r="E1000" t="s">
        <v>31</v>
      </c>
      <c r="F1000" t="s">
        <v>14</v>
      </c>
      <c r="G1000" t="s">
        <v>26</v>
      </c>
      <c r="H1000">
        <v>2948</v>
      </c>
      <c r="I1000" t="s">
        <v>2779</v>
      </c>
      <c r="J1000" t="s">
        <v>2780</v>
      </c>
      <c r="K1000">
        <v>6</v>
      </c>
      <c r="L1000" t="s">
        <v>2781</v>
      </c>
      <c r="M1000" s="1" t="str">
        <f>TEXT(DATE(tbl_data[[#This Row],[Model_Year]],1,1),"yyyy")</f>
        <v>2011</v>
      </c>
      <c r="N1000" s="1" t="str">
        <f>IF(tbl_data[[#This Row],[Kilometers_Driven]]&lt;50000,"&lt;50k",
IF(tbl_data[[#This Row],[Kilometers_Driven]]&lt;100000,"50k-100k",
IF(tbl_data[[#This Row],[Kilometers_Driven]]&lt;150000,"100k-150k","150k+")))</f>
        <v>50k-100k</v>
      </c>
      <c r="O1000" s="1" t="str">
        <f>IF(tbl_data[[#This Row],[Price_USD]]&gt;=87089,"High",
IF(tbl_data[[#This Row],[Price_USD]]&gt;=56807,"Mid","Low"))</f>
        <v>High</v>
      </c>
      <c r="P1000" s="1" t="str">
        <f>IF(tbl_data[[#This Row],[Transmission]]="Automatic","Auto","Manual")</f>
        <v>Manual</v>
      </c>
      <c r="Q1000" s="1" t="str">
        <f>IFERROR(IF(VALUE(tbl_data[[#This Row],[Engine_CC]])=0,"",VALUE(tbl_data[[#This Row],[Price_USD]])/VALUE(tbl_data[[#This Row],[Engine_CC]])),"")</f>
        <v/>
      </c>
      <c r="R1000" s="1" t="str">
        <f>TRIM(tbl_data[[#This Row],[Brand]])</f>
        <v>Honda</v>
      </c>
      <c r="S1000" s="1">
        <f>_xlfn.NUMBERVALUE(tbl_data[[#This Row],[Price_USD]],".",",")</f>
        <v>58127.19</v>
      </c>
    </row>
    <row r="1001" spans="1:19" x14ac:dyDescent="0.3">
      <c r="A1001">
        <v>1000</v>
      </c>
      <c r="B1001" t="s">
        <v>102</v>
      </c>
      <c r="C1001">
        <v>2018</v>
      </c>
      <c r="D1001">
        <v>14168</v>
      </c>
      <c r="E1001" t="s">
        <v>31</v>
      </c>
      <c r="F1001" t="s">
        <v>21</v>
      </c>
      <c r="G1001" t="s">
        <v>15</v>
      </c>
      <c r="H1001">
        <v>1356</v>
      </c>
      <c r="I1001" t="s">
        <v>2782</v>
      </c>
      <c r="J1001" t="s">
        <v>2783</v>
      </c>
      <c r="K1001">
        <v>7</v>
      </c>
      <c r="L1001" t="s">
        <v>2784</v>
      </c>
      <c r="M1001" s="1" t="str">
        <f>TEXT(DATE(tbl_data[[#This Row],[Model_Year]],1,1),"yyyy")</f>
        <v>2018</v>
      </c>
      <c r="N1001" s="1" t="str">
        <f>IF(tbl_data[[#This Row],[Kilometers_Driven]]&lt;50000,"&lt;50k",
IF(tbl_data[[#This Row],[Kilometers_Driven]]&lt;100000,"50k-100k",
IF(tbl_data[[#This Row],[Kilometers_Driven]]&lt;150000,"100k-150k","150k+")))</f>
        <v>&lt;50k</v>
      </c>
      <c r="O1001" s="1" t="str">
        <f>IF(tbl_data[[#This Row],[Price_USD]]&gt;=87089,"High",
IF(tbl_data[[#This Row],[Price_USD]]&gt;=56807,"Mid","Low"))</f>
        <v>High</v>
      </c>
      <c r="P1001" s="1" t="str">
        <f>IF(tbl_data[[#This Row],[Transmission]]="Automatic","Auto","Manual")</f>
        <v>Auto</v>
      </c>
      <c r="Q1001" s="1" t="str">
        <f>IFERROR(IF(VALUE(tbl_data[[#This Row],[Engine_CC]])=0,"",VALUE(tbl_data[[#This Row],[Price_USD]])/VALUE(tbl_data[[#This Row],[Engine_CC]])),"")</f>
        <v/>
      </c>
      <c r="R1001" s="1" t="str">
        <f>TRIM(tbl_data[[#This Row],[Brand]])</f>
        <v>Nissan</v>
      </c>
      <c r="S1001" s="1">
        <f>_xlfn.NUMBERVALUE(tbl_data[[#This Row],[Price_USD]],".",",")</f>
        <v>70087.990000000005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8A6F2-9DB3-4FF1-B583-9B70B588BB6D}">
  <dimension ref="A2:E5"/>
  <sheetViews>
    <sheetView workbookViewId="0">
      <selection activeCell="E4" sqref="E4"/>
    </sheetView>
  </sheetViews>
  <sheetFormatPr defaultRowHeight="14.4" x14ac:dyDescent="0.3"/>
  <cols>
    <col min="1" max="1" width="12.88671875" customWidth="1"/>
    <col min="4" max="4" width="19.88671875" customWidth="1"/>
    <col min="5" max="5" width="12.6640625" customWidth="1"/>
  </cols>
  <sheetData>
    <row r="2" spans="1:5" x14ac:dyDescent="0.3">
      <c r="A2" t="s">
        <v>2790</v>
      </c>
      <c r="B2">
        <v>11</v>
      </c>
      <c r="D2" t="s">
        <v>2792</v>
      </c>
      <c r="E2" t="s">
        <v>12</v>
      </c>
    </row>
    <row r="4" spans="1:5" x14ac:dyDescent="0.3">
      <c r="A4" t="s">
        <v>11</v>
      </c>
      <c r="B4" t="str">
        <f>_xlfn.XLOOKUP($B$2,tbl_data[Car_ID],tbl_data[Price_USD],"Not found")</f>
        <v>6910.9</v>
      </c>
      <c r="D4" t="s">
        <v>2791</v>
      </c>
      <c r="E4">
        <f>SUMIFS(tbl_data[Price_USD_Num],tbl_data[Brand],TRIM($E$2))</f>
        <v>5861031.040000001</v>
      </c>
    </row>
    <row r="5" spans="1:5" x14ac:dyDescent="0.3">
      <c r="B5" t="str">
        <f>_xlfn.XLOOKUP($B$2,tbl_data[Car_ID],tbl_data[Brand],"Not found")</f>
        <v>BMW</v>
      </c>
      <c r="E5">
        <f>IFERROR(AVERAGEIFS(tbl_data[Price_USD_Num],tbl_data[Brand],TRIM($E$2)),0)</f>
        <v>62351.394042553198</v>
      </c>
    </row>
  </sheetData>
  <dataValidations count="1">
    <dataValidation type="list" allowBlank="1" showInputMessage="1" showErrorMessage="1" sqref="E2" xr:uid="{BA6D31CD-1840-4861-B21C-D7FB54FD1385}">
      <formula1>BrandList</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5484A-FD05-44E3-9C65-6E51AA27481F}">
  <dimension ref="A3:G14"/>
  <sheetViews>
    <sheetView tabSelected="1" workbookViewId="0">
      <selection activeCell="P27" sqref="P27"/>
    </sheetView>
  </sheetViews>
  <sheetFormatPr defaultRowHeight="14.4" x14ac:dyDescent="0.3"/>
  <cols>
    <col min="1" max="1" width="12.44140625" bestFit="1" customWidth="1"/>
    <col min="2" max="2" width="23.5546875" bestFit="1" customWidth="1"/>
    <col min="4" max="4" width="13.6640625" bestFit="1" customWidth="1"/>
    <col min="5" max="5" width="15.5546875" bestFit="1" customWidth="1"/>
    <col min="6" max="6" width="7" bestFit="1" customWidth="1"/>
    <col min="7" max="8" width="10.5546875" bestFit="1" customWidth="1"/>
  </cols>
  <sheetData>
    <row r="3" spans="1:7" x14ac:dyDescent="0.3">
      <c r="A3" s="2" t="s">
        <v>2795</v>
      </c>
      <c r="B3" t="s">
        <v>2797</v>
      </c>
      <c r="D3" s="2" t="s">
        <v>2799</v>
      </c>
      <c r="E3" s="2" t="s">
        <v>2798</v>
      </c>
    </row>
    <row r="4" spans="1:7" x14ac:dyDescent="0.3">
      <c r="A4" s="3" t="s">
        <v>12</v>
      </c>
      <c r="B4" s="4">
        <v>62351.394042553198</v>
      </c>
      <c r="D4" s="2" t="s">
        <v>2795</v>
      </c>
      <c r="E4" t="s">
        <v>21</v>
      </c>
      <c r="F4" t="s">
        <v>14</v>
      </c>
      <c r="G4" t="s">
        <v>2796</v>
      </c>
    </row>
    <row r="5" spans="1:7" x14ac:dyDescent="0.3">
      <c r="A5" s="3" t="s">
        <v>19</v>
      </c>
      <c r="B5" s="4">
        <v>54154.605531914909</v>
      </c>
      <c r="D5" s="3" t="s">
        <v>13</v>
      </c>
      <c r="E5" s="1">
        <v>109</v>
      </c>
      <c r="F5" s="1">
        <v>116</v>
      </c>
      <c r="G5" s="1">
        <v>225</v>
      </c>
    </row>
    <row r="6" spans="1:7" x14ac:dyDescent="0.3">
      <c r="A6" s="3" t="s">
        <v>43</v>
      </c>
      <c r="B6" s="4">
        <v>59953.021363636362</v>
      </c>
      <c r="D6" s="3" t="s">
        <v>44</v>
      </c>
      <c r="E6" s="1">
        <v>115</v>
      </c>
      <c r="F6" s="1">
        <v>137</v>
      </c>
      <c r="G6" s="1">
        <v>252</v>
      </c>
    </row>
    <row r="7" spans="1:7" x14ac:dyDescent="0.3">
      <c r="A7" s="3" t="s">
        <v>76</v>
      </c>
      <c r="B7" s="4">
        <v>57226.331686747006</v>
      </c>
      <c r="D7" s="3" t="s">
        <v>20</v>
      </c>
      <c r="E7" s="1">
        <v>117</v>
      </c>
      <c r="F7" s="1">
        <v>135</v>
      </c>
      <c r="G7" s="1">
        <v>252</v>
      </c>
    </row>
    <row r="8" spans="1:7" x14ac:dyDescent="0.3">
      <c r="A8" s="3" t="s">
        <v>69</v>
      </c>
      <c r="B8" s="4">
        <v>58818.596354166664</v>
      </c>
      <c r="D8" s="3" t="s">
        <v>31</v>
      </c>
      <c r="E8" s="1">
        <v>143</v>
      </c>
      <c r="F8" s="1">
        <v>128</v>
      </c>
      <c r="G8" s="1">
        <v>271</v>
      </c>
    </row>
    <row r="9" spans="1:7" x14ac:dyDescent="0.3">
      <c r="A9" s="3" t="s">
        <v>25</v>
      </c>
      <c r="B9" s="4">
        <v>56090.171699999977</v>
      </c>
      <c r="D9" s="3" t="s">
        <v>2796</v>
      </c>
      <c r="E9" s="1">
        <v>484</v>
      </c>
      <c r="F9" s="1">
        <v>516</v>
      </c>
      <c r="G9" s="1">
        <v>1000</v>
      </c>
    </row>
    <row r="10" spans="1:7" x14ac:dyDescent="0.3">
      <c r="A10" s="3" t="s">
        <v>30</v>
      </c>
      <c r="B10" s="4">
        <v>64344.239906542061</v>
      </c>
    </row>
    <row r="11" spans="1:7" x14ac:dyDescent="0.3">
      <c r="A11" s="3" t="s">
        <v>102</v>
      </c>
      <c r="B11" s="4">
        <v>64089.937472527476</v>
      </c>
    </row>
    <row r="12" spans="1:7" x14ac:dyDescent="0.3">
      <c r="A12" s="3" t="s">
        <v>92</v>
      </c>
      <c r="B12" s="4">
        <v>58964.422288135604</v>
      </c>
    </row>
    <row r="13" spans="1:7" x14ac:dyDescent="0.3">
      <c r="A13" s="3" t="s">
        <v>39</v>
      </c>
      <c r="B13" s="4">
        <v>55987.339719626165</v>
      </c>
    </row>
    <row r="14" spans="1:7" x14ac:dyDescent="0.3">
      <c r="A14" s="3" t="s">
        <v>2796</v>
      </c>
      <c r="B14" s="4">
        <v>59217.249420000117</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74041-1317-4E68-B396-8062EB359C6F}">
  <dimension ref="A1:A10"/>
  <sheetViews>
    <sheetView workbookViewId="0"/>
  </sheetViews>
  <sheetFormatPr defaultRowHeight="14.4" x14ac:dyDescent="0.3"/>
  <cols>
    <col min="1" max="1" width="13" customWidth="1"/>
  </cols>
  <sheetData>
    <row r="1" spans="1:1" x14ac:dyDescent="0.3">
      <c r="A1" t="str" cm="1">
        <f t="array" ref="A1:A10">_xlfn.UNIQUE(tbl_data[Brand])</f>
        <v>Audi</v>
      </c>
    </row>
    <row r="2" spans="1:1" x14ac:dyDescent="0.3">
      <c r="A2" t="str">
        <v>BMW</v>
      </c>
    </row>
    <row r="3" spans="1:1" x14ac:dyDescent="0.3">
      <c r="A3" t="str">
        <v>Kia</v>
      </c>
    </row>
    <row r="4" spans="1:1" x14ac:dyDescent="0.3">
      <c r="A4" t="str">
        <v>Mercedes</v>
      </c>
    </row>
    <row r="5" spans="1:1" x14ac:dyDescent="0.3">
      <c r="A5" t="str">
        <v>Volkswagen</v>
      </c>
    </row>
    <row r="6" spans="1:1" x14ac:dyDescent="0.3">
      <c r="A6" t="str">
        <v>Ford</v>
      </c>
    </row>
    <row r="7" spans="1:1" x14ac:dyDescent="0.3">
      <c r="A7" t="str">
        <v>Hyundai</v>
      </c>
    </row>
    <row r="8" spans="1:1" x14ac:dyDescent="0.3">
      <c r="A8" t="str">
        <v>Honda</v>
      </c>
    </row>
    <row r="9" spans="1:1" x14ac:dyDescent="0.3">
      <c r="A9" t="str">
        <v>Toyota</v>
      </c>
    </row>
    <row r="10" spans="1:1" x14ac:dyDescent="0.3">
      <c r="A10" t="str">
        <v>Nissan</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79642c4-c7e2-4958-beb8-57a5702ea4e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B25EBCF167DBA49B8FE9378A008D344" ma:contentTypeVersion="17" ma:contentTypeDescription="Create a new document." ma:contentTypeScope="" ma:versionID="31b7e8478d073d60ae9c2e140c0f8bc1">
  <xsd:schema xmlns:xsd="http://www.w3.org/2001/XMLSchema" xmlns:xs="http://www.w3.org/2001/XMLSchema" xmlns:p="http://schemas.microsoft.com/office/2006/metadata/properties" xmlns:ns3="579642c4-c7e2-4958-beb8-57a5702ea4ed" xmlns:ns4="20f93960-3c9d-49c1-9be7-4b0eaa54c9e3" targetNamespace="http://schemas.microsoft.com/office/2006/metadata/properties" ma:root="true" ma:fieldsID="84010b85be4af6996e1fa52856599a6a" ns3:_="" ns4:_="">
    <xsd:import namespace="579642c4-c7e2-4958-beb8-57a5702ea4ed"/>
    <xsd:import namespace="20f93960-3c9d-49c1-9be7-4b0eaa54c9e3"/>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_activity" minOccurs="0"/>
                <xsd:element ref="ns3:MediaServiceObjectDetectorVersions"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9642c4-c7e2-4958-beb8-57a5702ea4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SystemTags" ma:index="24"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f93960-3c9d-49c1-9be7-4b0eaa54c9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5B791867-5A6A-46FF-AE2A-449763850D57}">
  <ds:schemaRefs>
    <ds:schemaRef ds:uri="http://schemas.microsoft.com/office/infopath/2007/PartnerControls"/>
    <ds:schemaRef ds:uri="http://www.w3.org/XML/1998/namespace"/>
    <ds:schemaRef ds:uri="http://purl.org/dc/terms/"/>
    <ds:schemaRef ds:uri="http://schemas.openxmlformats.org/package/2006/metadata/core-properties"/>
    <ds:schemaRef ds:uri="http://purl.org/dc/dcmitype/"/>
    <ds:schemaRef ds:uri="20f93960-3c9d-49c1-9be7-4b0eaa54c9e3"/>
    <ds:schemaRef ds:uri="http://schemas.microsoft.com/office/2006/documentManagement/types"/>
    <ds:schemaRef ds:uri="579642c4-c7e2-4958-beb8-57a5702ea4ed"/>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55E23DD9-68B4-48E8-AAF3-6EB17A3EAFE9}">
  <ds:schemaRefs>
    <ds:schemaRef ds:uri="http://schemas.microsoft.com/sharepoint/v3/contenttype/forms"/>
  </ds:schemaRefs>
</ds:datastoreItem>
</file>

<file path=customXml/itemProps3.xml><?xml version="1.0" encoding="utf-8"?>
<ds:datastoreItem xmlns:ds="http://schemas.openxmlformats.org/officeDocument/2006/customXml" ds:itemID="{E9669AF4-1B05-4A1F-8525-3FBD2F4FFB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9642c4-c7e2-4958-beb8-57a5702ea4ed"/>
    <ds:schemaRef ds:uri="20f93960-3c9d-49c1-9be7-4b0eaa54c9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0CCCFC1-DD1E-4522-A56A-7A40631D32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Calc</vt:lpstr>
      <vt:lpstr>Dashboard</vt:lpstr>
      <vt:lpstr>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Mamello Lelaka Lelaka</dc:creator>
  <cp:lastModifiedBy>Mamello Lelaka Lelaka</cp:lastModifiedBy>
  <cp:lastPrinted>2026-01-09T12:40:39Z</cp:lastPrinted>
  <dcterms:created xsi:type="dcterms:W3CDTF">2026-01-09T12:39:53Z</dcterms:created>
  <dcterms:modified xsi:type="dcterms:W3CDTF">2026-01-10T15:01:07Z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0x010100BB25EBCF167DBA49B8FE9378A008D344</vt:lpwstr>
  </property>
</Properties>
</file>